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140" yWindow="30" windowWidth="24945" windowHeight="10995" tabRatio="800" activeTab="2"/>
  </bookViews>
  <sheets>
    <sheet name="Plot" sheetId="11" r:id="rId1"/>
    <sheet name="OptionsHouse" sheetId="1" r:id="rId2"/>
    <sheet name="TDAmeritrade" sheetId="6" r:id="rId3"/>
    <sheet name="401k" sheetId="4" r:id="rId4"/>
    <sheet name="WellsFargo" sheetId="7" r:id="rId5"/>
    <sheet name="Fidelity" sheetId="8" r:id="rId6"/>
    <sheet name="Watchlist" sheetId="9" r:id="rId7"/>
    <sheet name="CNStock" sheetId="10" r:id="rId8"/>
    <sheet name="China" sheetId="14" r:id="rId9"/>
  </sheets>
  <functionGroups builtInGroupCount="17">
    <functionGroup name="xlwings"/>
  </functionGroups>
  <definedNames>
    <definedName name="_xlnm._FilterDatabase" localSheetId="3" hidden="1">'401k'!$A$1:$A$41</definedName>
    <definedName name="_xlnm._FilterDatabase" localSheetId="8" hidden="1">China!$A$1:$A$27</definedName>
    <definedName name="_xlnm._FilterDatabase" localSheetId="7" hidden="1">CNStock!$A$1:$A$29</definedName>
    <definedName name="_xlnm._FilterDatabase" localSheetId="5" hidden="1">Fidelity!$A$1:$A$10</definedName>
    <definedName name="_xlnm._FilterDatabase" localSheetId="1" hidden="1">OptionsHouse!$A$1:$A$43</definedName>
    <definedName name="_xlnm._FilterDatabase" localSheetId="2" hidden="1">TDAmeritrade!$A$1:$A$25</definedName>
    <definedName name="_xlnm._FilterDatabase" localSheetId="6" hidden="1">Watchlist!$A$1:$A$41</definedName>
    <definedName name="_xlnm._FilterDatabase" localSheetId="4" hidden="1">WellsFargo!$A$1:$A$32</definedName>
  </definedNames>
  <calcPr calcId="145621"/>
  <extLst>
    <ext xmlns:x14="http://schemas.microsoft.com/office/spreadsheetml/2009/9/main" uri="{8193D73E-4604-4355-AFF4-8A2333D13BE4}">
      <x14:definedNames>
        <x14:definedName name="my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plot_candlesti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3" i="11" l="1"/>
</calcChain>
</file>

<file path=xl/sharedStrings.xml><?xml version="1.0" encoding="utf-8"?>
<sst xmlns="http://schemas.openxmlformats.org/spreadsheetml/2006/main" count="1068" uniqueCount="705">
  <si>
    <t>SVXY</t>
  </si>
  <si>
    <t>XIV</t>
  </si>
  <si>
    <t>FMCC</t>
  </si>
  <si>
    <t>FNMA</t>
  </si>
  <si>
    <t>TWTR</t>
  </si>
  <si>
    <t>LC</t>
  </si>
  <si>
    <t>FB</t>
  </si>
  <si>
    <t>ASHR</t>
  </si>
  <si>
    <t>ASHS</t>
  </si>
  <si>
    <t>BABA</t>
  </si>
  <si>
    <t>SINA</t>
  </si>
  <si>
    <t>SOHU</t>
  </si>
  <si>
    <t>WB</t>
  </si>
  <si>
    <t>XLF</t>
  </si>
  <si>
    <t>C</t>
  </si>
  <si>
    <t>IPF</t>
  </si>
  <si>
    <t>EUFN</t>
  </si>
  <si>
    <t>BCS</t>
  </si>
  <si>
    <t>CS</t>
  </si>
  <si>
    <t>DB</t>
  </si>
  <si>
    <t>RBS</t>
  </si>
  <si>
    <t>LYG</t>
  </si>
  <si>
    <t>MTU</t>
  </si>
  <si>
    <t>NMR</t>
  </si>
  <si>
    <t>GLD</t>
  </si>
  <si>
    <t>GDX</t>
  </si>
  <si>
    <t>AUY</t>
  </si>
  <si>
    <t>NEM</t>
  </si>
  <si>
    <t>GG</t>
  </si>
  <si>
    <t>KGC</t>
  </si>
  <si>
    <t>VRX</t>
  </si>
  <si>
    <t>LN</t>
  </si>
  <si>
    <t>IXC</t>
  </si>
  <si>
    <t>XLE</t>
  </si>
  <si>
    <t>FENY</t>
  </si>
  <si>
    <t>PTR</t>
  </si>
  <si>
    <t>CEO</t>
  </si>
  <si>
    <t>TOT</t>
  </si>
  <si>
    <t>Ticker</t>
  </si>
  <si>
    <t>Name</t>
  </si>
  <si>
    <t>ProShares Trust II</t>
  </si>
  <si>
    <t>Credit Suisse AG - VelocityShares Daily Inverse VIX Short Term ETN</t>
  </si>
  <si>
    <t>Federal Home Loan Mortgage Corp</t>
  </si>
  <si>
    <t>Federal National Mortgage Assctn Fnni Me</t>
  </si>
  <si>
    <t>Twitter Inc</t>
  </si>
  <si>
    <t>LendingClub Corp</t>
  </si>
  <si>
    <t>Facebook Inc</t>
  </si>
  <si>
    <t>Deutsche X-Trackers Harvest CSI 300 China A-Shares ETF</t>
  </si>
  <si>
    <t>DBX ETF Trust</t>
  </si>
  <si>
    <t>Alibaba Group Holding Ltd</t>
  </si>
  <si>
    <t>SINA Corp</t>
  </si>
  <si>
    <t>Sohu.com Inc</t>
  </si>
  <si>
    <t>Weibo Corp (ADR)</t>
  </si>
  <si>
    <t>Financial Select Sector SPDR Fund</t>
  </si>
  <si>
    <t>Citigroup Inc</t>
  </si>
  <si>
    <t>SPDR S&amp;P International Financl Sec (ETF)</t>
  </si>
  <si>
    <t>Ishares MSCI Europe Fincls Sctr Indx Fd</t>
  </si>
  <si>
    <t>Barclays PLC (ADR)</t>
  </si>
  <si>
    <t>Credit Suisse Group AG (ADR)</t>
  </si>
  <si>
    <t>Deutsche Bank AG (USA)</t>
  </si>
  <si>
    <t>Royal Bank of Scotland Group PLC</t>
  </si>
  <si>
    <t>Lloyds Banking Group PLC (ADR)</t>
  </si>
  <si>
    <t>Mitsubishi UFJ Financial Group Inc (ADR)</t>
  </si>
  <si>
    <t>Nomura Holdings, Inc. (ADR)</t>
  </si>
  <si>
    <t>SPDR Gold Trust (ETF)</t>
  </si>
  <si>
    <t>Market Vectors Gold Miners ETF</t>
  </si>
  <si>
    <t>Yamana Gold Inc. (USA)</t>
  </si>
  <si>
    <t>Newmont Mining Corp</t>
  </si>
  <si>
    <t>Goldcorp Inc. (USA)</t>
  </si>
  <si>
    <t>Kinross Gold Corporation (USA)</t>
  </si>
  <si>
    <t>Valeant Pharmaceuticals Intl Inc</t>
  </si>
  <si>
    <t>Line Corp (ADR)</t>
  </si>
  <si>
    <t>iShares S&amp;P Global Energy Sector (ETF)</t>
  </si>
  <si>
    <t>Energy Select Sector SPDR (ETF)</t>
  </si>
  <si>
    <t>Fidelity MSCI Energy Index ETF</t>
  </si>
  <si>
    <t>PetroChina Company Limited (ADR)</t>
  </si>
  <si>
    <t>CNOOC Ltd (ADR)</t>
  </si>
  <si>
    <t>Total SA (ADR)</t>
  </si>
  <si>
    <t>Royal Dutch Shell plc (ADR)</t>
  </si>
  <si>
    <t>LastPrice</t>
  </si>
  <si>
    <t>CHG</t>
  </si>
  <si>
    <t>CHG%</t>
  </si>
  <si>
    <t>PrevClose</t>
  </si>
  <si>
    <t>Avg20D</t>
  </si>
  <si>
    <t>Avg40D</t>
  </si>
  <si>
    <t>Avg120D</t>
  </si>
  <si>
    <t>Max52W</t>
  </si>
  <si>
    <t>Min52W</t>
  </si>
  <si>
    <t>TargetPrice</t>
  </si>
  <si>
    <t>DistToTarget</t>
  </si>
  <si>
    <t>DistToAvg20D</t>
  </si>
  <si>
    <t>DistToAvg40D</t>
  </si>
  <si>
    <t>DistToAvg120D</t>
  </si>
  <si>
    <t>DistToMax52W</t>
  </si>
  <si>
    <t>DistToMin52W</t>
  </si>
  <si>
    <t>N/A</t>
  </si>
  <si>
    <t>RDS-A</t>
  </si>
  <si>
    <t>BND</t>
  </si>
  <si>
    <t>VBTLX</t>
  </si>
  <si>
    <t>VTI</t>
  </si>
  <si>
    <t>VTSAX</t>
  </si>
  <si>
    <t>VT</t>
  </si>
  <si>
    <t>VTWSX</t>
  </si>
  <si>
    <t>DFAIX</t>
  </si>
  <si>
    <t>DFIHX</t>
  </si>
  <si>
    <t>DFIGX</t>
  </si>
  <si>
    <t>DFGBX</t>
  </si>
  <si>
    <t>DFSHX</t>
  </si>
  <si>
    <t>DIPSX</t>
  </si>
  <si>
    <t>DFAPX</t>
  </si>
  <si>
    <t>DRXIX</t>
  </si>
  <si>
    <t>DFEOX</t>
  </si>
  <si>
    <t>DFUSX</t>
  </si>
  <si>
    <t>DFSIX</t>
  </si>
  <si>
    <t>DUSLX</t>
  </si>
  <si>
    <t>TILIX</t>
  </si>
  <si>
    <t>DFLVX</t>
  </si>
  <si>
    <t>DFQTX</t>
  </si>
  <si>
    <t>DFVEX</t>
  </si>
  <si>
    <t>DFREX</t>
  </si>
  <si>
    <t>DFSCX</t>
  </si>
  <si>
    <t>DFSTX</t>
  </si>
  <si>
    <t>DSCGX</t>
  </si>
  <si>
    <t>DFSVX</t>
  </si>
  <si>
    <t>DFFVX</t>
  </si>
  <si>
    <t>DFEMX</t>
  </si>
  <si>
    <t>DFCEX</t>
  </si>
  <si>
    <t>DEMSX</t>
  </si>
  <si>
    <t>DFEVX</t>
  </si>
  <si>
    <t>DFSPX</t>
  </si>
  <si>
    <t>DFALX</t>
  </si>
  <si>
    <t>DFWIX</t>
  </si>
  <si>
    <t>FSIIX</t>
  </si>
  <si>
    <t>DILRX</t>
  </si>
  <si>
    <t>DISMX</t>
  </si>
  <si>
    <t>DFISX</t>
  </si>
  <si>
    <t>DISVX</t>
  </si>
  <si>
    <t>DFIEX</t>
  </si>
  <si>
    <t>DFIVX</t>
  </si>
  <si>
    <t>DFVIX</t>
  </si>
  <si>
    <t>DFITX</t>
  </si>
  <si>
    <t>DGEIX</t>
  </si>
  <si>
    <t>DREIX</t>
  </si>
  <si>
    <t>DGSIX</t>
  </si>
  <si>
    <t>DGTSX</t>
  </si>
  <si>
    <t>TDIFX</t>
  </si>
  <si>
    <t>DRIQX</t>
  </si>
  <si>
    <t>DRIRX</t>
  </si>
  <si>
    <t>DRIUX</t>
  </si>
  <si>
    <t>DRIWX</t>
  </si>
  <si>
    <t>DRIGX</t>
  </si>
  <si>
    <t>DRIHX</t>
  </si>
  <si>
    <t>DRIIX</t>
  </si>
  <si>
    <t>DRIJX</t>
  </si>
  <si>
    <t>DRIKX</t>
  </si>
  <si>
    <t>DRILX</t>
  </si>
  <si>
    <t>Vanguard Total Bond Market ETF</t>
  </si>
  <si>
    <t>Vanguard Total Bond Market Index Fund Admiral Shares</t>
  </si>
  <si>
    <t>Vanguard Total Stock Market ETF</t>
  </si>
  <si>
    <t>Vanguard Total Stock Market Index Fund Admiral Shares</t>
  </si>
  <si>
    <t>Vanguard Total World Stock</t>
  </si>
  <si>
    <t>Vanguard Total World Stock Index Investor Shares</t>
  </si>
  <si>
    <t>DFA Short-Duration Real Return Portfolio Institutional Class</t>
  </si>
  <si>
    <t>DFA One-Year Fixed Income Portfolio Institutional Class</t>
  </si>
  <si>
    <t>DFA Intermediate Government Fixed Income Portfolio Institutional Class</t>
  </si>
  <si>
    <t>DFA Five-Year Global Fixed Income Portfolio Institutional Class</t>
  </si>
  <si>
    <t>DFA Selectively Hedged Global Fixed Income Portfolio Institutional Class</t>
  </si>
  <si>
    <t>DFA Inflation-Protected Securities Portfolio Institutional Class</t>
  </si>
  <si>
    <t>DFA Investment Grade Portfolio Institutional Class Shares</t>
  </si>
  <si>
    <t>DFA LTIP Portfolio Institutional Class</t>
  </si>
  <si>
    <t>DFA U.S. Core Equity 1 Portfolio Institutional Class</t>
  </si>
  <si>
    <t>DFA U.S. Large Company Portfolio</t>
  </si>
  <si>
    <t>DFA U.S. Sustainability Core 1 Portfolio</t>
  </si>
  <si>
    <t>DFA U.S. Large Cap Growth Portfolio Institutional Class</t>
  </si>
  <si>
    <t>TIAA-CREF Large-Cap Growth Index Fund Institutional Class</t>
  </si>
  <si>
    <t>DFA U.S. Large Cap Value Portfolio Institutional Class</t>
  </si>
  <si>
    <t>DFA U.S. Core Equity II Portfolio Institutional Class</t>
  </si>
  <si>
    <t>DFA U.S. Vector Equity Portfolio Institutional Class</t>
  </si>
  <si>
    <t>DFA Real Estate Securities Portfolio Institutional Class</t>
  </si>
  <si>
    <t>DFA U.S. Micro Cap Portfolio Institutional Class</t>
  </si>
  <si>
    <t>DFA U.S. Small Cap Portfolio Institutional Class</t>
  </si>
  <si>
    <t>DFA U.S. Small Cap Growth Portfolio Institutional Class</t>
  </si>
  <si>
    <t>DFA U.S. Small Cap Value Portfolio Institutional Class</t>
  </si>
  <si>
    <t>DFA U.S. Targeted Value Portfolio Institutional Class</t>
  </si>
  <si>
    <t>DFA Emerging Markets Portfolio Institutional Class</t>
  </si>
  <si>
    <t>DFA Emerging Markets Core Equity Portfolio Institutional Class</t>
  </si>
  <si>
    <t>DFA Emerging Markets Small Cap Portfolio Institutional Class</t>
  </si>
  <si>
    <t>DFA Emerging Markets Value Portfolio Institutional Class</t>
  </si>
  <si>
    <t>DFA International Sustainability Core 1 Portfolio</t>
  </si>
  <si>
    <t>DFA Large Cap International Portfolio Institutional Class</t>
  </si>
  <si>
    <t>DFA World ex U.S. Core Equity Portfolio Institutional Class Shares</t>
  </si>
  <si>
    <t>Fidelity® International Index Fund Investor Class</t>
  </si>
  <si>
    <t>DFA International Large Cap Growth Portfolio</t>
  </si>
  <si>
    <t>DFA International Small Cap Growth Portfolio</t>
  </si>
  <si>
    <t>DFA International Small Company Portfolio Institutional Class</t>
  </si>
  <si>
    <t>DFA International Small Cap Value Portfolio Institutional Class</t>
  </si>
  <si>
    <t>DFA International Core Equity Portfolio Institutional Class</t>
  </si>
  <si>
    <t>DFA International Value Portfolio Institutional Class</t>
  </si>
  <si>
    <t>DFA International Value Portfolio III</t>
  </si>
  <si>
    <t>DFA International Real Estate Securities Portfolio Institutional Class</t>
  </si>
  <si>
    <t>DFA Global Equity Portfolio Institutional Class</t>
  </si>
  <si>
    <t>DFA World Core Equity Portfolio Institutional Class</t>
  </si>
  <si>
    <t>DFA Global Allocation 60/40 Portfolio Institutional Class</t>
  </si>
  <si>
    <t>DFA Global Allocation 25/75 Portfolio Institutional Class</t>
  </si>
  <si>
    <t>Dimensional Retirement Income Fund Institutional Class</t>
  </si>
  <si>
    <t>Dimensional 2015 Target Date Retirement Income Fund Institutional Class</t>
  </si>
  <si>
    <t>Dimensional 2020 Target Date Retirement Income Fund Institutional Class</t>
  </si>
  <si>
    <t>Dimensional 2025 Target Date Retirement Income Fund Institutional Class</t>
  </si>
  <si>
    <t>Dimensional 2030 Target Date Retirement Income Fund Institutional Class</t>
  </si>
  <si>
    <t>Dimensional 2035 Target Date Retirement Income Fund Institutional Class</t>
  </si>
  <si>
    <t>Dimensional 2040 Target Date Retirement Income Fund Institutional Class</t>
  </si>
  <si>
    <t>Dimensional 2045 Target Date Retirement Income Fund Institutional Class</t>
  </si>
  <si>
    <t>Dimensional 2050 Target Date Retirement Income Fund Institutional Class</t>
  </si>
  <si>
    <t>Dimensional 2055 Target Date Retirement Income Fund Institutional Class</t>
  </si>
  <si>
    <t>Dimensional 2060 Target Date Retirement Income Fund Institutional Class</t>
  </si>
  <si>
    <t>EWJ</t>
  </si>
  <si>
    <t>BSV</t>
  </si>
  <si>
    <t>VCSH</t>
  </si>
  <si>
    <t>CSJ</t>
  </si>
  <si>
    <t>VGSH</t>
  </si>
  <si>
    <t>SHY</t>
  </si>
  <si>
    <t>SHM</t>
  </si>
  <si>
    <t>USAGX</t>
  </si>
  <si>
    <t>PCRDX</t>
  </si>
  <si>
    <t>PCLDX</t>
  </si>
  <si>
    <t>VALE</t>
  </si>
  <si>
    <t>GOLDX</t>
  </si>
  <si>
    <t>DBC</t>
  </si>
  <si>
    <t>VWO</t>
  </si>
  <si>
    <t>iShares MSCI Japan ETF</t>
  </si>
  <si>
    <t>Vanguard Short-Term Bond ETF</t>
  </si>
  <si>
    <t>Vanguard Short Term Corporate Bond ETF</t>
  </si>
  <si>
    <t>iShares Barclays 1-3 Year Credit Bond Fd</t>
  </si>
  <si>
    <t>Vanguard Sht Term Govt Bond ETF</t>
  </si>
  <si>
    <t>iShares Barclays 1-3 Year Treasry Bnd Fd</t>
  </si>
  <si>
    <t>SPDR Nvn Barclys Cptl Shrt Trm Mncpl Bnd</t>
  </si>
  <si>
    <t>USAA Precious Metals and Minerals Fund</t>
  </si>
  <si>
    <t>PIMCO CommodityRealReturn Strategy Fund Class D</t>
  </si>
  <si>
    <t>PIMCO CommoditiesPLUS® Strategy Fund Class D</t>
  </si>
  <si>
    <t>Vale SA (ADR)</t>
  </si>
  <si>
    <t>Gabelli Gold Fund Class AAA</t>
  </si>
  <si>
    <t>PowerShares DB Com Indx Trckng Fund(ETF)</t>
  </si>
  <si>
    <t>Vanguard Emerging Markets Stock Index Fd</t>
  </si>
  <si>
    <t>Silvercorp Metals Inc (CAD)</t>
  </si>
  <si>
    <t>WFIOX</t>
  </si>
  <si>
    <t>NTIAX</t>
  </si>
  <si>
    <t>DISSX</t>
  </si>
  <si>
    <t>EFA</t>
  </si>
  <si>
    <t>WFIEX</t>
  </si>
  <si>
    <t>SCZ</t>
  </si>
  <si>
    <t>EKGYX</t>
  </si>
  <si>
    <t>AGG</t>
  </si>
  <si>
    <t>MNTRX</t>
  </si>
  <si>
    <t>HYG</t>
  </si>
  <si>
    <t>EKHYX</t>
  </si>
  <si>
    <t>NVGBX</t>
  </si>
  <si>
    <t>NVMBX</t>
  </si>
  <si>
    <t>AAGPX</t>
  </si>
  <si>
    <t>DEVIX</t>
  </si>
  <si>
    <t>GSSIX</t>
  </si>
  <si>
    <t>SMVTX</t>
  </si>
  <si>
    <t>WFDDX</t>
  </si>
  <si>
    <t>NVDEX</t>
  </si>
  <si>
    <t>SGRKX</t>
  </si>
  <si>
    <t>STDFX</t>
  </si>
  <si>
    <t>NVSCX</t>
  </si>
  <si>
    <t>WFLOX</t>
  </si>
  <si>
    <t>WFLGX</t>
  </si>
  <si>
    <t>WFLPX</t>
  </si>
  <si>
    <t>WFLIX</t>
  </si>
  <si>
    <t>WFLWX</t>
  </si>
  <si>
    <t>WFQDX</t>
  </si>
  <si>
    <t>Wells Fargo Index Fund - Class Admin</t>
  </si>
  <si>
    <t>Columbia Mid Cap Index Fund Class A</t>
  </si>
  <si>
    <t>Dreyfus Small Cap Stock Index Fund Investor Shares</t>
  </si>
  <si>
    <t>iShares MSCI EAFE Index Fund (ETF)</t>
  </si>
  <si>
    <t>Wells Fargo Diversified International Fund - Class Admin</t>
  </si>
  <si>
    <t>iShares MSCI EAFE Small-Cap ETF</t>
  </si>
  <si>
    <t>Wells Fargo Global Opportunities Fund - Class Admin</t>
  </si>
  <si>
    <t>iShares Barclays Aggregate Bond Fund</t>
  </si>
  <si>
    <t>Wells Fargo Core Bond Fund - Class Admin</t>
  </si>
  <si>
    <t>iShares iBoxx $ High Yid Corp Bond (ETF)</t>
  </si>
  <si>
    <t>Wells Fargo High Yield Bond Fund - Class Admin</t>
  </si>
  <si>
    <t>Wells Fargo Growth Balanced Fund - Class Admin</t>
  </si>
  <si>
    <t>Wells Fargo Moderate Balanced Fund - Class Admin</t>
  </si>
  <si>
    <t>American Beacon Large Cap Value Fund Investor Class</t>
  </si>
  <si>
    <t>Delaware Small Cap Value Fund Institutional Class</t>
  </si>
  <si>
    <t>Goldman Sachs Small Cap Value Fund Institutional</t>
  </si>
  <si>
    <t>RidgeWorth Ceredex Mid-Cap Value Equity Fund I Shares</t>
  </si>
  <si>
    <t>Wells Fargo Discovery Fund - Class Admin</t>
  </si>
  <si>
    <t>Wells Fargo Diversified Equity Fund - Class Admin</t>
  </si>
  <si>
    <t>Wells Fargo Growth Fund - Class Admin</t>
  </si>
  <si>
    <t>Wells Fargo Large Cap Growth Fund - Class Admin</t>
  </si>
  <si>
    <t>Wells Fargo Small Company Growth Fund - Class Admin</t>
  </si>
  <si>
    <t>Wells Fargo Dow Jones Target Today Fund - Class Admin</t>
  </si>
  <si>
    <t>Wells Fargo Dow Jones Target 2010 Fund - Class Admin</t>
  </si>
  <si>
    <t>Wells Fargo Dow Jones Target 2020 Fund - Class Admin</t>
  </si>
  <si>
    <t>Wells Fargo Dow Jones Target 2030 Fund - Class Admin</t>
  </si>
  <si>
    <t>Wells Fargo Dow Jones Target 2040 Fund - Class Admin</t>
  </si>
  <si>
    <t>Wells Fargo Dow Jones Target 2050 Fund - Class Admin</t>
  </si>
  <si>
    <t>FLOT</t>
  </si>
  <si>
    <t>ISTB</t>
  </si>
  <si>
    <t>STIP</t>
  </si>
  <si>
    <t>SUB</t>
  </si>
  <si>
    <t>RING</t>
  </si>
  <si>
    <t>SLVP</t>
  </si>
  <si>
    <t>FSAGX</t>
  </si>
  <si>
    <t>iShares Trust</t>
  </si>
  <si>
    <t>iShares S&amp;P Short Term Natnl Mupl Bd ETF</t>
  </si>
  <si>
    <t>iShares Inc.</t>
  </si>
  <si>
    <t>Fidelity® Select Gold Portfolio</t>
  </si>
  <si>
    <t>Arconic Inc</t>
  </si>
  <si>
    <t>American Eagle Outfitters</t>
  </si>
  <si>
    <t>Advanced Micro Devices, Inc.</t>
  </si>
  <si>
    <t>Abercrombie &amp; Fitch Co.</t>
  </si>
  <si>
    <t>BHP Billiton plc (ADR)</t>
  </si>
  <si>
    <t>Baker Hughes Incorporated</t>
  </si>
  <si>
    <t>Box Inc</t>
  </si>
  <si>
    <t>Cameco Corporation (USA)</t>
  </si>
  <si>
    <t>Chuy's Holdings Inc</t>
  </si>
  <si>
    <t>Coach Inc</t>
  </si>
  <si>
    <t>ConocoPhillips</t>
  </si>
  <si>
    <t>Cypress Semiconductor Corporation</t>
  </si>
  <si>
    <t>Changyou.Com Ltd (ADR)</t>
  </si>
  <si>
    <t>Tableau Software Inc</t>
  </si>
  <si>
    <t>13D Activist Fund Class I</t>
  </si>
  <si>
    <t>Devon Energy Corp</t>
  </si>
  <si>
    <t>iShares MSCI Brazil Index (ETF)</t>
  </si>
  <si>
    <t>Freeport-McMoRan Inc</t>
  </si>
  <si>
    <t>Godaddy Inc</t>
  </si>
  <si>
    <t>Genworth Financial Inc</t>
  </si>
  <si>
    <t>GoPro Inc</t>
  </si>
  <si>
    <t>Groupon Inc</t>
  </si>
  <si>
    <t>GlaxoSmithKline plc (ADR)</t>
  </si>
  <si>
    <t>Gateway Fund Class Y Shares</t>
  </si>
  <si>
    <t>Halliburton Company</t>
  </si>
  <si>
    <t>ORIX Corporation (ADR)</t>
  </si>
  <si>
    <t>El Pollo LoCo Holdings Inc</t>
  </si>
  <si>
    <t>Leucadia National Corp.</t>
  </si>
  <si>
    <t>MBIA Inc.</t>
  </si>
  <si>
    <t>Mizuho Financial Group Inc. (ADR)</t>
  </si>
  <si>
    <t>Navistar International Corp</t>
  </si>
  <si>
    <t>Noodles &amp; Co</t>
  </si>
  <si>
    <t>On Deck Capital Inc</t>
  </si>
  <si>
    <t>Koninklijke Philips NV (ADR)</t>
  </si>
  <si>
    <t>Sumitomo Mitsui Financial Grp, Inc.(ADR)</t>
  </si>
  <si>
    <t>Wingstop Inc</t>
  </si>
  <si>
    <t>Yelp Inc</t>
  </si>
  <si>
    <t>ARNC</t>
  </si>
  <si>
    <t>AEO</t>
  </si>
  <si>
    <t>AMD</t>
  </si>
  <si>
    <t>ANF</t>
  </si>
  <si>
    <t>BBL</t>
  </si>
  <si>
    <t>BHI</t>
  </si>
  <si>
    <t>BOX</t>
  </si>
  <si>
    <t>CCJ</t>
  </si>
  <si>
    <t>CHUY</t>
  </si>
  <si>
    <t>COH</t>
  </si>
  <si>
    <t>COP</t>
  </si>
  <si>
    <t>CY</t>
  </si>
  <si>
    <t>CYOU</t>
  </si>
  <si>
    <t>DATA</t>
  </si>
  <si>
    <t>DDDIX</t>
  </si>
  <si>
    <t>DVN</t>
  </si>
  <si>
    <t>EWZ</t>
  </si>
  <si>
    <t>FCX</t>
  </si>
  <si>
    <t>GDDY</t>
  </si>
  <si>
    <t>GNW</t>
  </si>
  <si>
    <t>GPRO</t>
  </si>
  <si>
    <t>GRPN</t>
  </si>
  <si>
    <t>GSK</t>
  </si>
  <si>
    <t>GTEYX</t>
  </si>
  <si>
    <t>HAL</t>
  </si>
  <si>
    <t>IX</t>
  </si>
  <si>
    <t>LOCO</t>
  </si>
  <si>
    <t>LUK</t>
  </si>
  <si>
    <t>MBI</t>
  </si>
  <si>
    <t>MFG</t>
  </si>
  <si>
    <t>NAV</t>
  </si>
  <si>
    <t>NDLS</t>
  </si>
  <si>
    <t>ONDK</t>
  </si>
  <si>
    <t>PHG</t>
  </si>
  <si>
    <t>SMFG</t>
  </si>
  <si>
    <t>WING</t>
  </si>
  <si>
    <t>YELP</t>
  </si>
  <si>
    <t>ACH</t>
  </si>
  <si>
    <t>ATAI</t>
  </si>
  <si>
    <t>BIDU</t>
  </si>
  <si>
    <t>CHA</t>
  </si>
  <si>
    <t>CHL</t>
  </si>
  <si>
    <t>CHU</t>
  </si>
  <si>
    <t>CTRP</t>
  </si>
  <si>
    <t>EDU</t>
  </si>
  <si>
    <t>GSH</t>
  </si>
  <si>
    <t>HNP</t>
  </si>
  <si>
    <t>JD</t>
  </si>
  <si>
    <t>LFC</t>
  </si>
  <si>
    <t>MOMO</t>
  </si>
  <si>
    <t>NTES</t>
  </si>
  <si>
    <t>RENN</t>
  </si>
  <si>
    <t>SFUN</t>
  </si>
  <si>
    <t>SHI</t>
  </si>
  <si>
    <t>SMI</t>
  </si>
  <si>
    <t>SNP</t>
  </si>
  <si>
    <t>TCEHY</t>
  </si>
  <si>
    <t>XNET</t>
  </si>
  <si>
    <t>ZNH</t>
  </si>
  <si>
    <t>Aluminum Corp. of China Limited (ADR)</t>
  </si>
  <si>
    <t>ATA Inc.(ADR)</t>
  </si>
  <si>
    <t>Baidu Inc (ADR)</t>
  </si>
  <si>
    <t>China Telecom Corporation Limited (ADR)</t>
  </si>
  <si>
    <t>China Mobile Ltd. (ADR)</t>
  </si>
  <si>
    <t>China Unicom (Hong Kong) Limited (ADR)</t>
  </si>
  <si>
    <t>Ctrip.Com International Ltd (ADR)</t>
  </si>
  <si>
    <t>New Oriental Education &amp; Tech Grp (ADR)</t>
  </si>
  <si>
    <t>Guangshen Railway Co. Ltd (ADR)</t>
  </si>
  <si>
    <t>Huaneng Power International Inc (ADR)</t>
  </si>
  <si>
    <t>JD.Com Inc(ADR)</t>
  </si>
  <si>
    <t>China Life Insurance Company Ltd. (ADR)</t>
  </si>
  <si>
    <t>Momo Inc (ADR)</t>
  </si>
  <si>
    <t>NetEase Inc (ADR)</t>
  </si>
  <si>
    <t>Renren Inc</t>
  </si>
  <si>
    <t>Fang Holdings Ltd</t>
  </si>
  <si>
    <t>Sinopec Shanghai Petrochemical Co. (ADR)</t>
  </si>
  <si>
    <t>Semiconductor Manufacturing Int'l (ADR)</t>
  </si>
  <si>
    <t>China Petroleum &amp; Chemical Corp (ADR)</t>
  </si>
  <si>
    <t>TENCENT HLDGS LTD UNSP ADR EACH REP 1 ORD</t>
  </si>
  <si>
    <t>Xunlei Ltd</t>
  </si>
  <si>
    <t>China Southern Airlines Co Ltd (ADR)</t>
  </si>
  <si>
    <t>SPY</t>
  </si>
  <si>
    <t>SPDR S&amp;P 500 ETF</t>
  </si>
  <si>
    <t>MDY</t>
  </si>
  <si>
    <t>SPDR S&amp;P MidCap 400 ETF</t>
  </si>
  <si>
    <t>SLY</t>
  </si>
  <si>
    <t>SPDR S&amp;P 600 Small Cap ETF</t>
  </si>
  <si>
    <t>Weeks =</t>
  </si>
  <si>
    <t>Ticker =</t>
  </si>
  <si>
    <t>Plot</t>
  </si>
  <si>
    <t>Updating TDAmeritrade...</t>
  </si>
  <si>
    <t>Updating 401k...</t>
  </si>
  <si>
    <t>Updating WellsFargo...</t>
  </si>
  <si>
    <t>Updating Fidelity...</t>
  </si>
  <si>
    <t>Updating Watchlist...</t>
  </si>
  <si>
    <t>Updating CNStock...</t>
  </si>
  <si>
    <t>Complete!</t>
  </si>
  <si>
    <t>BLV</t>
  </si>
  <si>
    <t>VGLT</t>
  </si>
  <si>
    <t>TLT</t>
  </si>
  <si>
    <t>EDV</t>
  </si>
  <si>
    <t>Vanguard Long-Term Bond ETF</t>
  </si>
  <si>
    <t>Vanguard Lg Term Govt Bd ETF</t>
  </si>
  <si>
    <t>iShares Barclays 20+ Yr Treas.Bond (ETF)</t>
  </si>
  <si>
    <t>Vanguard Extended Duration ETF</t>
  </si>
  <si>
    <t>21Vianet</t>
  </si>
  <si>
    <t>500.com</t>
  </si>
  <si>
    <t>51job</t>
  </si>
  <si>
    <t>58.com</t>
  </si>
  <si>
    <t>Acorn</t>
  </si>
  <si>
    <t>Airmedia</t>
  </si>
  <si>
    <t>Alibaba Group</t>
  </si>
  <si>
    <t>Aluminum Corporation of China</t>
  </si>
  <si>
    <t>ATA</t>
  </si>
  <si>
    <t>Autohome</t>
  </si>
  <si>
    <t>Baidu</t>
  </si>
  <si>
    <t>Baozun</t>
  </si>
  <si>
    <t>Beigene</t>
  </si>
  <si>
    <t>Changyou.com</t>
  </si>
  <si>
    <t>Cheetah Mobile</t>
  </si>
  <si>
    <t>China Digital TV Holding</t>
  </si>
  <si>
    <t>China Distance Education</t>
  </si>
  <si>
    <t>China Eastern Airlines</t>
  </si>
  <si>
    <t>China Finance Online</t>
  </si>
  <si>
    <t>China Life Insurance</t>
  </si>
  <si>
    <t>China Lodging</t>
  </si>
  <si>
    <t>China Mobile</t>
  </si>
  <si>
    <t>China National Offshore Oil-CNOOC</t>
  </si>
  <si>
    <t>China New Borun</t>
  </si>
  <si>
    <t>China Online Education</t>
  </si>
  <si>
    <t>China Petroleum &amp; Chemical</t>
  </si>
  <si>
    <t>China Southern Airlines</t>
  </si>
  <si>
    <t>China Techfaith Wireless Communication</t>
  </si>
  <si>
    <t>China Telecom</t>
  </si>
  <si>
    <t>China Unicom</t>
  </si>
  <si>
    <t>China Xiniya Fashion</t>
  </si>
  <si>
    <t>China Zenix Auto International</t>
  </si>
  <si>
    <t>ChinaCache</t>
  </si>
  <si>
    <t>Concord Medical Services</t>
  </si>
  <si>
    <t>CTrip.com International</t>
  </si>
  <si>
    <t>Daqo New Energy</t>
  </si>
  <si>
    <t>eHi Car Services</t>
  </si>
  <si>
    <t>GDS Holdings</t>
  </si>
  <si>
    <t>Gridsum</t>
  </si>
  <si>
    <t>Guangshen Railway</t>
  </si>
  <si>
    <t>Hailiang Education</t>
  </si>
  <si>
    <t>Hanwha Q Cells</t>
  </si>
  <si>
    <t>Huaneng Power International</t>
  </si>
  <si>
    <t>Hutchison China Meditech</t>
  </si>
  <si>
    <t>iKang Healthcare Group</t>
  </si>
  <si>
    <t>JA Solar</t>
  </si>
  <si>
    <t>JD.com</t>
  </si>
  <si>
    <t>JinkoSolar</t>
  </si>
  <si>
    <t>Jumei</t>
  </si>
  <si>
    <t>Jupai Holdings</t>
  </si>
  <si>
    <t>Kingtone Wirelessinfo Solution</t>
  </si>
  <si>
    <t>KongZhong</t>
  </si>
  <si>
    <t>Leju Holdings</t>
  </si>
  <si>
    <t>LightInTheBox</t>
  </si>
  <si>
    <t>MOMO Inc</t>
  </si>
  <si>
    <t>NetEase</t>
  </si>
  <si>
    <t>New Oriental Education &amp; Technology</t>
  </si>
  <si>
    <t>Noah Holdings</t>
  </si>
  <si>
    <t>NQ Mobile</t>
  </si>
  <si>
    <t>Ossen Innovation</t>
  </si>
  <si>
    <t>PetroChina</t>
  </si>
  <si>
    <t>Phoenix New Media</t>
  </si>
  <si>
    <t>Qunar</t>
  </si>
  <si>
    <t>ReneSola</t>
  </si>
  <si>
    <t>Renren</t>
  </si>
  <si>
    <t>Sinopec Shanghai Petrochemical</t>
  </si>
  <si>
    <t>Sky Solar Holdings Ltd</t>
  </si>
  <si>
    <t>SouFun</t>
  </si>
  <si>
    <t>SPI Energy</t>
  </si>
  <si>
    <t>TAL Education</t>
  </si>
  <si>
    <t>Tarena</t>
  </si>
  <si>
    <t>The9</t>
  </si>
  <si>
    <t>Trina Solar</t>
  </si>
  <si>
    <t>Tuniu Corp</t>
  </si>
  <si>
    <t>Vipshop</t>
  </si>
  <si>
    <t>VisionChina Media</t>
  </si>
  <si>
    <t>Weibo Corporation</t>
  </si>
  <si>
    <t>Wowo Ltd</t>
  </si>
  <si>
    <t>Xinyuan Real Estate</t>
  </si>
  <si>
    <t>Xunlei</t>
  </si>
  <si>
    <t>Yanzhou Coal Mining</t>
  </si>
  <si>
    <t>Yingli Green Energy</t>
  </si>
  <si>
    <t>Yintech Investment</t>
  </si>
  <si>
    <t>Yirendai Limited</t>
  </si>
  <si>
    <t>YY Inc.</t>
  </si>
  <si>
    <t>Zhaopin LTD</t>
  </si>
  <si>
    <t>ZTO Express</t>
  </si>
  <si>
    <t>VNET</t>
  </si>
  <si>
    <t>WBAI</t>
  </si>
  <si>
    <t>JOBS</t>
  </si>
  <si>
    <t>WUBA</t>
  </si>
  <si>
    <t>ATV</t>
  </si>
  <si>
    <t>AMCN</t>
  </si>
  <si>
    <t>ATHM</t>
  </si>
  <si>
    <t>BZUN</t>
  </si>
  <si>
    <t>BGNE</t>
  </si>
  <si>
    <t>CMCM</t>
  </si>
  <si>
    <t>STV</t>
  </si>
  <si>
    <t>DL</t>
  </si>
  <si>
    <t>CEA</t>
  </si>
  <si>
    <t>JRJC</t>
  </si>
  <si>
    <t>HTHT</t>
  </si>
  <si>
    <t>BORN</t>
  </si>
  <si>
    <t>COE</t>
  </si>
  <si>
    <t>CNTF</t>
  </si>
  <si>
    <t>XNY</t>
  </si>
  <si>
    <t>ZX</t>
  </si>
  <si>
    <t>CCIH</t>
  </si>
  <si>
    <t>CCM</t>
  </si>
  <si>
    <t>DQ</t>
  </si>
  <si>
    <t>EHIC</t>
  </si>
  <si>
    <t>GDS</t>
  </si>
  <si>
    <t>GSUM</t>
  </si>
  <si>
    <t>HLG</t>
  </si>
  <si>
    <t>HQCL</t>
  </si>
  <si>
    <t>HCM</t>
  </si>
  <si>
    <t>KANG</t>
  </si>
  <si>
    <t>JASO</t>
  </si>
  <si>
    <t>JKS</t>
  </si>
  <si>
    <t>JMEI</t>
  </si>
  <si>
    <t>JP</t>
  </si>
  <si>
    <t>KONE</t>
  </si>
  <si>
    <t>KZ</t>
  </si>
  <si>
    <t>LEJU</t>
  </si>
  <si>
    <t>LITB</t>
  </si>
  <si>
    <t>NOAH</t>
  </si>
  <si>
    <t>NQ</t>
  </si>
  <si>
    <t>OSN</t>
  </si>
  <si>
    <t>FENG</t>
  </si>
  <si>
    <t>QUNR</t>
  </si>
  <si>
    <t>SOL</t>
  </si>
  <si>
    <t>SKYS</t>
  </si>
  <si>
    <t>SPI</t>
  </si>
  <si>
    <t>TEDU</t>
  </si>
  <si>
    <t>NCTY</t>
  </si>
  <si>
    <t>TSL</t>
  </si>
  <si>
    <t>TOUR</t>
  </si>
  <si>
    <t>VIPS</t>
  </si>
  <si>
    <t>VISN</t>
  </si>
  <si>
    <t>JMU</t>
  </si>
  <si>
    <t>XIN</t>
  </si>
  <si>
    <t>YZC</t>
  </si>
  <si>
    <t>YGE</t>
  </si>
  <si>
    <t>YIN</t>
  </si>
  <si>
    <t>YRD</t>
  </si>
  <si>
    <t>YY</t>
  </si>
  <si>
    <t>ZPIN</t>
  </si>
  <si>
    <t>ZTO</t>
  </si>
  <si>
    <t>Fanhua Inc.</t>
  </si>
  <si>
    <t>FANH</t>
  </si>
  <si>
    <t>TAL</t>
  </si>
  <si>
    <t>500彩票网</t>
  </si>
  <si>
    <t>58同城</t>
  </si>
  <si>
    <t>世纪互联</t>
  </si>
  <si>
    <t>航美传媒</t>
  </si>
  <si>
    <t>橡果国际</t>
  </si>
  <si>
    <t>中国铝业股份有限公司</t>
  </si>
  <si>
    <t>ATA在线考试</t>
  </si>
  <si>
    <t>招聘网</t>
  </si>
  <si>
    <t>阿里巴巴</t>
  </si>
  <si>
    <t>汽车之家</t>
  </si>
  <si>
    <t>百度</t>
  </si>
  <si>
    <t>宝尊电商</t>
  </si>
  <si>
    <t>百济神州</t>
  </si>
  <si>
    <t>畅游</t>
  </si>
  <si>
    <t>北京猎豹网络科技有限公司</t>
  </si>
  <si>
    <t>永新视博</t>
  </si>
  <si>
    <t>东大正保远程教育</t>
  </si>
  <si>
    <t>中国东方航空公司</t>
  </si>
  <si>
    <t>中国金融在线</t>
  </si>
  <si>
    <t>中国人寿保险</t>
  </si>
  <si>
    <t>Company Name</t>
  </si>
  <si>
    <t>华住酒店集团</t>
  </si>
  <si>
    <t>中国移动</t>
  </si>
  <si>
    <t>中国海洋石油有限公司</t>
  </si>
  <si>
    <t>中国新博润集团</t>
  </si>
  <si>
    <t>51Talk无忧英语</t>
  </si>
  <si>
    <t>中国石化</t>
  </si>
  <si>
    <t>中国南方航空公司</t>
  </si>
  <si>
    <t>泰克飞石</t>
  </si>
  <si>
    <t>中国电信</t>
  </si>
  <si>
    <t>中国联通</t>
  </si>
  <si>
    <t>希尼亚服装</t>
  </si>
  <si>
    <t>正兴集团（汽车配件）</t>
  </si>
  <si>
    <t>蓝汛CDN服务提供商</t>
  </si>
  <si>
    <t>泛华金融控股集团</t>
  </si>
  <si>
    <t>泰和诚医疗集团有限公司</t>
  </si>
  <si>
    <t>携程</t>
  </si>
  <si>
    <t>大全新能源公司,太阳能光伏</t>
  </si>
  <si>
    <t>一嗨租车</t>
  </si>
  <si>
    <t>万国数据服务有限公司</t>
  </si>
  <si>
    <t>国双科技有限公司</t>
  </si>
  <si>
    <t>广深铁路股份</t>
  </si>
  <si>
    <t>海亮教育集团</t>
  </si>
  <si>
    <t>韩华 Q CELLS, 光伏</t>
  </si>
  <si>
    <t>华能国际电力控股有限公司</t>
  </si>
  <si>
    <t>和记中国医疗科技, 中成药</t>
  </si>
  <si>
    <t>爱康国宾健康体检管理集团</t>
  </si>
  <si>
    <t>晶澳太阳能有限公司</t>
  </si>
  <si>
    <t>京东</t>
  </si>
  <si>
    <t>晶科能源控股有限公司</t>
  </si>
  <si>
    <t>聚美优品</t>
  </si>
  <si>
    <t>钜派投资集团</t>
  </si>
  <si>
    <t>西安联合信息技术股份有限公司</t>
  </si>
  <si>
    <t>空中网,网络游戏研发商和运营商</t>
  </si>
  <si>
    <t>兰亭集势, 电子商务公司</t>
  </si>
  <si>
    <t>乐居控股有限公司</t>
  </si>
  <si>
    <t>网易</t>
  </si>
  <si>
    <t>新东方</t>
  </si>
  <si>
    <t>诺亚财富</t>
  </si>
  <si>
    <t>网秦移动</t>
  </si>
  <si>
    <t>奥盛创新</t>
  </si>
  <si>
    <t>中国石油天然气股份有限公司</t>
  </si>
  <si>
    <t>凤凰新媒体</t>
  </si>
  <si>
    <t>去哪儿网</t>
  </si>
  <si>
    <t>昱辉屋顶电站</t>
  </si>
  <si>
    <t>人人网</t>
  </si>
  <si>
    <t>上海石化</t>
  </si>
  <si>
    <t>天华阳光控股有限公司，太阳能</t>
  </si>
  <si>
    <t>房天下，搜房网</t>
  </si>
  <si>
    <t>Solar Power 光伏</t>
  </si>
  <si>
    <t>世纪好未来教育科技有限公司</t>
  </si>
  <si>
    <t>达内时代科技集团，职业教育</t>
  </si>
  <si>
    <t>第九城市</t>
  </si>
  <si>
    <t>天合光能</t>
  </si>
  <si>
    <t>途牛旅游网</t>
  </si>
  <si>
    <t>唯品会</t>
  </si>
  <si>
    <t>华视传媒</t>
  </si>
  <si>
    <t>微博</t>
  </si>
  <si>
    <t>北京窝窝团信息技术有限公司</t>
  </si>
  <si>
    <t>鑫苑置业</t>
  </si>
  <si>
    <t>迅雷</t>
  </si>
  <si>
    <t>兖州煤业股份有限公司</t>
  </si>
  <si>
    <t>英利光伏</t>
  </si>
  <si>
    <t>银科投资控股有限公司， 黄金和大宗商品现货交易服务</t>
  </si>
  <si>
    <t>宜人贷</t>
  </si>
  <si>
    <t>欢聚时代，网络直播公司</t>
  </si>
  <si>
    <t>智联招聘</t>
  </si>
  <si>
    <t>中通快递</t>
  </si>
  <si>
    <t>WPM</t>
  </si>
  <si>
    <t>Wheaton Precious Metals</t>
  </si>
  <si>
    <t>SVM</t>
  </si>
  <si>
    <t>Silvercorp Metals Inc</t>
  </si>
  <si>
    <t>Updating China...</t>
  </si>
  <si>
    <t>RDS.A</t>
  </si>
  <si>
    <t>BP</t>
  </si>
  <si>
    <t>BP plc (ADR)</t>
  </si>
  <si>
    <t>XOM</t>
  </si>
  <si>
    <t>Exxon Mobil Corporation</t>
  </si>
  <si>
    <t>CVX</t>
  </si>
  <si>
    <t>Chevron Corporation</t>
  </si>
  <si>
    <t>Updating OptionsHouse...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</si>
</sst>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20">
    <xf numFmtId="0" fontId="0" fillId="0" borderId="0" xfId="0"/>
    <xf numFmtId="0" fontId="3" fillId="2" borderId="0" xfId="0" applyFont="1" applyFill="1"/>
    <xf numFmtId="0" fontId="3" fillId="0" borderId="0" xfId="0" applyFont="1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2" fontId="3" fillId="2" borderId="0" xfId="0" applyNumberFormat="1" applyFont="1" applyFill="1"/>
    <xf numFmtId="2" fontId="3" fillId="0" borderId="0" xfId="0" applyNumberFormat="1" applyFont="1"/>
    <xf numFmtId="164" fontId="2" fillId="0" borderId="2" xfId="1" applyNumberFormat="1" applyFont="1" applyBorder="1" applyAlignment="1">
      <alignment horizontal="center" wrapText="1"/>
    </xf>
    <xf numFmtId="0" fontId="3" fillId="0" borderId="0" xfId="0" applyFont="1" applyBorder="1"/>
    <xf numFmtId="2" fontId="3" fillId="0" borderId="0" xfId="0" applyNumberFormat="1" applyFont="1" applyBorder="1"/>
    <xf numFmtId="9" fontId="3" fillId="2" borderId="0" xfId="1" applyNumberFormat="1" applyFont="1" applyFill="1"/>
    <xf numFmtId="9" fontId="3" fillId="0" borderId="0" xfId="1" applyNumberFormat="1" applyFont="1"/>
    <xf numFmtId="9" fontId="3" fillId="0" borderId="0" xfId="1" applyNumberFormat="1" applyFont="1" applyBorder="1"/>
    <xf numFmtId="0" fontId="4" fillId="3" borderId="0" xfId="2" applyAlignment="1">
      <alignment horizontal="right"/>
    </xf>
    <xf numFmtId="164" fontId="3" fillId="2" borderId="0" xfId="0" applyNumberFormat="1" applyFont="1" applyFill="1"/>
    <xf numFmtId="164" fontId="3" fillId="0" borderId="0" xfId="0" applyNumberFormat="1" applyFont="1"/>
    <xf numFmtId="164" fontId="3" fillId="0" borderId="0" xfId="0" applyNumberFormat="1" applyFont="1" applyBorder="1"/>
    <xf numFmtId="164" fontId="0" fillId="0" borderId="0" xfId="0" applyNumberFormat="1"/>
    <xf numFmtId="0" fontId="2" fillId="0" borderId="0" xfId="0" applyFont="1" applyFill="1" applyBorder="1" applyAlignment="1">
      <alignment horizontal="center" wrapText="1"/>
    </xf>
    <xf numFmtId="0" fontId="4" fillId="3" borderId="0" xfId="2"/>
  </cellXfs>
  <cellStyles count="3">
    <cellStyle name="Good" xfId="2" builtinId="26"/>
    <cellStyle name="Normal" xfId="0" builtinId="0"/>
    <cellStyle name="Percent" xfId="1" builtinId="5"/>
  </cellStyles>
  <dxfs count="67"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5</xdr:row>
      <xdr:rowOff>0</xdr:rowOff>
    </xdr:from>
    <xdr:to>
      <xdr:col>13</xdr:col>
      <xdr:colOff>590550</xdr:colOff>
      <xdr:row>28</xdr:row>
      <xdr:rowOff>95250</xdr:rowOff>
    </xdr:to>
    <xdr:pic>
      <xdr:nvPicPr>
        <xdr:cNvPr id="3" name="52W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49" y="952500"/>
          <a:ext cx="7886701" cy="4476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219075</xdr:colOff>
          <xdr:row>4</xdr:row>
          <xdr:rowOff>57150</xdr:rowOff>
        </xdr:from>
        <xdr:to>
          <xdr:col>23</xdr:col>
          <xdr:colOff>371475</xdr:colOff>
          <xdr:row>6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Current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B3" sqref="B3"/>
    </sheetView>
  </sheetViews>
  <sheetFormatPr defaultRowHeight="15"/>
  <sheetData>
    <row r="1" spans="1:2">
      <c r="A1" t="s">
        <v>436</v>
      </c>
      <c r="B1" s="19" t="s">
        <v>246</v>
      </c>
    </row>
    <row r="2" spans="1:2">
      <c r="A2" t="s">
        <v>435</v>
      </c>
      <c r="B2" s="13">
        <v>520</v>
      </c>
    </row>
    <row r="3" spans="1:2">
      <c r="A3" t="s">
        <v>437</v>
      </c>
      <c r="B3" t="str">
        <f>myplot_candlestick(B1, B2)</f>
        <v>urllib.error.URLError: &lt;urlopen error [Errno 11004] getaddrinfo failed&gt;
    raise URLError(err)
  File "C:\Continuum\Anaconda3\lib\urllib\request.py", line 1256, in do_open
    return self.do_open(http.client.HTTPConnection, req)
  File "C:\Continuum\Anaconda3\lib\urllib\request.py", line 1282, in http_open
    result = func(*args)
  File "C:\Continuum\Anaconda3\lib\urllib\request.py", line 444, in _call_chain
    '_open', req)
  File "C:\Continuum\Anaconda3\lib\urllib\request.py", line 484, in _open
    response = self._open(req, data)
  File "C:\Continuum\Anaconda3\lib\urllib\request.py", line 466, in open
    return opener.open(url, data, timeout)
  File "C:\Continuum\Anaconda3\lib\urllib\request.py", line 163, in urlopen
    with contextlib.closing(urlopen(url)) as urlfh:
  File "C:\Continuum\Anaconda3\lib\site-packages\matplotlib\finance.py", line 362, in fetch_historical_yahoo
    fh = fetch_historical_yahoo(ticker, date1, date2, cachename)
  File "C:\Continuum\Anaconda3\lib\site-packages\matplotlib\finance.py", line 503, in _quotes_historical_yahoo
    ochl=False)
  File "C:\Continuum\Anaconda3\lib\site-packages\matplotlib\finance.py", line 455, in quotes_historical_yahoo_ohlc
    quotes = quotes_historical_yahoo_ohlc(ticker, start, datetime.date.today())
  File "C:\Users\ywang\Desktop\Download\GitHub\MyProjects\InvestExcel\MyPort.py", line 53, in myplot_candlestick
    ret = func(*args)
  File "C:\Continuum\Anaconda3\lib\site-packages\xlwings\udfs.py", line 250, in call_udf
    res = call_udf(script, fname, args, this_workbook, FromVariant(caller))
  File "C:\Continuum\Anaconda3\lib\site-packages\xlwings\server.py", line 190, in CallUDF
    return func(*args)
  File "C:\Continuum\Anaconda3\lib\site-packages\win32com\server\policy.py", line 586, in _invokeex_
    return S_OK, -1, self._invokeex_(dispid, lcid, wFlags, args, None, None)
  File "C:\Continuum\Anaconda3\lib\site-packages\win32com\server\policy.py", line 283, in _invoke_
    return self._invoke_(dispid, lcid, wFlags, args)
  File "C:\Continuum\Anaconda3\lib\site-packages\win32com\server\policy.py", line 278, in _Invoke_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7"/>
  <sheetViews>
    <sheetView zoomScale="80" zoomScaleNormal="80" workbookViewId="0">
      <pane ySplit="1" topLeftCell="A5" activePane="bottomLeft" state="frozen"/>
      <selection activeCell="E2" sqref="E2:E46"/>
      <selection pane="bottomLeft" activeCell="H30" sqref="G30:H47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0">
      <c r="A2" s="1" t="s">
        <v>0</v>
      </c>
      <c r="B2" s="1" t="s">
        <v>40</v>
      </c>
      <c r="C2" s="5">
        <v>156.36000000000001</v>
      </c>
      <c r="D2" s="5">
        <v>-9.9999999747524271E-7</v>
      </c>
      <c r="E2" s="14">
        <v>3.55</v>
      </c>
      <c r="F2" s="5">
        <v>156.36000100000001</v>
      </c>
      <c r="G2" s="5">
        <v>40.470001000000003</v>
      </c>
      <c r="H2" s="10">
        <v>2.863602573175128</v>
      </c>
      <c r="I2" s="5">
        <v>160.4888891666667</v>
      </c>
      <c r="J2" s="10">
        <v>-2.5726947130769062E-2</v>
      </c>
      <c r="K2" s="5">
        <v>155.6855264473684</v>
      </c>
      <c r="L2" s="10">
        <v>4.3322816707667133E-3</v>
      </c>
      <c r="M2" s="5">
        <v>139.19457601694916</v>
      </c>
      <c r="N2" s="10">
        <v>0.12331963266270307</v>
      </c>
      <c r="O2" s="5">
        <v>168.05999800000001</v>
      </c>
      <c r="P2" s="10">
        <v>-6.9617982501701481E-2</v>
      </c>
      <c r="Q2" s="5">
        <v>55.200001</v>
      </c>
      <c r="R2" s="10">
        <v>1.8326086443368004</v>
      </c>
    </row>
    <row r="3" spans="1:20">
      <c r="A3" s="2" t="s">
        <v>1</v>
      </c>
      <c r="B3" s="2" t="s">
        <v>41</v>
      </c>
      <c r="C3" s="6">
        <v>80.91</v>
      </c>
      <c r="D3" s="6">
        <v>-4.0000000041118255E-6</v>
      </c>
      <c r="E3" s="15">
        <v>3.35</v>
      </c>
      <c r="F3" s="6">
        <v>80.910004000000001</v>
      </c>
      <c r="G3" s="6">
        <v>20.76</v>
      </c>
      <c r="H3" s="11">
        <v>2.8973988439306355</v>
      </c>
      <c r="I3" s="6">
        <v>82.820499800000022</v>
      </c>
      <c r="J3" s="11">
        <v>-2.3067957868083577E-2</v>
      </c>
      <c r="K3" s="6">
        <v>80.593749850000009</v>
      </c>
      <c r="L3" s="11">
        <v>3.9240034194785167E-3</v>
      </c>
      <c r="M3" s="6">
        <v>72.114499733333318</v>
      </c>
      <c r="N3" s="11">
        <v>0.12196576692885452</v>
      </c>
      <c r="O3" s="6">
        <v>87.029999000000004</v>
      </c>
      <c r="P3" s="11">
        <v>-7.0320568428364649E-2</v>
      </c>
      <c r="Q3" s="6">
        <v>28.209999</v>
      </c>
      <c r="R3" s="11">
        <v>1.8681319698026222</v>
      </c>
      <c r="T3" t="s">
        <v>704</v>
      </c>
    </row>
    <row r="4" spans="1:20">
      <c r="A4" s="1" t="s">
        <v>2</v>
      </c>
      <c r="B4" s="1" t="s">
        <v>42</v>
      </c>
      <c r="C4" s="5">
        <v>2.16</v>
      </c>
      <c r="D4" s="5">
        <v>0</v>
      </c>
      <c r="E4" s="14">
        <v>-0.46</v>
      </c>
      <c r="F4" s="5">
        <v>2.16</v>
      </c>
      <c r="G4" s="5">
        <v>1.5</v>
      </c>
      <c r="H4" s="10">
        <v>0.44000000000000017</v>
      </c>
      <c r="I4" s="5">
        <v>2.2834999999999992</v>
      </c>
      <c r="J4" s="10">
        <v>-5.408364352966899E-2</v>
      </c>
      <c r="K4" s="5">
        <v>2.388500000000001</v>
      </c>
      <c r="L4" s="10">
        <v>-9.5666736445468192E-2</v>
      </c>
      <c r="M4" s="5">
        <v>2.4293877551020415</v>
      </c>
      <c r="N4" s="10">
        <v>-0.11088709677419373</v>
      </c>
      <c r="O4" s="5">
        <v>2.86</v>
      </c>
      <c r="P4" s="10">
        <v>-0.24475524475524468</v>
      </c>
      <c r="Q4" s="5">
        <v>2.16</v>
      </c>
      <c r="R4" s="10">
        <v>0</v>
      </c>
      <c r="T4" t="s">
        <v>444</v>
      </c>
    </row>
    <row r="5" spans="1:20">
      <c r="A5" s="2" t="s">
        <v>3</v>
      </c>
      <c r="B5" s="2" t="s">
        <v>43</v>
      </c>
      <c r="C5" s="6">
        <v>2.2599999999999998</v>
      </c>
      <c r="D5" s="6">
        <v>0</v>
      </c>
      <c r="E5" s="15">
        <v>0</v>
      </c>
      <c r="F5" s="6">
        <v>2.2599999999999998</v>
      </c>
      <c r="G5" s="6">
        <v>1.5</v>
      </c>
      <c r="H5" s="11">
        <v>0.5066666666666666</v>
      </c>
      <c r="I5" s="6">
        <v>2.3834999999999997</v>
      </c>
      <c r="J5" s="11">
        <v>-5.1814558422487944E-2</v>
      </c>
      <c r="K5" s="6">
        <v>2.4942500000000001</v>
      </c>
      <c r="L5" s="11">
        <v>-9.3916006815676134E-2</v>
      </c>
      <c r="M5" s="6">
        <v>2.9116666666666666</v>
      </c>
      <c r="N5" s="11">
        <v>-0.22381224957069268</v>
      </c>
      <c r="O5" s="6">
        <v>4.49</v>
      </c>
      <c r="P5" s="11">
        <v>-0.49665924276169271</v>
      </c>
      <c r="Q5" s="6">
        <v>1.64</v>
      </c>
      <c r="R5" s="11">
        <v>0.37804878048780477</v>
      </c>
    </row>
    <row r="6" spans="1:20">
      <c r="A6" s="1" t="s">
        <v>4</v>
      </c>
      <c r="B6" s="1" t="s">
        <v>44</v>
      </c>
      <c r="C6" s="5">
        <v>18.02</v>
      </c>
      <c r="D6" s="5">
        <v>0</v>
      </c>
      <c r="E6" s="14">
        <v>0.5</v>
      </c>
      <c r="F6" s="5">
        <v>18.02</v>
      </c>
      <c r="G6" s="5">
        <v>15</v>
      </c>
      <c r="H6" s="10">
        <v>0.20133333333333336</v>
      </c>
      <c r="I6" s="5">
        <v>17.543000199999998</v>
      </c>
      <c r="J6" s="10">
        <v>2.7190320615740671E-2</v>
      </c>
      <c r="K6" s="5">
        <v>17.922000175000001</v>
      </c>
      <c r="L6" s="10">
        <v>5.4681298986205551E-3</v>
      </c>
      <c r="M6" s="5">
        <v>16.640333466666675</v>
      </c>
      <c r="N6" s="10">
        <v>8.2910990702020682E-2</v>
      </c>
      <c r="O6" s="5">
        <v>24.870001000000002</v>
      </c>
      <c r="P6" s="10">
        <v>-0.27543227682218441</v>
      </c>
      <c r="Q6" s="5">
        <v>14.29</v>
      </c>
      <c r="R6" s="10">
        <v>0.26102169349195248</v>
      </c>
    </row>
    <row r="7" spans="1:20">
      <c r="A7" s="2" t="s">
        <v>5</v>
      </c>
      <c r="B7" s="2" t="s">
        <v>45</v>
      </c>
      <c r="C7" s="6">
        <v>5.43</v>
      </c>
      <c r="D7" s="6">
        <v>0</v>
      </c>
      <c r="E7" s="15">
        <v>1.1200000000000001</v>
      </c>
      <c r="F7" s="6">
        <v>5.43</v>
      </c>
      <c r="G7" s="6">
        <v>5</v>
      </c>
      <c r="H7" s="11">
        <v>8.5999999999999854E-2</v>
      </c>
      <c r="I7" s="6">
        <v>5.6235000000000017</v>
      </c>
      <c r="J7" s="11">
        <v>-3.4409175780208412E-2</v>
      </c>
      <c r="K7" s="6">
        <v>5.6692499999999999</v>
      </c>
      <c r="L7" s="11">
        <v>-4.2201349384839326E-2</v>
      </c>
      <c r="M7" s="6">
        <v>5.6829166666666682</v>
      </c>
      <c r="N7" s="11">
        <v>-4.4504729085710348E-2</v>
      </c>
      <c r="O7" s="6">
        <v>6.68</v>
      </c>
      <c r="P7" s="11">
        <v>-0.18712574850299402</v>
      </c>
      <c r="Q7" s="6">
        <v>4.0999999999999996</v>
      </c>
      <c r="R7" s="11">
        <v>0.32439024390243909</v>
      </c>
    </row>
    <row r="8" spans="1:20">
      <c r="A8" s="1" t="s">
        <v>6</v>
      </c>
      <c r="B8" s="1" t="s">
        <v>46</v>
      </c>
      <c r="C8" s="5">
        <v>151.44</v>
      </c>
      <c r="D8" s="5">
        <v>-1.9999999949504854E-6</v>
      </c>
      <c r="E8" s="14">
        <v>1.76</v>
      </c>
      <c r="F8" s="5">
        <v>151.44000199999999</v>
      </c>
      <c r="G8" s="5">
        <v>25</v>
      </c>
      <c r="H8" s="10">
        <v>5.0575999999999999</v>
      </c>
      <c r="I8" s="5">
        <v>151.26849965</v>
      </c>
      <c r="J8" s="10">
        <v>1.1337479408919382E-3</v>
      </c>
      <c r="K8" s="5">
        <v>150.99925077500001</v>
      </c>
      <c r="L8" s="10">
        <v>2.9188835225197884E-3</v>
      </c>
      <c r="M8" s="5">
        <v>142.84883330833335</v>
      </c>
      <c r="N8" s="10">
        <v>6.0141665092377394E-2</v>
      </c>
      <c r="O8" s="5">
        <v>155.070007</v>
      </c>
      <c r="P8" s="10">
        <v>-2.3408827214407735E-2</v>
      </c>
      <c r="Q8" s="5">
        <v>115.050003</v>
      </c>
      <c r="R8" s="10">
        <v>0.31629722773670843</v>
      </c>
    </row>
    <row r="9" spans="1:20">
      <c r="A9" s="2" t="s">
        <v>7</v>
      </c>
      <c r="B9" s="2" t="s">
        <v>47</v>
      </c>
      <c r="C9" s="6">
        <v>27.16</v>
      </c>
      <c r="D9" s="6">
        <v>0</v>
      </c>
      <c r="E9" s="15">
        <v>0.26</v>
      </c>
      <c r="F9" s="6">
        <v>27.16</v>
      </c>
      <c r="G9" s="6">
        <v>23</v>
      </c>
      <c r="H9" s="11">
        <v>0.18086956521739128</v>
      </c>
      <c r="I9" s="6">
        <v>26.575882</v>
      </c>
      <c r="J9" s="11">
        <v>2.197925171401649E-2</v>
      </c>
      <c r="K9" s="6">
        <v>25.820270054054056</v>
      </c>
      <c r="L9" s="11">
        <v>5.1886751886841331E-2</v>
      </c>
      <c r="M9" s="6">
        <v>25.22700844444444</v>
      </c>
      <c r="N9" s="11">
        <v>7.6623891406404576E-2</v>
      </c>
      <c r="O9" s="6">
        <v>27.16</v>
      </c>
      <c r="P9" s="11">
        <v>0</v>
      </c>
      <c r="Q9" s="6">
        <v>23.450001</v>
      </c>
      <c r="R9" s="11">
        <v>0.15820890583330893</v>
      </c>
    </row>
    <row r="10" spans="1:20">
      <c r="A10" s="1" t="s">
        <v>8</v>
      </c>
      <c r="B10" s="1" t="s">
        <v>48</v>
      </c>
      <c r="C10" s="5">
        <v>33.35</v>
      </c>
      <c r="D10" s="5">
        <v>-1.0001000000002591E-2</v>
      </c>
      <c r="E10" s="14">
        <v>0.56999999999999995</v>
      </c>
      <c r="F10" s="5">
        <v>33.360001000000004</v>
      </c>
      <c r="G10" s="5">
        <v>30.5</v>
      </c>
      <c r="H10" s="10">
        <v>9.344262295081962E-2</v>
      </c>
      <c r="I10" s="5">
        <v>32.369411470588233</v>
      </c>
      <c r="J10" s="10">
        <v>3.0293678039304384E-2</v>
      </c>
      <c r="K10" s="5">
        <v>31.685405324324325</v>
      </c>
      <c r="L10" s="10">
        <v>5.253506018424825E-2</v>
      </c>
      <c r="M10" s="5">
        <v>32.934957188034204</v>
      </c>
      <c r="N10" s="10">
        <v>1.2601893167682343E-2</v>
      </c>
      <c r="O10" s="5">
        <v>35.919998</v>
      </c>
      <c r="P10" s="10">
        <v>-7.1547832491527408E-2</v>
      </c>
      <c r="Q10" s="5">
        <v>30.309998999999998</v>
      </c>
      <c r="R10" s="10">
        <v>0.10029696800715837</v>
      </c>
    </row>
    <row r="11" spans="1:20">
      <c r="A11" s="2" t="s">
        <v>9</v>
      </c>
      <c r="B11" s="2" t="s">
        <v>49</v>
      </c>
      <c r="C11" s="6">
        <v>142.43</v>
      </c>
      <c r="D11" s="6">
        <v>7.0000000107484084E-6</v>
      </c>
      <c r="E11" s="15">
        <v>0.16</v>
      </c>
      <c r="F11" s="6">
        <v>142.429993</v>
      </c>
      <c r="G11" s="6">
        <v>60</v>
      </c>
      <c r="H11" s="11">
        <v>1.3738333333333332</v>
      </c>
      <c r="I11" s="6">
        <v>140.42849885000004</v>
      </c>
      <c r="J11" s="11">
        <v>1.4252813114080887E-2</v>
      </c>
      <c r="K11" s="6">
        <v>132.25624924999997</v>
      </c>
      <c r="L11" s="11">
        <v>7.6924537083831179E-2</v>
      </c>
      <c r="M11" s="6">
        <v>115.09116624166664</v>
      </c>
      <c r="N11" s="11">
        <v>0.23754067884695607</v>
      </c>
      <c r="O11" s="6">
        <v>144.86999499999999</v>
      </c>
      <c r="P11" s="11">
        <v>-1.6842652614159181E-2</v>
      </c>
      <c r="Q11" s="6">
        <v>78.989998</v>
      </c>
      <c r="R11" s="11">
        <v>0.80313968358373677</v>
      </c>
    </row>
    <row r="12" spans="1:20">
      <c r="A12" s="1" t="s">
        <v>10</v>
      </c>
      <c r="B12" s="1" t="s">
        <v>50</v>
      </c>
      <c r="C12" s="5">
        <v>86.62</v>
      </c>
      <c r="D12" s="5">
        <v>-2.9999999924257281E-6</v>
      </c>
      <c r="E12" s="14">
        <v>1.74</v>
      </c>
      <c r="F12" s="5">
        <v>86.620002999999997</v>
      </c>
      <c r="G12" s="5">
        <v>40</v>
      </c>
      <c r="H12" s="10">
        <v>1.1655000000000002</v>
      </c>
      <c r="I12" s="5">
        <v>86.765500650000007</v>
      </c>
      <c r="J12" s="10">
        <v>-1.6769412832288166E-3</v>
      </c>
      <c r="K12" s="5">
        <v>91.403750399999979</v>
      </c>
      <c r="L12" s="10">
        <v>-5.2336478307130507E-2</v>
      </c>
      <c r="M12" s="5">
        <v>78.652416816666673</v>
      </c>
      <c r="N12" s="10">
        <v>0.10130118699219648</v>
      </c>
      <c r="O12" s="5">
        <v>105.139999</v>
      </c>
      <c r="P12" s="10">
        <v>-0.17614608309060376</v>
      </c>
      <c r="Q12" s="5">
        <v>50.459998999999996</v>
      </c>
      <c r="R12" s="10">
        <v>0.71660724765373085</v>
      </c>
    </row>
    <row r="13" spans="1:20">
      <c r="A13" s="2" t="s">
        <v>11</v>
      </c>
      <c r="B13" s="2" t="s">
        <v>51</v>
      </c>
      <c r="C13" s="6">
        <v>44.46</v>
      </c>
      <c r="D13" s="6">
        <v>1.0000000045806701E-6</v>
      </c>
      <c r="E13" s="15">
        <v>-0.18</v>
      </c>
      <c r="F13" s="6">
        <v>44.459998999999996</v>
      </c>
      <c r="G13" s="6">
        <v>40</v>
      </c>
      <c r="H13" s="11">
        <v>-1.2000000000000011E-2</v>
      </c>
      <c r="I13" s="6">
        <v>45.642000350000004</v>
      </c>
      <c r="J13" s="11">
        <v>-2.5897207417203028E-2</v>
      </c>
      <c r="K13" s="6">
        <v>45.303750199999996</v>
      </c>
      <c r="L13" s="11">
        <v>-1.8624290401459853E-2</v>
      </c>
      <c r="M13" s="6">
        <v>41.8492502</v>
      </c>
      <c r="N13" s="11">
        <v>6.2384625471736621E-2</v>
      </c>
      <c r="O13" s="6">
        <v>49.220001000000003</v>
      </c>
      <c r="P13" s="11">
        <v>-9.6708673370404896E-2</v>
      </c>
      <c r="Q13" s="6">
        <v>32.979999999999997</v>
      </c>
      <c r="R13" s="11">
        <v>0.34808975136446341</v>
      </c>
    </row>
    <row r="14" spans="1:20">
      <c r="A14" s="1" t="s">
        <v>12</v>
      </c>
      <c r="B14" s="1" t="s">
        <v>52</v>
      </c>
      <c r="C14" s="5">
        <v>69.42</v>
      </c>
      <c r="D14" s="5">
        <v>2.0000000091613401E-6</v>
      </c>
      <c r="E14" s="14">
        <v>1.65</v>
      </c>
      <c r="F14" s="5">
        <v>69.419997999999993</v>
      </c>
      <c r="G14" s="5">
        <v>13</v>
      </c>
      <c r="H14" s="10">
        <v>4.34</v>
      </c>
      <c r="I14" s="5">
        <v>71.374500300000008</v>
      </c>
      <c r="J14" s="10">
        <v>-2.738373357130186E-2</v>
      </c>
      <c r="K14" s="5">
        <v>72.958500125000015</v>
      </c>
      <c r="L14" s="10">
        <v>-4.8500176387089811E-2</v>
      </c>
      <c r="M14" s="5">
        <v>58.693583283333325</v>
      </c>
      <c r="N14" s="10">
        <v>0.18275280050438769</v>
      </c>
      <c r="O14" s="5">
        <v>80.75</v>
      </c>
      <c r="P14" s="10">
        <v>-0.14030959752321981</v>
      </c>
      <c r="Q14" s="5">
        <v>30.940001000000002</v>
      </c>
      <c r="R14" s="10">
        <v>1.2436974064739039</v>
      </c>
    </row>
    <row r="15" spans="1:20">
      <c r="A15" s="2" t="s">
        <v>13</v>
      </c>
      <c r="B15" s="2" t="s">
        <v>53</v>
      </c>
      <c r="C15" s="6">
        <v>25.05</v>
      </c>
      <c r="D15" s="6">
        <v>-9.9989999999969825E-3</v>
      </c>
      <c r="E15" s="15">
        <v>0.68</v>
      </c>
      <c r="F15" s="6">
        <v>25.059998999999998</v>
      </c>
      <c r="G15" s="6">
        <v>15</v>
      </c>
      <c r="H15" s="11">
        <v>0.67000000000000015</v>
      </c>
      <c r="I15" s="6">
        <v>24.406111111111112</v>
      </c>
      <c r="J15" s="11">
        <v>2.6382281304773381E-2</v>
      </c>
      <c r="K15" s="6">
        <v>23.932368447368418</v>
      </c>
      <c r="L15" s="11">
        <v>4.6699579905326027E-2</v>
      </c>
      <c r="M15" s="6">
        <v>23.886271177966101</v>
      </c>
      <c r="N15" s="11">
        <v>4.8719568381496936E-2</v>
      </c>
      <c r="O15" s="6">
        <v>25.24</v>
      </c>
      <c r="P15" s="11">
        <v>-7.5277337559428448E-3</v>
      </c>
      <c r="Q15" s="6">
        <v>19.040001</v>
      </c>
      <c r="R15" s="11">
        <v>0.31565119140487452</v>
      </c>
    </row>
    <row r="16" spans="1:20">
      <c r="A16" s="1" t="s">
        <v>14</v>
      </c>
      <c r="B16" s="1" t="s">
        <v>54</v>
      </c>
      <c r="C16" s="5">
        <v>67.91</v>
      </c>
      <c r="D16" s="5">
        <v>-4.0000000041118255E-6</v>
      </c>
      <c r="E16" s="14">
        <v>0.41</v>
      </c>
      <c r="F16" s="5">
        <v>67.910004000000001</v>
      </c>
      <c r="G16" s="5">
        <v>30</v>
      </c>
      <c r="H16" s="10">
        <v>1.2636666666666665</v>
      </c>
      <c r="I16" s="5">
        <v>65.236000149999995</v>
      </c>
      <c r="J16" s="10">
        <v>4.0989635229804922E-2</v>
      </c>
      <c r="K16" s="5">
        <v>63.30850015</v>
      </c>
      <c r="L16" s="10">
        <v>7.2683760302288514E-2</v>
      </c>
      <c r="M16" s="5">
        <v>60.506499983333278</v>
      </c>
      <c r="N16" s="10">
        <v>0.12235875515367844</v>
      </c>
      <c r="O16" s="5">
        <v>68.449996999999996</v>
      </c>
      <c r="P16" s="10">
        <v>-7.8889265692736465E-3</v>
      </c>
      <c r="Q16" s="5">
        <v>41.98</v>
      </c>
      <c r="R16" s="10">
        <v>0.61767508337303489</v>
      </c>
    </row>
    <row r="17" spans="1:18">
      <c r="A17" s="2" t="s">
        <v>15</v>
      </c>
      <c r="B17" s="2" t="s">
        <v>55</v>
      </c>
      <c r="C17" s="6">
        <v>22.09</v>
      </c>
      <c r="D17" s="6">
        <v>0</v>
      </c>
      <c r="E17" s="15">
        <v>1.1200000000000001</v>
      </c>
      <c r="F17" s="6">
        <v>22.09</v>
      </c>
      <c r="G17" s="6">
        <v>17</v>
      </c>
      <c r="H17" s="11">
        <v>0.29941176470588227</v>
      </c>
      <c r="I17" s="6">
        <v>21.357646823529411</v>
      </c>
      <c r="J17" s="11">
        <v>3.4289975038999332E-2</v>
      </c>
      <c r="K17" s="6">
        <v>21.355135108108094</v>
      </c>
      <c r="L17" s="11">
        <v>3.4411624565788612E-2</v>
      </c>
      <c r="M17" s="6">
        <v>20.735641025641019</v>
      </c>
      <c r="N17" s="11">
        <v>6.5315510269695842E-2</v>
      </c>
      <c r="O17" s="6">
        <v>22.09</v>
      </c>
      <c r="P17" s="11">
        <v>0</v>
      </c>
      <c r="Q17" s="6">
        <v>16.329999999999998</v>
      </c>
      <c r="R17" s="11">
        <v>0.35272504592774045</v>
      </c>
    </row>
    <row r="18" spans="1:18">
      <c r="A18" s="1" t="s">
        <v>16</v>
      </c>
      <c r="B18" s="1" t="s">
        <v>56</v>
      </c>
      <c r="C18" s="5">
        <v>22.51</v>
      </c>
      <c r="D18" s="5">
        <v>0</v>
      </c>
      <c r="E18" s="14">
        <v>0.22</v>
      </c>
      <c r="F18" s="5">
        <v>22.51</v>
      </c>
      <c r="G18" s="5">
        <v>17</v>
      </c>
      <c r="H18" s="10">
        <v>0.32411764705882362</v>
      </c>
      <c r="I18" s="5">
        <v>21.875499749999999</v>
      </c>
      <c r="J18" s="10">
        <v>2.900506307290196E-2</v>
      </c>
      <c r="K18" s="5">
        <v>21.963249899999997</v>
      </c>
      <c r="L18" s="10">
        <v>2.4893861449894361E-2</v>
      </c>
      <c r="M18" s="5">
        <v>20.732333283333332</v>
      </c>
      <c r="N18" s="10">
        <v>8.5743688005234242E-2</v>
      </c>
      <c r="O18" s="5">
        <v>22.51</v>
      </c>
      <c r="P18" s="10">
        <v>0</v>
      </c>
      <c r="Q18" s="5">
        <v>15.03</v>
      </c>
      <c r="R18" s="10">
        <v>0.49767132401862968</v>
      </c>
    </row>
    <row r="19" spans="1:18">
      <c r="A19" s="2" t="s">
        <v>17</v>
      </c>
      <c r="B19" s="2" t="s">
        <v>57</v>
      </c>
      <c r="C19" s="6">
        <v>10.75</v>
      </c>
      <c r="D19" s="6">
        <v>0</v>
      </c>
      <c r="E19" s="15">
        <v>-0.37</v>
      </c>
      <c r="F19" s="6">
        <v>10.75</v>
      </c>
      <c r="G19" s="6">
        <v>8</v>
      </c>
      <c r="H19" s="11">
        <v>0.34375</v>
      </c>
      <c r="I19" s="6">
        <v>10.439499999999999</v>
      </c>
      <c r="J19" s="11">
        <v>2.9742803774127191E-2</v>
      </c>
      <c r="K19" s="6">
        <v>10.650499999999997</v>
      </c>
      <c r="L19" s="11">
        <v>9.3422843997936766E-3</v>
      </c>
      <c r="M19" s="6">
        <v>10.997583333333331</v>
      </c>
      <c r="N19" s="11">
        <v>-2.2512521690371212E-2</v>
      </c>
      <c r="O19" s="6">
        <v>11.99</v>
      </c>
      <c r="P19" s="11">
        <v>-0.10341951626355295</v>
      </c>
      <c r="Q19" s="6">
        <v>7.32</v>
      </c>
      <c r="R19" s="11">
        <v>0.46857923497267762</v>
      </c>
    </row>
    <row r="20" spans="1:18">
      <c r="A20" s="1" t="s">
        <v>18</v>
      </c>
      <c r="B20" s="1" t="s">
        <v>58</v>
      </c>
      <c r="C20" s="5">
        <v>15.22</v>
      </c>
      <c r="D20" s="5">
        <v>0</v>
      </c>
      <c r="E20" s="14">
        <v>1.4</v>
      </c>
      <c r="F20" s="5">
        <v>15.22</v>
      </c>
      <c r="G20" s="5">
        <v>11</v>
      </c>
      <c r="H20" s="10">
        <v>0.38363636363636378</v>
      </c>
      <c r="I20" s="5">
        <v>14.167000000000002</v>
      </c>
      <c r="J20" s="10">
        <v>7.4327662878520329E-2</v>
      </c>
      <c r="K20" s="5">
        <v>14.228500000000002</v>
      </c>
      <c r="L20" s="10">
        <v>6.9684084759461529E-2</v>
      </c>
      <c r="M20" s="5">
        <v>14.788083333333333</v>
      </c>
      <c r="N20" s="10">
        <v>2.9207075516885839E-2</v>
      </c>
      <c r="O20" s="5">
        <v>15.99</v>
      </c>
      <c r="P20" s="10">
        <v>-4.8155096935584729E-2</v>
      </c>
      <c r="Q20" s="5">
        <v>10.46</v>
      </c>
      <c r="R20" s="10">
        <v>0.4550669216061185</v>
      </c>
    </row>
    <row r="21" spans="1:18">
      <c r="A21" s="2" t="s">
        <v>19</v>
      </c>
      <c r="B21" s="2" t="s">
        <v>59</v>
      </c>
      <c r="C21" s="6">
        <v>19.05</v>
      </c>
      <c r="D21" s="6">
        <v>1.0000000010279564E-6</v>
      </c>
      <c r="E21" s="15">
        <v>0.85</v>
      </c>
      <c r="F21" s="6">
        <v>19.049999</v>
      </c>
      <c r="G21" s="6">
        <v>36</v>
      </c>
      <c r="H21" s="11">
        <v>-0.47083333333333333</v>
      </c>
      <c r="I21" s="6">
        <v>17.5339998</v>
      </c>
      <c r="J21" s="11">
        <v>8.6460603244674417E-2</v>
      </c>
      <c r="K21" s="6">
        <v>17.953999874999997</v>
      </c>
      <c r="L21" s="11">
        <v>6.1044899890309479E-2</v>
      </c>
      <c r="M21" s="6">
        <v>18.346666566666659</v>
      </c>
      <c r="N21" s="11">
        <v>3.8335761473487606E-2</v>
      </c>
      <c r="O21" s="6">
        <v>20.85</v>
      </c>
      <c r="P21" s="11">
        <v>-8.633093525179858E-2</v>
      </c>
      <c r="Q21" s="6">
        <v>11.48</v>
      </c>
      <c r="R21" s="11">
        <v>0.65940766550522656</v>
      </c>
    </row>
    <row r="22" spans="1:18">
      <c r="A22" s="1" t="s">
        <v>20</v>
      </c>
      <c r="B22" s="1" t="s">
        <v>60</v>
      </c>
      <c r="C22" s="5">
        <v>6.75</v>
      </c>
      <c r="D22" s="5">
        <v>0</v>
      </c>
      <c r="E22" s="14">
        <v>-0.44</v>
      </c>
      <c r="F22" s="5">
        <v>6.75</v>
      </c>
      <c r="G22" s="5">
        <v>4</v>
      </c>
      <c r="H22" s="10">
        <v>0.6875</v>
      </c>
      <c r="I22" s="5">
        <v>6.446470588235294</v>
      </c>
      <c r="J22" s="10">
        <v>4.7084588009854933E-2</v>
      </c>
      <c r="K22" s="5">
        <v>6.6183783783783783</v>
      </c>
      <c r="L22" s="10">
        <v>1.9887291734727253E-2</v>
      </c>
      <c r="M22" s="5">
        <v>6.2158974358974364</v>
      </c>
      <c r="N22" s="10">
        <v>8.5925253691939485E-2</v>
      </c>
      <c r="O22" s="5">
        <v>7.05</v>
      </c>
      <c r="P22" s="10">
        <v>-4.2553191489361653E-2</v>
      </c>
      <c r="Q22" s="5">
        <v>4.2</v>
      </c>
      <c r="R22" s="10">
        <v>0.60714285714285698</v>
      </c>
    </row>
    <row r="23" spans="1:18">
      <c r="A23" s="2" t="s">
        <v>21</v>
      </c>
      <c r="B23" s="2" t="s">
        <v>61</v>
      </c>
      <c r="C23" s="6">
        <v>3.51</v>
      </c>
      <c r="D23" s="6">
        <v>0</v>
      </c>
      <c r="E23" s="15">
        <v>0</v>
      </c>
      <c r="F23" s="6">
        <v>3.51</v>
      </c>
      <c r="G23" s="6">
        <v>2.6</v>
      </c>
      <c r="H23" s="11">
        <v>0.34999999999999987</v>
      </c>
      <c r="I23" s="6">
        <v>3.5200000000000005</v>
      </c>
      <c r="J23" s="11">
        <v>-2.8409090909092827E-3</v>
      </c>
      <c r="K23" s="6">
        <v>3.6269999999999989</v>
      </c>
      <c r="L23" s="11">
        <v>-3.2258064516128782E-2</v>
      </c>
      <c r="M23" s="6">
        <v>3.4789999999999992</v>
      </c>
      <c r="N23" s="11">
        <v>8.910606496119744E-3</v>
      </c>
      <c r="O23" s="6">
        <v>3.86</v>
      </c>
      <c r="P23" s="11">
        <v>-9.0673575129533668E-2</v>
      </c>
      <c r="Q23" s="6">
        <v>2.61</v>
      </c>
      <c r="R23" s="11">
        <v>0.34482758620689657</v>
      </c>
    </row>
    <row r="24" spans="1:18">
      <c r="A24" s="1" t="s">
        <v>22</v>
      </c>
      <c r="B24" s="1" t="s">
        <v>62</v>
      </c>
      <c r="C24" s="5">
        <v>6.69</v>
      </c>
      <c r="D24" s="5">
        <v>0</v>
      </c>
      <c r="E24" s="14">
        <v>-0.59</v>
      </c>
      <c r="F24" s="5">
        <v>6.69</v>
      </c>
      <c r="G24" s="5">
        <v>4</v>
      </c>
      <c r="H24" s="10">
        <v>0.6725000000000001</v>
      </c>
      <c r="I24" s="5">
        <v>6.6255000000000006</v>
      </c>
      <c r="J24" s="10">
        <v>9.7351143309938326E-3</v>
      </c>
      <c r="K24" s="5">
        <v>6.4794999999999998</v>
      </c>
      <c r="L24" s="10">
        <v>3.2487074619955258E-2</v>
      </c>
      <c r="M24" s="5">
        <v>6.474833333333331</v>
      </c>
      <c r="N24" s="10">
        <v>3.3231228603053387E-2</v>
      </c>
      <c r="O24" s="5">
        <v>6.92</v>
      </c>
      <c r="P24" s="10">
        <v>-3.3236994219653093E-2</v>
      </c>
      <c r="Q24" s="5">
        <v>4.34</v>
      </c>
      <c r="R24" s="10">
        <v>0.54147465437788034</v>
      </c>
    </row>
    <row r="25" spans="1:18">
      <c r="A25" s="2" t="s">
        <v>23</v>
      </c>
      <c r="B25" s="2" t="s">
        <v>63</v>
      </c>
      <c r="C25" s="6">
        <v>5.81</v>
      </c>
      <c r="D25" s="6">
        <v>0</v>
      </c>
      <c r="E25" s="15">
        <v>-0.85</v>
      </c>
      <c r="F25" s="6">
        <v>5.81</v>
      </c>
      <c r="G25" s="6">
        <v>4</v>
      </c>
      <c r="H25" s="11">
        <v>0.4524999999999999</v>
      </c>
      <c r="I25" s="6">
        <v>6.09</v>
      </c>
      <c r="J25" s="11">
        <v>-4.5977011494252928E-2</v>
      </c>
      <c r="K25" s="6">
        <v>6.1070000000000011</v>
      </c>
      <c r="L25" s="11">
        <v>-4.8632716554773414E-2</v>
      </c>
      <c r="M25" s="6">
        <v>6.2673333333333314</v>
      </c>
      <c r="N25" s="11">
        <v>-7.2970960536112961E-2</v>
      </c>
      <c r="O25" s="6">
        <v>6.76</v>
      </c>
      <c r="P25" s="11">
        <v>-0.14053254437869822</v>
      </c>
      <c r="Q25" s="6">
        <v>3.49</v>
      </c>
      <c r="R25" s="11">
        <v>0.66475644699140379</v>
      </c>
    </row>
    <row r="26" spans="1:18">
      <c r="A26" s="1" t="s">
        <v>24</v>
      </c>
      <c r="B26" s="1" t="s">
        <v>64</v>
      </c>
      <c r="C26" s="5">
        <v>115.28</v>
      </c>
      <c r="D26" s="5">
        <v>9.9999999747524271E-7</v>
      </c>
      <c r="E26" s="14">
        <v>-1.02</v>
      </c>
      <c r="F26" s="5">
        <v>115.279999</v>
      </c>
      <c r="G26" s="5">
        <v>100</v>
      </c>
      <c r="H26" s="10">
        <v>0.15280000000000005</v>
      </c>
      <c r="I26" s="5">
        <v>118.7288882777778</v>
      </c>
      <c r="J26" s="10">
        <v>-2.9048434023140057E-2</v>
      </c>
      <c r="K26" s="5">
        <v>119.31394744736841</v>
      </c>
      <c r="L26" s="10">
        <v>-3.3809521297984535E-2</v>
      </c>
      <c r="M26" s="5">
        <v>118.35237303389829</v>
      </c>
      <c r="N26" s="10">
        <v>-2.5959538918736369E-2</v>
      </c>
      <c r="O26" s="5">
        <v>130.520004</v>
      </c>
      <c r="P26" s="10">
        <v>-0.11676374144150348</v>
      </c>
      <c r="Q26" s="5">
        <v>107.339996</v>
      </c>
      <c r="R26" s="10">
        <v>7.3970600855994162E-2</v>
      </c>
    </row>
    <row r="27" spans="1:18">
      <c r="A27" s="2" t="s">
        <v>25</v>
      </c>
      <c r="B27" s="2" t="s">
        <v>65</v>
      </c>
      <c r="C27" s="6">
        <v>21.21</v>
      </c>
      <c r="D27" s="6">
        <v>9.9990000000005352E-3</v>
      </c>
      <c r="E27" s="15">
        <v>-1.3</v>
      </c>
      <c r="F27" s="6">
        <v>21.200001</v>
      </c>
      <c r="G27" s="6">
        <v>20</v>
      </c>
      <c r="H27" s="11">
        <v>6.0499999999999998E-2</v>
      </c>
      <c r="I27" s="6">
        <v>22.212222166666667</v>
      </c>
      <c r="J27" s="11">
        <v>-4.512030174858761E-2</v>
      </c>
      <c r="K27" s="6">
        <v>22.579473578947368</v>
      </c>
      <c r="L27" s="11">
        <v>-6.0651262491089986E-2</v>
      </c>
      <c r="M27" s="6">
        <v>23.014999991525421</v>
      </c>
      <c r="N27" s="11">
        <v>-7.8427112413211209E-2</v>
      </c>
      <c r="O27" s="6">
        <v>31.32</v>
      </c>
      <c r="P27" s="11">
        <v>-0.32279693486590033</v>
      </c>
      <c r="Q27" s="6">
        <v>18.989999999999998</v>
      </c>
      <c r="R27" s="11">
        <v>0.11690363349131139</v>
      </c>
    </row>
    <row r="28" spans="1:18">
      <c r="A28" s="1" t="s">
        <v>694</v>
      </c>
      <c r="B28" s="1" t="s">
        <v>695</v>
      </c>
      <c r="C28" s="5">
        <v>2.79</v>
      </c>
      <c r="D28" s="5">
        <v>0</v>
      </c>
      <c r="E28" s="14">
        <v>0</v>
      </c>
      <c r="F28" s="5">
        <v>2.79</v>
      </c>
      <c r="G28" s="5">
        <v>2</v>
      </c>
      <c r="H28" s="10">
        <v>-0.39347826086956517</v>
      </c>
      <c r="I28" s="5">
        <v>3.03</v>
      </c>
      <c r="J28" s="10">
        <v>-7.9207920792079167E-2</v>
      </c>
      <c r="K28" s="5">
        <v>3.0364722222222231</v>
      </c>
      <c r="L28" s="10">
        <v>-8.1170583553648923E-2</v>
      </c>
      <c r="M28" s="5">
        <v>3.0364722222222231</v>
      </c>
      <c r="N28" s="10">
        <v>-8.1170583553648923E-2</v>
      </c>
      <c r="O28" s="5">
        <v>3.31</v>
      </c>
      <c r="P28" s="10">
        <v>-0.1570996978851964</v>
      </c>
      <c r="Q28" s="5">
        <v>2.79</v>
      </c>
      <c r="R28" s="10">
        <v>0</v>
      </c>
    </row>
    <row r="29" spans="1:18">
      <c r="A29" s="2" t="s">
        <v>26</v>
      </c>
      <c r="B29" s="2" t="s">
        <v>66</v>
      </c>
      <c r="C29" s="6">
        <v>2.23</v>
      </c>
      <c r="D29" s="6">
        <v>0</v>
      </c>
      <c r="E29" s="15">
        <v>-3.46</v>
      </c>
      <c r="F29" s="6">
        <v>2.23</v>
      </c>
      <c r="G29" s="6">
        <v>6</v>
      </c>
      <c r="H29" s="11">
        <v>-0.62833333333333341</v>
      </c>
      <c r="I29" s="6">
        <v>2.4655</v>
      </c>
      <c r="J29" s="11">
        <v>-9.5518150476576746E-2</v>
      </c>
      <c r="K29" s="6">
        <v>2.5914999999999999</v>
      </c>
      <c r="L29" s="11">
        <v>-0.1394945012540999</v>
      </c>
      <c r="M29" s="6">
        <v>2.8215000000000012</v>
      </c>
      <c r="N29" s="11">
        <v>-0.20964026227184152</v>
      </c>
      <c r="O29" s="6">
        <v>5.92</v>
      </c>
      <c r="P29" s="11">
        <v>-0.62331081081081074</v>
      </c>
      <c r="Q29" s="6">
        <v>2.23</v>
      </c>
      <c r="R29" s="11">
        <v>0</v>
      </c>
    </row>
    <row r="30" spans="1:18">
      <c r="A30" s="1" t="s">
        <v>27</v>
      </c>
      <c r="B30" s="1" t="s">
        <v>67</v>
      </c>
      <c r="C30" s="5">
        <v>32.03</v>
      </c>
      <c r="D30" s="5">
        <v>1.0000000045806701E-6</v>
      </c>
      <c r="E30" s="14">
        <v>-0.77</v>
      </c>
      <c r="F30" s="5">
        <v>32.029998999999997</v>
      </c>
      <c r="G30" s="5">
        <v>45</v>
      </c>
      <c r="H30" s="10">
        <v>-0.28822222222222216</v>
      </c>
      <c r="I30" s="5">
        <v>33.116000149999998</v>
      </c>
      <c r="J30" s="10">
        <v>-3.279382005921383E-2</v>
      </c>
      <c r="K30" s="5">
        <v>33.556000100000006</v>
      </c>
      <c r="L30" s="10">
        <v>-4.547622170259813E-2</v>
      </c>
      <c r="M30" s="5">
        <v>34.174499899999994</v>
      </c>
      <c r="N30" s="10">
        <v>-6.2751463994356604E-2</v>
      </c>
      <c r="O30" s="5">
        <v>45.860001000000004</v>
      </c>
      <c r="P30" s="10">
        <v>-0.30157001086851265</v>
      </c>
      <c r="Q30" s="5">
        <v>30.91</v>
      </c>
      <c r="R30" s="10">
        <v>3.6234228405046975E-2</v>
      </c>
    </row>
    <row r="31" spans="1:18">
      <c r="A31" s="2" t="s">
        <v>28</v>
      </c>
      <c r="B31" s="2" t="s">
        <v>68</v>
      </c>
      <c r="C31" s="6">
        <v>12.51</v>
      </c>
      <c r="D31" s="6">
        <v>0</v>
      </c>
      <c r="E31" s="15">
        <v>-2.19</v>
      </c>
      <c r="F31" s="6">
        <v>12.51</v>
      </c>
      <c r="G31" s="6">
        <v>20</v>
      </c>
      <c r="H31" s="11">
        <v>-0.37450000000000006</v>
      </c>
      <c r="I31" s="6">
        <v>13.1965</v>
      </c>
      <c r="J31" s="11">
        <v>-5.2021369302466591E-2</v>
      </c>
      <c r="K31" s="6">
        <v>13.518750000000001</v>
      </c>
      <c r="L31" s="11">
        <v>-7.4618585298196982E-2</v>
      </c>
      <c r="M31" s="6">
        <v>14.76075</v>
      </c>
      <c r="N31" s="11">
        <v>-0.1524820893247294</v>
      </c>
      <c r="O31" s="6">
        <v>20.040001</v>
      </c>
      <c r="P31" s="11">
        <v>-0.37574853414428477</v>
      </c>
      <c r="Q31" s="6">
        <v>12.19</v>
      </c>
      <c r="R31" s="11">
        <v>2.6251025430680919E-2</v>
      </c>
    </row>
    <row r="32" spans="1:18">
      <c r="A32" s="1" t="s">
        <v>29</v>
      </c>
      <c r="B32" s="1" t="s">
        <v>69</v>
      </c>
      <c r="C32" s="5">
        <v>3.84</v>
      </c>
      <c r="D32" s="5">
        <v>0</v>
      </c>
      <c r="E32" s="14">
        <v>-1.79</v>
      </c>
      <c r="F32" s="5">
        <v>3.84</v>
      </c>
      <c r="G32" s="5">
        <v>6</v>
      </c>
      <c r="H32" s="10">
        <v>-0.36</v>
      </c>
      <c r="I32" s="5">
        <v>4.0909999999999993</v>
      </c>
      <c r="J32" s="10">
        <v>-6.1354192129063678E-2</v>
      </c>
      <c r="K32" s="5">
        <v>4.1840000000000011</v>
      </c>
      <c r="L32" s="10">
        <v>-8.2217973231357822E-2</v>
      </c>
      <c r="M32" s="5">
        <v>3.8219999999999996</v>
      </c>
      <c r="N32" s="10">
        <v>4.7095761381477086E-3</v>
      </c>
      <c r="O32" s="5">
        <v>5.56</v>
      </c>
      <c r="P32" s="10">
        <v>-0.30935251798561147</v>
      </c>
      <c r="Q32" s="5">
        <v>2.91</v>
      </c>
      <c r="R32" s="10">
        <v>0.31958762886597936</v>
      </c>
    </row>
    <row r="33" spans="1:18">
      <c r="A33" s="2" t="s">
        <v>692</v>
      </c>
      <c r="B33" s="2" t="s">
        <v>693</v>
      </c>
      <c r="C33" s="6">
        <v>18.97</v>
      </c>
      <c r="D33" s="6">
        <v>1.0000000010279564E-6</v>
      </c>
      <c r="E33" s="15">
        <v>-1.71</v>
      </c>
      <c r="F33" s="6">
        <v>18.969998999999998</v>
      </c>
      <c r="G33" s="6">
        <v>22.5</v>
      </c>
      <c r="H33" s="11">
        <v>-0.15688888888888897</v>
      </c>
      <c r="I33" s="6">
        <v>19.644999649999995</v>
      </c>
      <c r="J33" s="11">
        <v>-3.4359870808142068E-2</v>
      </c>
      <c r="K33" s="6">
        <v>20.193249825000002</v>
      </c>
      <c r="L33" s="11">
        <v>-6.0577164923972471E-2</v>
      </c>
      <c r="M33" s="6">
        <v>20.193249825000002</v>
      </c>
      <c r="N33" s="11">
        <v>-6.0577164923972471E-2</v>
      </c>
      <c r="O33" s="6">
        <v>21.469998999999998</v>
      </c>
      <c r="P33" s="11">
        <v>-0.1164415051905684</v>
      </c>
      <c r="Q33" s="6">
        <v>18.969998999999998</v>
      </c>
      <c r="R33" s="11">
        <v>5.2714815623744471E-8</v>
      </c>
    </row>
    <row r="34" spans="1:18">
      <c r="A34" s="1" t="s">
        <v>30</v>
      </c>
      <c r="B34" s="1" t="s">
        <v>70</v>
      </c>
      <c r="C34" s="5">
        <v>16.23</v>
      </c>
      <c r="D34" s="5">
        <v>0</v>
      </c>
      <c r="E34" s="14">
        <v>-2.2599999999999998</v>
      </c>
      <c r="F34" s="5">
        <v>16.23</v>
      </c>
      <c r="G34" s="5">
        <v>18</v>
      </c>
      <c r="H34" s="10">
        <v>-9.8333333333333273E-2</v>
      </c>
      <c r="I34" s="5">
        <v>14.944999800000005</v>
      </c>
      <c r="J34" s="10">
        <v>8.5981948290156263E-2</v>
      </c>
      <c r="K34" s="5">
        <v>13.9949999</v>
      </c>
      <c r="L34" s="10">
        <v>0.15969990110539412</v>
      </c>
      <c r="M34" s="5">
        <v>12.7933333</v>
      </c>
      <c r="N34" s="10">
        <v>0.26862949783384438</v>
      </c>
      <c r="O34" s="5">
        <v>31.27</v>
      </c>
      <c r="P34" s="10">
        <v>-0.48097217780620405</v>
      </c>
      <c r="Q34" s="5">
        <v>8.51</v>
      </c>
      <c r="R34" s="10">
        <v>0.90716803760282039</v>
      </c>
    </row>
    <row r="35" spans="1:18">
      <c r="A35" s="2" t="s">
        <v>31</v>
      </c>
      <c r="B35" s="2" t="s">
        <v>71</v>
      </c>
      <c r="C35" s="6">
        <v>34.1</v>
      </c>
      <c r="D35" s="6">
        <v>2.0000000020559128E-6</v>
      </c>
      <c r="E35" s="15">
        <v>-0.2</v>
      </c>
      <c r="F35" s="6">
        <v>34.099997999999999</v>
      </c>
      <c r="G35" s="6">
        <v>36</v>
      </c>
      <c r="H35" s="11">
        <v>-5.2777777777777701E-2</v>
      </c>
      <c r="I35" s="6">
        <v>35.604999900000003</v>
      </c>
      <c r="J35" s="11">
        <v>-4.2269341503354485E-2</v>
      </c>
      <c r="K35" s="6">
        <v>35.38974975</v>
      </c>
      <c r="L35" s="11">
        <v>-3.6444161349290072E-2</v>
      </c>
      <c r="M35" s="6">
        <v>35.004416541666679</v>
      </c>
      <c r="N35" s="11">
        <v>-2.5837212301199952E-2</v>
      </c>
      <c r="O35" s="6">
        <v>49.630001</v>
      </c>
      <c r="P35" s="11">
        <v>-0.3129155891010359</v>
      </c>
      <c r="Q35" s="6">
        <v>0.23</v>
      </c>
      <c r="R35" s="11">
        <v>147.2608695652174</v>
      </c>
    </row>
    <row r="36" spans="1:18">
      <c r="A36" s="1" t="s">
        <v>32</v>
      </c>
      <c r="B36" s="1" t="s">
        <v>72</v>
      </c>
      <c r="C36" s="5">
        <v>30.61</v>
      </c>
      <c r="D36" s="5">
        <v>-4.9999999999990052E-3</v>
      </c>
      <c r="E36" s="14">
        <v>-0.31</v>
      </c>
      <c r="F36" s="5">
        <v>30.614999999999998</v>
      </c>
      <c r="G36" s="5">
        <v>25</v>
      </c>
      <c r="H36" s="10">
        <v>0.22439999999999993</v>
      </c>
      <c r="I36" s="5">
        <v>31.399705705882351</v>
      </c>
      <c r="J36" s="10">
        <v>-2.5150098962055223E-2</v>
      </c>
      <c r="K36" s="5">
        <v>32.004189054054066</v>
      </c>
      <c r="L36" s="10">
        <v>-4.3562705235221766E-2</v>
      </c>
      <c r="M36" s="5">
        <v>32.889444324786353</v>
      </c>
      <c r="N36" s="10">
        <v>-6.930625833251014E-2</v>
      </c>
      <c r="O36" s="5">
        <v>35.979999999999997</v>
      </c>
      <c r="P36" s="10">
        <v>-0.14924958310172309</v>
      </c>
      <c r="Q36" s="5">
        <v>30.57</v>
      </c>
      <c r="R36" s="10">
        <v>1.3084723585214952E-3</v>
      </c>
    </row>
    <row r="37" spans="1:18">
      <c r="A37" s="2" t="s">
        <v>33</v>
      </c>
      <c r="B37" s="2" t="s">
        <v>73</v>
      </c>
      <c r="C37" s="6">
        <v>64.010000000000005</v>
      </c>
      <c r="D37" s="6">
        <v>-1.9999999949504854E-6</v>
      </c>
      <c r="E37" s="15">
        <v>-0.16</v>
      </c>
      <c r="F37" s="6">
        <v>64.010002</v>
      </c>
      <c r="G37" s="6">
        <v>53</v>
      </c>
      <c r="H37" s="11">
        <v>0.20773584905660392</v>
      </c>
      <c r="I37" s="6">
        <v>65.259999055555568</v>
      </c>
      <c r="J37" s="11">
        <v>-1.9154138425460987E-2</v>
      </c>
      <c r="K37" s="6">
        <v>66.033947078947364</v>
      </c>
      <c r="L37" s="11">
        <v>-3.0650099963396293E-2</v>
      </c>
      <c r="M37" s="6">
        <v>69.234915228813563</v>
      </c>
      <c r="N37" s="11">
        <v>-7.5466478315829533E-2</v>
      </c>
      <c r="O37" s="6">
        <v>77.830002000000007</v>
      </c>
      <c r="P37" s="11">
        <v>-0.17756651220438102</v>
      </c>
      <c r="Q37" s="6">
        <v>63.950001</v>
      </c>
      <c r="R37" s="11">
        <v>9.3821734263932477E-4</v>
      </c>
    </row>
    <row r="38" spans="1:18">
      <c r="A38" s="1" t="s">
        <v>34</v>
      </c>
      <c r="B38" s="1" t="s">
        <v>74</v>
      </c>
      <c r="C38" s="5">
        <v>17.68</v>
      </c>
      <c r="D38" s="5">
        <v>0</v>
      </c>
      <c r="E38" s="14">
        <v>-0.17</v>
      </c>
      <c r="F38" s="5">
        <v>17.68</v>
      </c>
      <c r="G38" s="5">
        <v>18.5</v>
      </c>
      <c r="H38" s="10">
        <v>-4.4324324324324316E-2</v>
      </c>
      <c r="I38" s="5">
        <v>18.043529176470589</v>
      </c>
      <c r="J38" s="10">
        <v>-2.0147343289396158E-2</v>
      </c>
      <c r="K38" s="5">
        <v>18.332432216216212</v>
      </c>
      <c r="L38" s="10">
        <v>-3.558896105662912E-2</v>
      </c>
      <c r="M38" s="5">
        <v>19.329145230769228</v>
      </c>
      <c r="N38" s="10">
        <v>-8.5319097719025128E-2</v>
      </c>
      <c r="O38" s="5">
        <v>21.91</v>
      </c>
      <c r="P38" s="10">
        <v>-0.19306252852578731</v>
      </c>
      <c r="Q38" s="5">
        <v>17.610001</v>
      </c>
      <c r="R38" s="10">
        <v>3.974957184840644E-3</v>
      </c>
    </row>
    <row r="39" spans="1:18">
      <c r="A39" s="2" t="s">
        <v>35</v>
      </c>
      <c r="B39" s="2" t="s">
        <v>75</v>
      </c>
      <c r="C39" s="6">
        <v>61.55</v>
      </c>
      <c r="D39" s="6">
        <v>9.9999999747524271E-7</v>
      </c>
      <c r="E39" s="15">
        <v>-0.26</v>
      </c>
      <c r="F39" s="6">
        <v>61.549999</v>
      </c>
      <c r="G39" s="6">
        <v>65</v>
      </c>
      <c r="H39" s="11">
        <v>-5.3076923076923133E-2</v>
      </c>
      <c r="I39" s="6">
        <v>62.784706352941186</v>
      </c>
      <c r="J39" s="11">
        <v>-1.9665718367787632E-2</v>
      </c>
      <c r="K39" s="6">
        <v>65.29189186486488</v>
      </c>
      <c r="L39" s="11">
        <v>-5.7310207408440617E-2</v>
      </c>
      <c r="M39" s="6">
        <v>71.885299128205148</v>
      </c>
      <c r="N39" s="11">
        <v>-0.14377486431227715</v>
      </c>
      <c r="O39" s="6">
        <v>81.360000999999997</v>
      </c>
      <c r="P39" s="11">
        <v>-0.24348575167790376</v>
      </c>
      <c r="Q39" s="6">
        <v>61.32</v>
      </c>
      <c r="R39" s="11">
        <v>3.7508153946510525E-3</v>
      </c>
    </row>
    <row r="40" spans="1:18">
      <c r="A40" s="1" t="s">
        <v>36</v>
      </c>
      <c r="B40" s="1" t="s">
        <v>76</v>
      </c>
      <c r="C40" s="5">
        <v>109.08</v>
      </c>
      <c r="D40" s="5">
        <v>-2.0000000091613401E-6</v>
      </c>
      <c r="E40" s="14">
        <v>-0.66</v>
      </c>
      <c r="F40" s="5">
        <v>109.08000200000001</v>
      </c>
      <c r="G40" s="5">
        <v>110</v>
      </c>
      <c r="H40" s="10">
        <v>-8.3636363636363509E-3</v>
      </c>
      <c r="I40" s="5">
        <v>109.81000020000002</v>
      </c>
      <c r="J40" s="10">
        <v>-6.6478480891580816E-3</v>
      </c>
      <c r="K40" s="5">
        <v>112.54175014999998</v>
      </c>
      <c r="L40" s="10">
        <v>-3.0759697138049047E-2</v>
      </c>
      <c r="M40" s="5">
        <v>117.52658339166672</v>
      </c>
      <c r="N40" s="10">
        <v>-7.1869556213659425E-2</v>
      </c>
      <c r="O40" s="5">
        <v>138.11000100000001</v>
      </c>
      <c r="P40" s="10">
        <v>-0.21019477800163078</v>
      </c>
      <c r="Q40" s="5">
        <v>108.480003</v>
      </c>
      <c r="R40" s="10">
        <v>5.5309456435026494E-3</v>
      </c>
    </row>
    <row r="41" spans="1:18">
      <c r="A41" s="2" t="s">
        <v>37</v>
      </c>
      <c r="B41" s="2" t="s">
        <v>77</v>
      </c>
      <c r="C41" s="6">
        <v>48.45</v>
      </c>
      <c r="D41" s="6">
        <v>-9.9999999747524271E-7</v>
      </c>
      <c r="E41" s="15">
        <v>-0.92</v>
      </c>
      <c r="F41" s="6">
        <v>48.450001</v>
      </c>
      <c r="G41" s="6">
        <v>45</v>
      </c>
      <c r="H41" s="11">
        <v>7.6666666666666661E-2</v>
      </c>
      <c r="I41" s="6">
        <v>49.878500150000001</v>
      </c>
      <c r="J41" s="11">
        <v>-2.8639597135119543E-2</v>
      </c>
      <c r="K41" s="6">
        <v>51.317249724999996</v>
      </c>
      <c r="L41" s="11">
        <v>-5.5873020092952697E-2</v>
      </c>
      <c r="M41" s="6">
        <v>50.905916624999989</v>
      </c>
      <c r="N41" s="11">
        <v>-4.8244227544149143E-2</v>
      </c>
      <c r="O41" s="6">
        <v>54.32</v>
      </c>
      <c r="P41" s="11">
        <v>-0.10806332842415312</v>
      </c>
      <c r="Q41" s="6">
        <v>45.59</v>
      </c>
      <c r="R41" s="11">
        <v>6.2733055494625933E-2</v>
      </c>
    </row>
    <row r="42" spans="1:18">
      <c r="A42" s="1" t="s">
        <v>697</v>
      </c>
      <c r="B42" s="1" t="s">
        <v>78</v>
      </c>
      <c r="C42" s="5">
        <v>52.94</v>
      </c>
      <c r="D42" s="5"/>
      <c r="E42" s="14">
        <v>-0.3</v>
      </c>
      <c r="F42" s="5"/>
      <c r="G42" s="5">
        <v>45</v>
      </c>
      <c r="H42" s="10">
        <v>0.1764444444444444</v>
      </c>
      <c r="I42" s="5"/>
      <c r="J42" s="10"/>
      <c r="K42" s="5"/>
      <c r="L42" s="10"/>
      <c r="M42" s="5"/>
      <c r="N42" s="10"/>
      <c r="O42" s="5"/>
      <c r="P42" s="10"/>
      <c r="Q42" s="5"/>
      <c r="R42" s="10"/>
    </row>
    <row r="43" spans="1:18">
      <c r="A43" s="8" t="s">
        <v>698</v>
      </c>
      <c r="B43" s="8" t="s">
        <v>699</v>
      </c>
      <c r="C43" s="9">
        <v>34.36</v>
      </c>
      <c r="D43" s="9">
        <v>-1.0000000045806701E-6</v>
      </c>
      <c r="E43" s="16">
        <v>-0.23</v>
      </c>
      <c r="F43" s="9">
        <v>34.360001000000004</v>
      </c>
      <c r="G43" s="9">
        <v>35</v>
      </c>
      <c r="H43" s="12">
        <v>-1.828571428571435E-2</v>
      </c>
      <c r="I43" s="9">
        <v>35.122000400000005</v>
      </c>
      <c r="J43" s="12">
        <v>-2.1695814342055697E-2</v>
      </c>
      <c r="K43" s="9">
        <v>35.648250274999995</v>
      </c>
      <c r="L43" s="12">
        <v>-3.6137826262497952E-2</v>
      </c>
      <c r="M43" s="9">
        <v>35.035666749999997</v>
      </c>
      <c r="N43" s="12">
        <v>-1.9285111792541998E-2</v>
      </c>
      <c r="O43" s="9">
        <v>38.57</v>
      </c>
      <c r="P43" s="12">
        <v>-0.10915219082188232</v>
      </c>
      <c r="Q43" s="9">
        <v>32.979999999999997</v>
      </c>
      <c r="R43" s="12">
        <v>4.1843541540327545E-2</v>
      </c>
    </row>
    <row r="44" spans="1:18">
      <c r="A44" s="1" t="s">
        <v>700</v>
      </c>
      <c r="B44" s="1" t="s">
        <v>701</v>
      </c>
      <c r="C44" s="5">
        <v>80.22</v>
      </c>
      <c r="D44" s="5">
        <v>-9.9999999747524271E-7</v>
      </c>
      <c r="E44" s="14">
        <v>0.12</v>
      </c>
      <c r="F44" s="5">
        <v>80.220000999999996</v>
      </c>
      <c r="G44" s="5">
        <v>68</v>
      </c>
      <c r="H44" s="10">
        <v>0.17970588235294116</v>
      </c>
      <c r="I44" s="5">
        <v>81.681999949999991</v>
      </c>
      <c r="J44" s="10">
        <v>-1.7898679646616511E-2</v>
      </c>
      <c r="K44" s="5">
        <v>81.623500450000009</v>
      </c>
      <c r="L44" s="10">
        <v>-1.7194808385603944E-2</v>
      </c>
      <c r="M44" s="5">
        <v>82.226916833333334</v>
      </c>
      <c r="N44" s="10">
        <v>-2.4407054412622253E-2</v>
      </c>
      <c r="O44" s="5">
        <v>95.120002999999997</v>
      </c>
      <c r="P44" s="10">
        <v>-0.15664426545486965</v>
      </c>
      <c r="Q44" s="5">
        <v>79.5</v>
      </c>
      <c r="R44" s="10">
        <v>9.0566037735848592E-3</v>
      </c>
    </row>
    <row r="45" spans="1:18">
      <c r="A45" s="8" t="s">
        <v>358</v>
      </c>
      <c r="B45" s="8" t="s">
        <v>321</v>
      </c>
      <c r="C45" s="9">
        <v>43</v>
      </c>
      <c r="D45" s="9">
        <v>0</v>
      </c>
      <c r="E45" s="16">
        <v>-0.72</v>
      </c>
      <c r="F45" s="9">
        <v>43</v>
      </c>
      <c r="G45" s="9">
        <v>17</v>
      </c>
      <c r="H45" s="12">
        <v>1.5294117647058822</v>
      </c>
      <c r="I45" s="9">
        <v>44.870500200000002</v>
      </c>
      <c r="J45" s="12">
        <v>-4.1686635799972671E-2</v>
      </c>
      <c r="K45" s="9">
        <v>45.279249849999999</v>
      </c>
      <c r="L45" s="12">
        <v>-5.0337623912733553E-2</v>
      </c>
      <c r="M45" s="9">
        <v>47.131666666666646</v>
      </c>
      <c r="N45" s="12">
        <v>-8.7662222850878324E-2</v>
      </c>
      <c r="O45" s="9">
        <v>52.639998999999996</v>
      </c>
      <c r="P45" s="12">
        <v>-0.18313068357011175</v>
      </c>
      <c r="Q45" s="9">
        <v>39.009997999999996</v>
      </c>
      <c r="R45" s="12">
        <v>0.10228152280346192</v>
      </c>
    </row>
    <row r="46" spans="1:18">
      <c r="A46" s="1" t="s">
        <v>702</v>
      </c>
      <c r="B46" s="1" t="s">
        <v>703</v>
      </c>
      <c r="C46" s="5">
        <v>103.49</v>
      </c>
      <c r="D46" s="5">
        <v>1.9999999949504854E-6</v>
      </c>
      <c r="E46" s="14">
        <v>-0.32</v>
      </c>
      <c r="F46" s="5">
        <v>103.489998</v>
      </c>
      <c r="G46" s="5">
        <v>12</v>
      </c>
      <c r="H46" s="10">
        <v>7.6241666666666656</v>
      </c>
      <c r="I46" s="5">
        <v>105.5450001</v>
      </c>
      <c r="J46" s="10">
        <v>-1.9470369018456224E-2</v>
      </c>
      <c r="K46" s="5">
        <v>105.30124972500001</v>
      </c>
      <c r="L46" s="10">
        <v>-1.7200647947960612E-2</v>
      </c>
      <c r="M46" s="5">
        <v>108.31350009166664</v>
      </c>
      <c r="N46" s="10">
        <v>-4.4532769115433246E-2</v>
      </c>
      <c r="O46" s="5">
        <v>118.769997</v>
      </c>
      <c r="P46" s="10">
        <v>-0.12865199449318843</v>
      </c>
      <c r="Q46" s="5">
        <v>97.699996999999996</v>
      </c>
      <c r="R46" s="10">
        <v>5.9263082679521517E-2</v>
      </c>
    </row>
    <row r="47" spans="1:18">
      <c r="A47" s="2" t="s">
        <v>403</v>
      </c>
      <c r="B47" s="2" t="s">
        <v>425</v>
      </c>
      <c r="C47" s="6">
        <v>77.510000000000005</v>
      </c>
      <c r="D47" s="6">
        <v>-1.9999999949504854E-6</v>
      </c>
      <c r="E47" s="15">
        <v>-0.13</v>
      </c>
      <c r="F47" s="6">
        <v>77.510002</v>
      </c>
      <c r="G47" s="6">
        <v>20</v>
      </c>
      <c r="H47" s="11">
        <v>2.8755000000000002</v>
      </c>
      <c r="I47" s="6">
        <v>80.281176294117657</v>
      </c>
      <c r="J47" s="11">
        <v>-3.4518381793076647E-2</v>
      </c>
      <c r="K47" s="6">
        <v>81.127837864864873</v>
      </c>
      <c r="L47" s="11">
        <v>-4.4594284281199825E-2</v>
      </c>
      <c r="M47" s="6">
        <v>80.106068461538442</v>
      </c>
      <c r="N47" s="11">
        <v>-3.2407887584507966E-2</v>
      </c>
      <c r="O47" s="6">
        <v>84.5</v>
      </c>
      <c r="P47" s="11">
        <v>-8.2721893491124243E-2</v>
      </c>
      <c r="Q47" s="6">
        <v>68.099997999999999</v>
      </c>
      <c r="R47" s="11">
        <v>0.13817918173800825</v>
      </c>
    </row>
  </sheetData>
  <phoneticPr fontId="5" type="noConversion"/>
  <conditionalFormatting sqref="H2:H43">
    <cfRule type="cellIs" dxfId="66" priority="42" operator="between">
      <formula>0</formula>
      <formula>0.05</formula>
    </cfRule>
    <cfRule type="cellIs" dxfId="65" priority="45" operator="between">
      <formula>-0.05</formula>
      <formula>0</formula>
    </cfRule>
  </conditionalFormatting>
  <conditionalFormatting sqref="J2:J43 L2:L43 N2:N43">
    <cfRule type="cellIs" dxfId="64" priority="44" operator="lessThan">
      <formula>-0.02</formula>
    </cfRule>
  </conditionalFormatting>
  <conditionalFormatting sqref="R2:R43">
    <cfRule type="cellIs" dxfId="63" priority="43" operator="between">
      <formula>-0.05</formula>
      <formula>0.05</formula>
    </cfRule>
  </conditionalFormatting>
  <conditionalFormatting sqref="P2:P43">
    <cfRule type="cellIs" dxfId="62" priority="41" operator="between">
      <formula>-0.05</formula>
      <formula>0.05</formula>
    </cfRule>
  </conditionalFormatting>
  <conditionalFormatting sqref="H44">
    <cfRule type="cellIs" dxfId="61" priority="37" operator="between">
      <formula>0</formula>
      <formula>0.05</formula>
    </cfRule>
    <cfRule type="cellIs" dxfId="60" priority="40" operator="between">
      <formula>-0.05</formula>
      <formula>0</formula>
    </cfRule>
  </conditionalFormatting>
  <conditionalFormatting sqref="J44 L44 N44">
    <cfRule type="cellIs" dxfId="59" priority="39" operator="lessThan">
      <formula>-0.02</formula>
    </cfRule>
  </conditionalFormatting>
  <conditionalFormatting sqref="R44">
    <cfRule type="cellIs" dxfId="58" priority="38" operator="between">
      <formula>-0.05</formula>
      <formula>0.05</formula>
    </cfRule>
  </conditionalFormatting>
  <conditionalFormatting sqref="P44">
    <cfRule type="cellIs" dxfId="57" priority="36" operator="between">
      <formula>-0.05</formula>
      <formula>0.05</formula>
    </cfRule>
  </conditionalFormatting>
  <conditionalFormatting sqref="H45">
    <cfRule type="cellIs" dxfId="56" priority="32" operator="between">
      <formula>0</formula>
      <formula>0.05</formula>
    </cfRule>
    <cfRule type="cellIs" dxfId="55" priority="35" operator="between">
      <formula>-0.05</formula>
      <formula>0</formula>
    </cfRule>
  </conditionalFormatting>
  <conditionalFormatting sqref="J45 L45 N45">
    <cfRule type="cellIs" dxfId="54" priority="34" operator="lessThan">
      <formula>-0.02</formula>
    </cfRule>
  </conditionalFormatting>
  <conditionalFormatting sqref="R45">
    <cfRule type="cellIs" dxfId="53" priority="33" operator="between">
      <formula>-0.05</formula>
      <formula>0.05</formula>
    </cfRule>
  </conditionalFormatting>
  <conditionalFormatting sqref="P45">
    <cfRule type="cellIs" dxfId="52" priority="31" operator="between">
      <formula>-0.05</formula>
      <formula>0.05</formula>
    </cfRule>
  </conditionalFormatting>
  <conditionalFormatting sqref="H46">
    <cfRule type="cellIs" dxfId="51" priority="27" operator="between">
      <formula>0</formula>
      <formula>0.05</formula>
    </cfRule>
    <cfRule type="cellIs" dxfId="50" priority="30" operator="between">
      <formula>-0.05</formula>
      <formula>0</formula>
    </cfRule>
  </conditionalFormatting>
  <conditionalFormatting sqref="J46 L46 N46">
    <cfRule type="cellIs" dxfId="49" priority="29" operator="lessThan">
      <formula>-0.02</formula>
    </cfRule>
  </conditionalFormatting>
  <conditionalFormatting sqref="R46">
    <cfRule type="cellIs" dxfId="48" priority="28" operator="between">
      <formula>-0.05</formula>
      <formula>0.05</formula>
    </cfRule>
  </conditionalFormatting>
  <conditionalFormatting sqref="P46">
    <cfRule type="cellIs" dxfId="47" priority="26" operator="between">
      <formula>-0.05</formula>
      <formula>0.05</formula>
    </cfRule>
  </conditionalFormatting>
  <conditionalFormatting sqref="H47">
    <cfRule type="cellIs" dxfId="46" priority="22" operator="between">
      <formula>0</formula>
      <formula>0.05</formula>
    </cfRule>
    <cfRule type="cellIs" dxfId="45" priority="25" operator="between">
      <formula>-0.05</formula>
      <formula>0</formula>
    </cfRule>
  </conditionalFormatting>
  <conditionalFormatting sqref="J47 L47 N47">
    <cfRule type="cellIs" dxfId="44" priority="24" operator="lessThan">
      <formula>-0.02</formula>
    </cfRule>
  </conditionalFormatting>
  <conditionalFormatting sqref="R47">
    <cfRule type="cellIs" dxfId="43" priority="23" operator="between">
      <formula>-0.05</formula>
      <formula>0.05</formula>
    </cfRule>
  </conditionalFormatting>
  <conditionalFormatting sqref="P47">
    <cfRule type="cellIs" dxfId="42" priority="2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0"/>
  <sheetViews>
    <sheetView tabSelected="1" zoomScale="80" zoomScaleNormal="80" workbookViewId="0">
      <pane ySplit="1" topLeftCell="A2" activePane="bottomLeft" state="frozen"/>
      <selection activeCell="E2" sqref="E2:E46"/>
      <selection pane="bottomLeft" activeCell="G19" sqref="G19:G22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0">
      <c r="A2" s="1" t="s">
        <v>215</v>
      </c>
      <c r="B2" s="1" t="s">
        <v>229</v>
      </c>
      <c r="C2" s="5">
        <v>53.26</v>
      </c>
      <c r="D2" s="5">
        <v>7.1009999999986917E-3</v>
      </c>
      <c r="E2" s="14">
        <v>-0.24</v>
      </c>
      <c r="F2" s="5">
        <v>53.252898999999999</v>
      </c>
      <c r="G2" s="5"/>
      <c r="H2" s="10" t="s">
        <v>95</v>
      </c>
      <c r="I2" s="5">
        <v>54.033494388888883</v>
      </c>
      <c r="J2" s="10">
        <v>-1.4315090993780699E-2</v>
      </c>
      <c r="K2" s="5">
        <v>53.656024351351356</v>
      </c>
      <c r="L2" s="10">
        <v>-7.3807993815960815E-3</v>
      </c>
      <c r="M2" s="5">
        <v>52.119853957264965</v>
      </c>
      <c r="N2" s="10">
        <v>2.1875465032382468E-2</v>
      </c>
      <c r="O2" s="5">
        <v>54.900002000000001</v>
      </c>
      <c r="P2" s="10">
        <v>-2.9872530787885987E-2</v>
      </c>
      <c r="Q2" s="5">
        <v>11.48</v>
      </c>
      <c r="R2" s="10">
        <v>3.6393728222996513</v>
      </c>
    </row>
    <row r="3" spans="1:20">
      <c r="A3" s="2" t="s">
        <v>216</v>
      </c>
      <c r="B3" s="2" t="s">
        <v>230</v>
      </c>
      <c r="C3" s="6">
        <v>79.69</v>
      </c>
      <c r="D3" s="6">
        <v>-2.0000000091613401E-6</v>
      </c>
      <c r="E3" s="15">
        <v>0.02</v>
      </c>
      <c r="F3" s="6">
        <v>79.690002000000007</v>
      </c>
      <c r="G3" s="6"/>
      <c r="H3" s="11" t="s">
        <v>95</v>
      </c>
      <c r="I3" s="6">
        <v>79.884446000000011</v>
      </c>
      <c r="J3" s="11">
        <v>-2.4340908616931056E-3</v>
      </c>
      <c r="K3" s="6">
        <v>79.905676351351346</v>
      </c>
      <c r="L3" s="11">
        <v>-2.6991367972784008E-3</v>
      </c>
      <c r="M3" s="6">
        <v>79.743590025640955</v>
      </c>
      <c r="N3" s="11">
        <v>-6.7202925807230418E-4</v>
      </c>
      <c r="O3" s="6">
        <v>81.099997999999999</v>
      </c>
      <c r="P3" s="11">
        <v>-1.738591904774156E-2</v>
      </c>
      <c r="Q3" s="6">
        <v>79.220000999999996</v>
      </c>
      <c r="R3" s="11">
        <v>5.932832543135147E-3</v>
      </c>
      <c r="T3" t="s">
        <v>438</v>
      </c>
    </row>
    <row r="4" spans="1:20">
      <c r="A4" s="1" t="s">
        <v>217</v>
      </c>
      <c r="B4" s="1" t="s">
        <v>231</v>
      </c>
      <c r="C4" s="5">
        <v>79.83</v>
      </c>
      <c r="D4" s="5">
        <v>2.5009999999952015E-3</v>
      </c>
      <c r="E4" s="14">
        <v>-0.05</v>
      </c>
      <c r="F4" s="5">
        <v>79.827499000000003</v>
      </c>
      <c r="G4" s="5"/>
      <c r="H4" s="10" t="s">
        <v>95</v>
      </c>
      <c r="I4" s="5">
        <v>80.0159721666667</v>
      </c>
      <c r="J4" s="10">
        <v>-2.3241880543466431E-3</v>
      </c>
      <c r="K4" s="5">
        <v>80.016959756756748</v>
      </c>
      <c r="L4" s="10">
        <v>-2.3365016282184126E-3</v>
      </c>
      <c r="M4" s="5">
        <v>79.766217803418826</v>
      </c>
      <c r="N4" s="10">
        <v>7.9961415167462135E-4</v>
      </c>
      <c r="O4" s="5">
        <v>81.010002</v>
      </c>
      <c r="P4" s="10">
        <v>-1.4566127278950125E-2</v>
      </c>
      <c r="Q4" s="5">
        <v>78.980002999999996</v>
      </c>
      <c r="R4" s="10">
        <v>1.0762179890015933E-2</v>
      </c>
      <c r="T4" t="s">
        <v>444</v>
      </c>
    </row>
    <row r="5" spans="1:20">
      <c r="A5" s="2" t="s">
        <v>218</v>
      </c>
      <c r="B5" s="2" t="s">
        <v>232</v>
      </c>
      <c r="C5" s="6">
        <v>105.14</v>
      </c>
      <c r="D5" s="6">
        <v>-4.9970000000030268E-3</v>
      </c>
      <c r="E5" s="15">
        <v>0.01</v>
      </c>
      <c r="F5" s="6">
        <v>105.144997</v>
      </c>
      <c r="G5" s="6"/>
      <c r="H5" s="11" t="s">
        <v>95</v>
      </c>
      <c r="I5" s="6">
        <v>105.26083366666666</v>
      </c>
      <c r="J5" s="11">
        <v>-1.1479451801541529E-3</v>
      </c>
      <c r="K5" s="6">
        <v>105.28662194594594</v>
      </c>
      <c r="L5" s="11">
        <v>-1.3925980645596026E-3</v>
      </c>
      <c r="M5" s="6">
        <v>105.16927348717947</v>
      </c>
      <c r="N5" s="11">
        <v>-2.7834638586754501E-4</v>
      </c>
      <c r="O5" s="6">
        <v>106.08000200000001</v>
      </c>
      <c r="P5" s="11">
        <v>-8.8612554890412643E-3</v>
      </c>
      <c r="Q5" s="6">
        <v>104.610001</v>
      </c>
      <c r="R5" s="11">
        <v>5.0664276353462601E-3</v>
      </c>
    </row>
    <row r="6" spans="1:20">
      <c r="A6" s="1" t="s">
        <v>219</v>
      </c>
      <c r="B6" s="1" t="s">
        <v>233</v>
      </c>
      <c r="C6" s="5">
        <v>60.67</v>
      </c>
      <c r="D6" s="5">
        <v>2.0000000020559128E-6</v>
      </c>
      <c r="E6" s="14">
        <v>-0.02</v>
      </c>
      <c r="F6" s="5">
        <v>60.669998</v>
      </c>
      <c r="G6" s="5"/>
      <c r="H6" s="10" t="s">
        <v>95</v>
      </c>
      <c r="I6" s="5">
        <v>60.752104842105261</v>
      </c>
      <c r="J6" s="10">
        <v>-1.3514732093422577E-3</v>
      </c>
      <c r="K6" s="5">
        <v>60.776315578947369</v>
      </c>
      <c r="L6" s="10">
        <v>-1.7492929266049728E-3</v>
      </c>
      <c r="M6" s="5">
        <v>60.766440542372891</v>
      </c>
      <c r="N6" s="10">
        <v>-1.5870691373742751E-3</v>
      </c>
      <c r="O6" s="5">
        <v>61.380001</v>
      </c>
      <c r="P6" s="10">
        <v>-1.1567301864331969E-2</v>
      </c>
      <c r="Q6" s="5">
        <v>60.599997999999999</v>
      </c>
      <c r="R6" s="10">
        <v>1.1551485529752714E-3</v>
      </c>
    </row>
    <row r="7" spans="1:20">
      <c r="A7" s="2" t="s">
        <v>220</v>
      </c>
      <c r="B7" s="2" t="s">
        <v>234</v>
      </c>
      <c r="C7" s="6">
        <v>84.4</v>
      </c>
      <c r="D7" s="6">
        <v>6.2010000000043419E-3</v>
      </c>
      <c r="E7" s="15">
        <v>0.05</v>
      </c>
      <c r="F7" s="6">
        <v>84.393799000000001</v>
      </c>
      <c r="G7" s="6"/>
      <c r="H7" s="11" t="s">
        <v>95</v>
      </c>
      <c r="I7" s="6">
        <v>84.486878666666669</v>
      </c>
      <c r="J7" s="11">
        <v>-1.0283095794014763E-3</v>
      </c>
      <c r="K7" s="6">
        <v>84.526049027027014</v>
      </c>
      <c r="L7" s="11">
        <v>-1.4912447520964989E-3</v>
      </c>
      <c r="M7" s="6">
        <v>84.499861393162405</v>
      </c>
      <c r="N7" s="11">
        <v>-1.1817935735747298E-3</v>
      </c>
      <c r="O7" s="6">
        <v>85.300003000000004</v>
      </c>
      <c r="P7" s="11">
        <v>-1.0551031281909817E-2</v>
      </c>
      <c r="Q7" s="6">
        <v>84.239998</v>
      </c>
      <c r="R7" s="11">
        <v>1.8993590194529286E-3</v>
      </c>
    </row>
    <row r="8" spans="1:20">
      <c r="A8" s="1" t="s">
        <v>221</v>
      </c>
      <c r="B8" s="1" t="s">
        <v>235</v>
      </c>
      <c r="C8" s="5">
        <v>48.5</v>
      </c>
      <c r="D8" s="5">
        <v>9.4989999999981478E-3</v>
      </c>
      <c r="E8" s="14">
        <v>0.02</v>
      </c>
      <c r="F8" s="5">
        <v>48.490501000000002</v>
      </c>
      <c r="G8" s="5"/>
      <c r="H8" s="10" t="s">
        <v>95</v>
      </c>
      <c r="I8" s="5">
        <v>48.670583277777773</v>
      </c>
      <c r="J8" s="10">
        <v>-3.5048537800379531E-3</v>
      </c>
      <c r="K8" s="5">
        <v>48.689743135135139</v>
      </c>
      <c r="L8" s="10">
        <v>-3.8969836954884096E-3</v>
      </c>
      <c r="M8" s="5">
        <v>48.471969991453001</v>
      </c>
      <c r="N8" s="10">
        <v>5.7827252640940685E-4</v>
      </c>
      <c r="O8" s="5">
        <v>49.240002000000004</v>
      </c>
      <c r="P8" s="10">
        <v>-1.5028472175935392E-2</v>
      </c>
      <c r="Q8" s="5">
        <v>47.759997999999996</v>
      </c>
      <c r="R8" s="10">
        <v>1.5494179878315917E-2</v>
      </c>
    </row>
    <row r="9" spans="1:20">
      <c r="A9" s="2" t="s">
        <v>445</v>
      </c>
      <c r="B9" s="2" t="s">
        <v>449</v>
      </c>
      <c r="C9" s="6">
        <v>92.77</v>
      </c>
      <c r="D9" s="6">
        <v>-1.500400000000468E-2</v>
      </c>
      <c r="E9" s="15">
        <v>-0.01</v>
      </c>
      <c r="F9" s="6">
        <v>92.785004000000001</v>
      </c>
      <c r="G9" s="6"/>
      <c r="H9" s="11" t="s">
        <v>95</v>
      </c>
      <c r="I9" s="6">
        <v>93.603612277777785</v>
      </c>
      <c r="J9" s="11">
        <v>-8.9057703809972688E-3</v>
      </c>
      <c r="K9" s="6">
        <v>92.759865243243212</v>
      </c>
      <c r="L9" s="11">
        <v>1.0925799353200816E-4</v>
      </c>
      <c r="M9" s="6">
        <v>90.848504470085516</v>
      </c>
      <c r="N9" s="11">
        <v>2.1150546628394773E-2</v>
      </c>
      <c r="O9" s="6">
        <v>101.239998</v>
      </c>
      <c r="P9" s="11">
        <v>-8.3662565856629123E-2</v>
      </c>
      <c r="Q9" s="6">
        <v>87.410004000000001</v>
      </c>
      <c r="R9" s="11">
        <v>6.1320166510917762E-2</v>
      </c>
    </row>
    <row r="10" spans="1:20">
      <c r="A10" s="1" t="s">
        <v>446</v>
      </c>
      <c r="B10" s="1" t="s">
        <v>450</v>
      </c>
      <c r="C10" s="5">
        <v>76.739999999999995</v>
      </c>
      <c r="D10" s="5">
        <v>1.9999999949504854E-6</v>
      </c>
      <c r="E10" s="14">
        <v>0.17</v>
      </c>
      <c r="F10" s="5">
        <v>76.739998</v>
      </c>
      <c r="G10" s="5"/>
      <c r="H10" s="10" t="s">
        <v>95</v>
      </c>
      <c r="I10" s="5">
        <v>77.668332277777779</v>
      </c>
      <c r="J10" s="10">
        <v>-1.1952519779330872E-2</v>
      </c>
      <c r="K10" s="5">
        <v>76.873242702702683</v>
      </c>
      <c r="L10" s="10">
        <v>-1.7332780304063489E-3</v>
      </c>
      <c r="M10" s="5">
        <v>75.221965803418769</v>
      </c>
      <c r="N10" s="10">
        <v>2.0180730194533592E-2</v>
      </c>
      <c r="O10" s="5">
        <v>87.900002000000001</v>
      </c>
      <c r="P10" s="10">
        <v>-0.12696247720221898</v>
      </c>
      <c r="Q10" s="5">
        <v>72.089995999999999</v>
      </c>
      <c r="R10" s="10">
        <v>6.4502764017354108E-2</v>
      </c>
    </row>
    <row r="11" spans="1:20">
      <c r="A11" s="2" t="s">
        <v>447</v>
      </c>
      <c r="B11" s="2" t="s">
        <v>451</v>
      </c>
      <c r="C11" s="6">
        <v>124.59</v>
      </c>
      <c r="D11" s="6">
        <v>4.0000000041118255E-6</v>
      </c>
      <c r="E11" s="15">
        <v>0.1</v>
      </c>
      <c r="F11" s="6">
        <v>124.589996</v>
      </c>
      <c r="G11" s="6"/>
      <c r="H11" s="11" t="s">
        <v>95</v>
      </c>
      <c r="I11" s="6">
        <v>126.01736768421054</v>
      </c>
      <c r="J11" s="11">
        <v>-1.1326753688328139E-2</v>
      </c>
      <c r="K11" s="6">
        <v>124.70026276315787</v>
      </c>
      <c r="L11" s="11">
        <v>-8.8422238024699062E-4</v>
      </c>
      <c r="M11" s="6">
        <v>121.89008432203396</v>
      </c>
      <c r="N11" s="11">
        <v>2.2150412750826076E-2</v>
      </c>
      <c r="O11" s="6">
        <v>143.60000600000001</v>
      </c>
      <c r="P11" s="11">
        <v>-0.13238165185034878</v>
      </c>
      <c r="Q11" s="6">
        <v>116.510002</v>
      </c>
      <c r="R11" s="11">
        <v>6.9350252006690427E-2</v>
      </c>
    </row>
    <row r="12" spans="1:20">
      <c r="A12" s="1" t="s">
        <v>448</v>
      </c>
      <c r="B12" s="1" t="s">
        <v>452</v>
      </c>
      <c r="C12" s="5">
        <v>117.2</v>
      </c>
      <c r="D12" s="5">
        <v>0.39999699999999905</v>
      </c>
      <c r="E12" s="14">
        <v>0.39</v>
      </c>
      <c r="F12" s="5">
        <v>116.800003</v>
      </c>
      <c r="G12" s="5"/>
      <c r="H12" s="10" t="s">
        <v>95</v>
      </c>
      <c r="I12" s="5">
        <v>119.1272218888889</v>
      </c>
      <c r="J12" s="10">
        <v>-1.6177846325388434E-2</v>
      </c>
      <c r="K12" s="5">
        <v>117.13972916216217</v>
      </c>
      <c r="L12" s="10">
        <v>5.1452089115211486E-4</v>
      </c>
      <c r="M12" s="5">
        <v>113.23470069230765</v>
      </c>
      <c r="N12" s="10">
        <v>3.5018411171211961E-2</v>
      </c>
      <c r="O12" s="5">
        <v>145.30999800000001</v>
      </c>
      <c r="P12" s="10">
        <v>-0.19344847833526224</v>
      </c>
      <c r="Q12" s="5">
        <v>106.010002</v>
      </c>
      <c r="R12" s="10">
        <v>0.10555605875755014</v>
      </c>
    </row>
    <row r="13" spans="1:20">
      <c r="A13" s="2" t="s">
        <v>222</v>
      </c>
      <c r="B13" s="2" t="s">
        <v>236</v>
      </c>
      <c r="C13" s="6">
        <v>12.47</v>
      </c>
      <c r="D13" s="6"/>
      <c r="E13" s="15">
        <v>-2.35</v>
      </c>
      <c r="F13" s="6"/>
      <c r="G13" s="6"/>
      <c r="H13" s="11" t="s">
        <v>95</v>
      </c>
      <c r="I13" s="6">
        <v>12.896470588235292</v>
      </c>
      <c r="J13" s="11">
        <v>-3.3068783068782914E-2</v>
      </c>
      <c r="K13" s="6">
        <v>13.032222222222225</v>
      </c>
      <c r="L13" s="11">
        <v>-4.3140932730838299E-2</v>
      </c>
      <c r="M13" s="6">
        <v>13.417241379310347</v>
      </c>
      <c r="N13" s="11">
        <v>-7.0598817784631285E-2</v>
      </c>
      <c r="O13" s="6">
        <v>18.670000000000002</v>
      </c>
      <c r="P13" s="11">
        <v>-0.33208355650776644</v>
      </c>
      <c r="Q13" s="6">
        <v>11</v>
      </c>
      <c r="R13" s="11">
        <v>0.13363636363636378</v>
      </c>
    </row>
    <row r="14" spans="1:20">
      <c r="A14" s="1" t="s">
        <v>7</v>
      </c>
      <c r="B14" s="1" t="s">
        <v>47</v>
      </c>
      <c r="C14" s="5">
        <v>27.08</v>
      </c>
      <c r="D14" s="5">
        <v>-4.99900000000153E-3</v>
      </c>
      <c r="E14" s="14">
        <v>0.13</v>
      </c>
      <c r="F14" s="5">
        <v>27.084999</v>
      </c>
      <c r="G14" s="5"/>
      <c r="H14" s="10" t="s">
        <v>95</v>
      </c>
      <c r="I14" s="5">
        <v>26.561944055555553</v>
      </c>
      <c r="J14" s="10">
        <v>1.950369082025416E-2</v>
      </c>
      <c r="K14" s="5">
        <v>25.818243000000002</v>
      </c>
      <c r="L14" s="10">
        <v>4.8870753908389242E-2</v>
      </c>
      <c r="M14" s="5">
        <v>25.226367410256408</v>
      </c>
      <c r="N14" s="10">
        <v>7.3479964816097532E-2</v>
      </c>
      <c r="O14" s="5">
        <v>27.09</v>
      </c>
      <c r="P14" s="10">
        <v>-3.6913990402365204E-4</v>
      </c>
      <c r="Q14" s="5">
        <v>23.450001</v>
      </c>
      <c r="R14" s="10">
        <v>0.15479739211951404</v>
      </c>
    </row>
    <row r="15" spans="1:20">
      <c r="A15" s="2" t="s">
        <v>694</v>
      </c>
      <c r="B15" s="2" t="s">
        <v>243</v>
      </c>
      <c r="C15" s="6"/>
      <c r="D15" s="6"/>
      <c r="E15" s="15"/>
      <c r="F15" s="6">
        <v>3.9</v>
      </c>
      <c r="G15" s="6"/>
      <c r="H15" s="11" t="s">
        <v>95</v>
      </c>
      <c r="I15" s="6">
        <v>3.9911111111111106</v>
      </c>
      <c r="J15" s="11"/>
      <c r="K15" s="6">
        <v>4.0486486486486486</v>
      </c>
      <c r="L15" s="11"/>
      <c r="M15" s="6">
        <v>4.416837606837607</v>
      </c>
      <c r="N15" s="11"/>
      <c r="O15" s="6">
        <v>5.73</v>
      </c>
      <c r="P15" s="11"/>
      <c r="Q15" s="6">
        <v>2.83</v>
      </c>
      <c r="R15" s="11"/>
    </row>
    <row r="16" spans="1:20">
      <c r="A16" s="1" t="s">
        <v>223</v>
      </c>
      <c r="B16" s="1" t="s">
        <v>237</v>
      </c>
      <c r="C16" s="5">
        <v>6.43</v>
      </c>
      <c r="D16" s="5"/>
      <c r="E16" s="14">
        <v>0.63</v>
      </c>
      <c r="F16" s="5"/>
      <c r="G16" s="5"/>
      <c r="H16" s="10" t="s">
        <v>95</v>
      </c>
      <c r="I16" s="5">
        <v>6.3252941176470587</v>
      </c>
      <c r="J16" s="10">
        <v>1.6553519947921425E-2</v>
      </c>
      <c r="K16" s="5">
        <v>6.5119444444444436</v>
      </c>
      <c r="L16" s="10">
        <v>-1.258371368852107E-2</v>
      </c>
      <c r="M16" s="5">
        <v>6.7934482758620689</v>
      </c>
      <c r="N16" s="10">
        <v>-5.3499822344043491E-2</v>
      </c>
      <c r="O16" s="5">
        <v>7.21</v>
      </c>
      <c r="P16" s="10">
        <v>-0.10818307905686553</v>
      </c>
      <c r="Q16" s="5">
        <v>6.14</v>
      </c>
      <c r="R16" s="10">
        <v>4.723127035830621E-2</v>
      </c>
    </row>
    <row r="17" spans="1:18">
      <c r="A17" s="2" t="s">
        <v>224</v>
      </c>
      <c r="B17" s="2" t="s">
        <v>238</v>
      </c>
      <c r="C17" s="6">
        <v>5.64</v>
      </c>
      <c r="D17" s="6"/>
      <c r="E17" s="15">
        <v>1.44</v>
      </c>
      <c r="F17" s="6"/>
      <c r="G17" s="6"/>
      <c r="H17" s="11" t="s">
        <v>95</v>
      </c>
      <c r="I17" s="6">
        <v>5.5088235294117647</v>
      </c>
      <c r="J17" s="11">
        <v>2.3812066203950932E-2</v>
      </c>
      <c r="K17" s="6">
        <v>5.7552777777777777</v>
      </c>
      <c r="L17" s="11">
        <v>-2.0029924224142182E-2</v>
      </c>
      <c r="M17" s="6">
        <v>6.0902586206896538</v>
      </c>
      <c r="N17" s="11">
        <v>-7.3930952482058498E-2</v>
      </c>
      <c r="O17" s="6">
        <v>6.53</v>
      </c>
      <c r="P17" s="11">
        <v>-0.13629402756508435</v>
      </c>
      <c r="Q17" s="6">
        <v>5.3</v>
      </c>
      <c r="R17" s="11">
        <v>6.4150943396226401E-2</v>
      </c>
    </row>
    <row r="18" spans="1:18">
      <c r="A18" s="1" t="s">
        <v>225</v>
      </c>
      <c r="B18" s="1" t="s">
        <v>239</v>
      </c>
      <c r="C18" s="5">
        <v>8.6300000000000008</v>
      </c>
      <c r="D18" s="5">
        <v>0</v>
      </c>
      <c r="E18" s="14">
        <v>-3.25</v>
      </c>
      <c r="F18" s="5">
        <v>8.6300000000000008</v>
      </c>
      <c r="G18" s="5">
        <v>6</v>
      </c>
      <c r="H18" s="10">
        <v>0.43833333333333346</v>
      </c>
      <c r="I18" s="5">
        <v>8.2589473684210528</v>
      </c>
      <c r="J18" s="10">
        <v>4.4927351516696579E-2</v>
      </c>
      <c r="K18" s="5">
        <v>8.3207894736842114</v>
      </c>
      <c r="L18" s="10">
        <v>3.7161200543976758E-2</v>
      </c>
      <c r="M18" s="5">
        <v>9.2531355932203425</v>
      </c>
      <c r="N18" s="10">
        <v>-6.7343181880627045E-2</v>
      </c>
      <c r="O18" s="5">
        <v>11.52</v>
      </c>
      <c r="P18" s="10">
        <v>-0.25086805555555547</v>
      </c>
      <c r="Q18" s="5">
        <v>4.82</v>
      </c>
      <c r="R18" s="10">
        <v>0.79045643153526979</v>
      </c>
    </row>
    <row r="19" spans="1:18">
      <c r="A19" s="2" t="s">
        <v>1</v>
      </c>
      <c r="B19" s="2" t="s">
        <v>41</v>
      </c>
      <c r="C19" s="6">
        <v>80.260000000000005</v>
      </c>
      <c r="D19" s="6">
        <v>2.0002000000005182E-2</v>
      </c>
      <c r="E19" s="15">
        <v>-2.48</v>
      </c>
      <c r="F19" s="6">
        <v>80.239998</v>
      </c>
      <c r="G19" s="6">
        <v>20</v>
      </c>
      <c r="H19" s="11">
        <v>3.0129999999999999</v>
      </c>
      <c r="I19" s="6">
        <v>82.977367578947366</v>
      </c>
      <c r="J19" s="11">
        <v>-3.2748298219535177E-2</v>
      </c>
      <c r="K19" s="6">
        <v>80.589210131578966</v>
      </c>
      <c r="L19" s="11">
        <v>-4.0850398091935025E-3</v>
      </c>
      <c r="M19" s="6">
        <v>71.969321686440665</v>
      </c>
      <c r="N19" s="11">
        <v>0.11519739410190022</v>
      </c>
      <c r="O19" s="6">
        <v>87.029999000000004</v>
      </c>
      <c r="P19" s="11">
        <v>-7.7789257472012596E-2</v>
      </c>
      <c r="Q19" s="6">
        <v>26.110001</v>
      </c>
      <c r="R19" s="11">
        <v>2.0739179213359664</v>
      </c>
    </row>
    <row r="20" spans="1:18">
      <c r="A20" s="1" t="s">
        <v>19</v>
      </c>
      <c r="B20" s="1" t="s">
        <v>59</v>
      </c>
      <c r="C20" s="5">
        <v>18.45</v>
      </c>
      <c r="D20" s="5">
        <v>4.9999999999990052E-3</v>
      </c>
      <c r="E20" s="14">
        <v>1.65</v>
      </c>
      <c r="F20" s="5">
        <v>18.445</v>
      </c>
      <c r="G20" s="5">
        <v>28</v>
      </c>
      <c r="H20" s="10">
        <v>-0.34107142857142858</v>
      </c>
      <c r="I20" s="5">
        <v>17.374999947368423</v>
      </c>
      <c r="J20" s="10">
        <v>6.1870506813693105E-2</v>
      </c>
      <c r="K20" s="5">
        <v>17.895657842105262</v>
      </c>
      <c r="L20" s="10">
        <v>3.0976349837806394E-2</v>
      </c>
      <c r="M20" s="5">
        <v>18.33453382203389</v>
      </c>
      <c r="N20" s="10">
        <v>6.2977427780217532E-3</v>
      </c>
      <c r="O20" s="5">
        <v>20.85</v>
      </c>
      <c r="P20" s="10">
        <v>-0.11510791366906481</v>
      </c>
      <c r="Q20" s="5">
        <v>11.48</v>
      </c>
      <c r="R20" s="10">
        <v>0.60714285714285698</v>
      </c>
    </row>
    <row r="21" spans="1:18">
      <c r="A21" s="2" t="s">
        <v>12</v>
      </c>
      <c r="B21" s="2" t="s">
        <v>52</v>
      </c>
      <c r="C21" s="6">
        <v>68.33</v>
      </c>
      <c r="D21" s="6">
        <v>0.14999999999999147</v>
      </c>
      <c r="E21" s="15">
        <v>0</v>
      </c>
      <c r="F21" s="6">
        <v>68.180000000000007</v>
      </c>
      <c r="G21" s="6">
        <v>20</v>
      </c>
      <c r="H21" s="11">
        <v>2.4165000000000001</v>
      </c>
      <c r="I21" s="6">
        <v>71.945789526315792</v>
      </c>
      <c r="J21" s="11">
        <v>-5.0257138744627117E-2</v>
      </c>
      <c r="K21" s="6">
        <v>73.162894815789485</v>
      </c>
      <c r="L21" s="11">
        <v>-6.6056637424719344E-2</v>
      </c>
      <c r="M21" s="6">
        <v>58.517627050847452</v>
      </c>
      <c r="N21" s="11">
        <v>0.16768234536623172</v>
      </c>
      <c r="O21" s="6">
        <v>80.75</v>
      </c>
      <c r="P21" s="11">
        <v>-0.15380804953560379</v>
      </c>
      <c r="Q21" s="6">
        <v>28.49</v>
      </c>
      <c r="R21" s="11">
        <v>1.3983853983853987</v>
      </c>
    </row>
    <row r="22" spans="1:18">
      <c r="A22" s="1" t="s">
        <v>25</v>
      </c>
      <c r="B22" s="1" t="s">
        <v>65</v>
      </c>
      <c r="C22" s="5">
        <v>21.74</v>
      </c>
      <c r="D22" s="5">
        <v>5.399999999998073E-3</v>
      </c>
      <c r="E22" s="14">
        <v>1.21</v>
      </c>
      <c r="F22" s="5">
        <v>21.7346</v>
      </c>
      <c r="G22" s="5">
        <v>15</v>
      </c>
      <c r="H22" s="10">
        <v>0.44933333333333314</v>
      </c>
      <c r="I22" s="5">
        <v>22.293399842105266</v>
      </c>
      <c r="J22" s="10">
        <v>-2.4823483453612516E-2</v>
      </c>
      <c r="K22" s="5">
        <v>22.593541973684211</v>
      </c>
      <c r="L22" s="10">
        <v>-3.7778139199173499E-2</v>
      </c>
      <c r="M22" s="5">
        <v>23.019530491525423</v>
      </c>
      <c r="N22" s="10">
        <v>-5.5584560770971403E-2</v>
      </c>
      <c r="O22" s="5">
        <v>31.32</v>
      </c>
      <c r="P22" s="10">
        <v>-0.30587484035759904</v>
      </c>
      <c r="Q22" s="5">
        <v>18.989999999999998</v>
      </c>
      <c r="R22" s="10">
        <v>0.14481305950500256</v>
      </c>
    </row>
    <row r="23" spans="1:18">
      <c r="A23" s="2" t="s">
        <v>226</v>
      </c>
      <c r="B23" s="2" t="s">
        <v>240</v>
      </c>
      <c r="C23" s="6">
        <v>13.7</v>
      </c>
      <c r="D23" s="6"/>
      <c r="E23" s="15">
        <v>-2</v>
      </c>
      <c r="F23" s="6"/>
      <c r="G23" s="6"/>
      <c r="H23" s="11" t="s">
        <v>95</v>
      </c>
      <c r="I23" s="6">
        <v>14.205882352941174</v>
      </c>
      <c r="J23" s="11">
        <v>-3.5610766045548581E-2</v>
      </c>
      <c r="K23" s="6">
        <v>14.326944444444443</v>
      </c>
      <c r="L23" s="11">
        <v>-4.3759815421602566E-2</v>
      </c>
      <c r="M23" s="6">
        <v>14.537844844827591</v>
      </c>
      <c r="N23" s="11">
        <v>-5.7631984229470468E-2</v>
      </c>
      <c r="O23" s="6">
        <v>19.459999</v>
      </c>
      <c r="P23" s="11">
        <v>-0.29599174182896926</v>
      </c>
      <c r="Q23" s="6">
        <v>12.06</v>
      </c>
      <c r="R23" s="11">
        <v>0.1359867330016582</v>
      </c>
    </row>
    <row r="24" spans="1:18">
      <c r="A24" s="1" t="s">
        <v>227</v>
      </c>
      <c r="B24" s="1" t="s">
        <v>241</v>
      </c>
      <c r="C24" s="5">
        <v>14.37</v>
      </c>
      <c r="D24" s="5">
        <v>0</v>
      </c>
      <c r="E24" s="14">
        <v>-1.58</v>
      </c>
      <c r="F24" s="5">
        <v>14.37</v>
      </c>
      <c r="G24" s="5"/>
      <c r="H24" s="10" t="s">
        <v>95</v>
      </c>
      <c r="I24" s="5">
        <v>14.083888888888886</v>
      </c>
      <c r="J24" s="10">
        <v>2.0314780482032502E-2</v>
      </c>
      <c r="K24" s="5">
        <v>14.408648648648649</v>
      </c>
      <c r="L24" s="10">
        <v>-2.6823229291716988E-3</v>
      </c>
      <c r="M24" s="5">
        <v>15.050683752136742</v>
      </c>
      <c r="N24" s="10">
        <v>-4.5226101574295963E-2</v>
      </c>
      <c r="O24" s="5">
        <v>16.049999</v>
      </c>
      <c r="P24" s="10">
        <v>-0.10467284141263811</v>
      </c>
      <c r="Q24" s="5">
        <v>13.74</v>
      </c>
      <c r="R24" s="10">
        <v>4.5851528384279305E-2</v>
      </c>
    </row>
    <row r="25" spans="1:18">
      <c r="A25" s="2" t="s">
        <v>228</v>
      </c>
      <c r="B25" s="2" t="s">
        <v>242</v>
      </c>
      <c r="C25" s="6">
        <v>40.65</v>
      </c>
      <c r="D25" s="6">
        <v>-5.2999999999983061E-3</v>
      </c>
      <c r="E25" s="15">
        <v>-0.89</v>
      </c>
      <c r="F25" s="6">
        <v>40.655299999999997</v>
      </c>
      <c r="G25" s="6">
        <v>38.25</v>
      </c>
      <c r="H25" s="11">
        <v>6.2745098039215685E-2</v>
      </c>
      <c r="I25" s="6">
        <v>40.818627666666664</v>
      </c>
      <c r="J25" s="11">
        <v>-4.1311449283331081E-3</v>
      </c>
      <c r="K25" s="6">
        <v>40.870953837837831</v>
      </c>
      <c r="L25" s="11">
        <v>-5.4061336252269054E-3</v>
      </c>
      <c r="M25" s="6">
        <v>39.790643487179473</v>
      </c>
      <c r="N25" s="11">
        <v>2.159694937070844E-2</v>
      </c>
      <c r="O25" s="6">
        <v>41.349997999999999</v>
      </c>
      <c r="P25" s="11">
        <v>-1.6928610250476983E-2</v>
      </c>
      <c r="Q25" s="6">
        <v>34.639998999999996</v>
      </c>
      <c r="R25" s="11">
        <v>0.17349887914257733</v>
      </c>
    </row>
    <row r="26" spans="1:18">
      <c r="E26" s="17"/>
    </row>
    <row r="27" spans="1:18">
      <c r="E27" s="17"/>
    </row>
    <row r="28" spans="1:18">
      <c r="E28" s="17"/>
    </row>
    <row r="29" spans="1:18">
      <c r="E29" s="17"/>
    </row>
    <row r="30" spans="1:18">
      <c r="E30" s="17"/>
    </row>
    <row r="31" spans="1:18">
      <c r="E31" s="17"/>
    </row>
    <row r="32" spans="1:18">
      <c r="E32" s="17"/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  <row r="47" spans="5:5">
      <c r="E47" s="17"/>
    </row>
    <row r="48" spans="5:5">
      <c r="E48" s="17"/>
    </row>
    <row r="49" spans="5:5">
      <c r="E49" s="17"/>
    </row>
    <row r="50" spans="5:5">
      <c r="E50" s="17"/>
    </row>
  </sheetData>
  <phoneticPr fontId="5" type="noConversion"/>
  <conditionalFormatting sqref="H2:H6 H11:H25">
    <cfRule type="cellIs" dxfId="41" priority="10" operator="between">
      <formula>0</formula>
      <formula>0.05</formula>
    </cfRule>
    <cfRule type="cellIs" dxfId="40" priority="13" operator="between">
      <formula>-0.05</formula>
      <formula>0</formula>
    </cfRule>
  </conditionalFormatting>
  <conditionalFormatting sqref="J2:J6 L2:L6 N2:N6 N11:N25 L11:L25 J11:J25">
    <cfRule type="cellIs" dxfId="39" priority="12" operator="lessThan">
      <formula>-0.02</formula>
    </cfRule>
  </conditionalFormatting>
  <conditionalFormatting sqref="R2:R6 P2:P6 P11:P25 R11:R25">
    <cfRule type="cellIs" dxfId="38" priority="11" operator="between">
      <formula>-0.05</formula>
      <formula>0.05</formula>
    </cfRule>
  </conditionalFormatting>
  <conditionalFormatting sqref="H7:H8">
    <cfRule type="cellIs" dxfId="37" priority="5" operator="between">
      <formula>0</formula>
      <formula>0.05</formula>
    </cfRule>
    <cfRule type="cellIs" dxfId="36" priority="8" operator="between">
      <formula>-0.05</formula>
      <formula>0</formula>
    </cfRule>
  </conditionalFormatting>
  <conditionalFormatting sqref="N7:N8 L7:L8 J7:J8">
    <cfRule type="cellIs" dxfId="35" priority="7" operator="lessThan">
      <formula>-0.02</formula>
    </cfRule>
  </conditionalFormatting>
  <conditionalFormatting sqref="P7:P8 R7:R8">
    <cfRule type="cellIs" dxfId="34" priority="6" operator="between">
      <formula>-0.05</formula>
      <formula>0.05</formula>
    </cfRule>
  </conditionalFormatting>
  <conditionalFormatting sqref="H9:H10">
    <cfRule type="cellIs" dxfId="33" priority="1" operator="between">
      <formula>0</formula>
      <formula>0.05</formula>
    </cfRule>
    <cfRule type="cellIs" dxfId="32" priority="4" operator="between">
      <formula>-0.05</formula>
      <formula>0</formula>
    </cfRule>
  </conditionalFormatting>
  <conditionalFormatting sqref="N9:N10 L9:L10 J9:J10">
    <cfRule type="cellIs" dxfId="31" priority="3" operator="lessThan">
      <formula>-0.02</formula>
    </cfRule>
  </conditionalFormatting>
  <conditionalFormatting sqref="P9:P10 R9:R10">
    <cfRule type="cellIs" dxfId="30" priority="2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0"/>
  <sheetViews>
    <sheetView zoomScale="80" zoomScaleNormal="80" workbookViewId="0">
      <pane ySplit="1" topLeftCell="A2" activePane="bottomLeft" state="frozen"/>
      <selection activeCell="E2" sqref="E2:E46"/>
      <selection pane="bottomLeft" activeCell="B22" sqref="B22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0">
      <c r="A2" s="1" t="s">
        <v>97</v>
      </c>
      <c r="B2" s="1" t="s">
        <v>156</v>
      </c>
      <c r="C2" s="5">
        <v>81.319999999999993</v>
      </c>
      <c r="D2" s="5">
        <v>6.50100000000009E-3</v>
      </c>
      <c r="E2" s="14">
        <v>-0.05</v>
      </c>
      <c r="F2" s="5">
        <v>81.313498999999993</v>
      </c>
      <c r="G2" s="5"/>
      <c r="H2" s="10" t="s">
        <v>95</v>
      </c>
      <c r="I2" s="5">
        <v>81.995447315789463</v>
      </c>
      <c r="J2" s="10">
        <v>-8.2376197447660005E-3</v>
      </c>
      <c r="K2" s="5">
        <v>81.824961564102566</v>
      </c>
      <c r="L2" s="10">
        <v>-6.1712410791293637E-3</v>
      </c>
      <c r="M2" s="5">
        <v>81.281037882352919</v>
      </c>
      <c r="N2" s="10">
        <v>4.7935064145554485E-4</v>
      </c>
      <c r="O2" s="5">
        <v>84.889999000000003</v>
      </c>
      <c r="P2" s="10">
        <v>-4.205441208687033E-2</v>
      </c>
      <c r="Q2" s="5">
        <v>80.040001000000004</v>
      </c>
      <c r="R2" s="10">
        <v>1.5991991304447728E-2</v>
      </c>
    </row>
    <row r="3" spans="1:20">
      <c r="A3" s="2" t="s">
        <v>98</v>
      </c>
      <c r="B3" s="2" t="s">
        <v>157</v>
      </c>
      <c r="C3" s="6">
        <v>10.74</v>
      </c>
      <c r="D3" s="6"/>
      <c r="E3" s="15">
        <v>-0.09</v>
      </c>
      <c r="F3" s="6"/>
      <c r="G3" s="6"/>
      <c r="H3" s="11" t="s">
        <v>95</v>
      </c>
      <c r="I3" s="6">
        <v>10.81</v>
      </c>
      <c r="J3" s="11">
        <v>-6.4754856614246403E-3</v>
      </c>
      <c r="K3" s="6">
        <v>10.784999999999997</v>
      </c>
      <c r="L3" s="11">
        <v>-4.1724617524335761E-3</v>
      </c>
      <c r="M3" s="6">
        <v>10.711694915254229</v>
      </c>
      <c r="N3" s="11">
        <v>2.6424468741601537E-3</v>
      </c>
      <c r="O3" s="6">
        <v>11.12</v>
      </c>
      <c r="P3" s="11">
        <v>-3.4172661870503496E-2</v>
      </c>
      <c r="Q3" s="6">
        <v>10.55</v>
      </c>
      <c r="R3" s="11">
        <v>1.8009478672985635E-2</v>
      </c>
      <c r="T3" t="s">
        <v>439</v>
      </c>
    </row>
    <row r="4" spans="1:20">
      <c r="A4" s="1" t="s">
        <v>99</v>
      </c>
      <c r="B4" s="1" t="s">
        <v>158</v>
      </c>
      <c r="C4" s="5">
        <v>124.52</v>
      </c>
      <c r="D4" s="5">
        <v>9.8989999999901102E-3</v>
      </c>
      <c r="E4" s="14">
        <v>0.7</v>
      </c>
      <c r="F4" s="5">
        <v>124.51010100000001</v>
      </c>
      <c r="G4" s="5"/>
      <c r="H4" s="10" t="s">
        <v>95</v>
      </c>
      <c r="I4" s="5">
        <v>125.06900525</v>
      </c>
      <c r="J4" s="10">
        <v>-4.3896187460882308E-3</v>
      </c>
      <c r="K4" s="5">
        <v>124.29500254999998</v>
      </c>
      <c r="L4" s="10">
        <v>1.8101890291970513E-3</v>
      </c>
      <c r="M4" s="5">
        <v>121.83100089999995</v>
      </c>
      <c r="N4" s="10">
        <v>2.2071550591685529E-2</v>
      </c>
      <c r="O4" s="5">
        <v>126.269997</v>
      </c>
      <c r="P4" s="10">
        <v>-1.3859167193929767E-2</v>
      </c>
      <c r="Q4" s="5">
        <v>106.790001</v>
      </c>
      <c r="R4" s="10">
        <v>0.16602677061497539</v>
      </c>
      <c r="T4" t="s">
        <v>444</v>
      </c>
    </row>
    <row r="5" spans="1:20">
      <c r="A5" s="2" t="s">
        <v>100</v>
      </c>
      <c r="B5" s="2" t="s">
        <v>159</v>
      </c>
      <c r="C5" s="6">
        <v>60.2</v>
      </c>
      <c r="D5" s="6"/>
      <c r="E5" s="15">
        <v>-0.97</v>
      </c>
      <c r="F5" s="6"/>
      <c r="G5" s="6"/>
      <c r="H5" s="11" t="s">
        <v>95</v>
      </c>
      <c r="I5" s="6">
        <v>60.900556000000002</v>
      </c>
      <c r="J5" s="11">
        <v>-1.1503277572703863E-2</v>
      </c>
      <c r="K5" s="6">
        <v>60.493947684210511</v>
      </c>
      <c r="L5" s="11">
        <v>-4.8591255069840855E-3</v>
      </c>
      <c r="M5" s="6">
        <v>59.276949271186425</v>
      </c>
      <c r="N5" s="11">
        <v>1.5571832561603438E-2</v>
      </c>
      <c r="O5" s="6">
        <v>61.490002000000004</v>
      </c>
      <c r="P5" s="11">
        <v>-2.0979052822278299E-2</v>
      </c>
      <c r="Q5" s="6">
        <v>51.98</v>
      </c>
      <c r="R5" s="11">
        <v>0.15813774528664881</v>
      </c>
    </row>
    <row r="6" spans="1:20">
      <c r="A6" s="1" t="s">
        <v>101</v>
      </c>
      <c r="B6" s="1" t="s">
        <v>160</v>
      </c>
      <c r="C6" s="5">
        <v>67.38</v>
      </c>
      <c r="D6" s="5">
        <v>-5.0020000000046139E-3</v>
      </c>
      <c r="E6" s="14">
        <v>0.46</v>
      </c>
      <c r="F6" s="5">
        <v>67.385002</v>
      </c>
      <c r="G6" s="5"/>
      <c r="H6" s="10" t="s">
        <v>95</v>
      </c>
      <c r="I6" s="5">
        <v>67.988683578947359</v>
      </c>
      <c r="J6" s="10">
        <v>-8.9527189953688691E-3</v>
      </c>
      <c r="K6" s="5">
        <v>67.695769076923071</v>
      </c>
      <c r="L6" s="10">
        <v>-4.6645319379452488E-3</v>
      </c>
      <c r="M6" s="5">
        <v>65.640797991596656</v>
      </c>
      <c r="N6" s="10">
        <v>2.6495747486585897E-2</v>
      </c>
      <c r="O6" s="5">
        <v>68.519997000000004</v>
      </c>
      <c r="P6" s="10">
        <v>-1.6637435054178584E-2</v>
      </c>
      <c r="Q6" s="5">
        <v>58.41</v>
      </c>
      <c r="R6" s="10">
        <v>0.15356959424756034</v>
      </c>
    </row>
    <row r="7" spans="1:20">
      <c r="A7" s="2" t="s">
        <v>102</v>
      </c>
      <c r="B7" s="2" t="s">
        <v>161</v>
      </c>
      <c r="C7" s="6">
        <v>27.34</v>
      </c>
      <c r="D7" s="6"/>
      <c r="E7" s="15">
        <v>-0.76</v>
      </c>
      <c r="F7" s="6"/>
      <c r="G7" s="6"/>
      <c r="H7" s="11" t="s">
        <v>95</v>
      </c>
      <c r="I7" s="6">
        <v>27.690555444444445</v>
      </c>
      <c r="J7" s="11">
        <v>-1.2659747658286036E-2</v>
      </c>
      <c r="K7" s="6">
        <v>27.555789368421056</v>
      </c>
      <c r="L7" s="11">
        <v>-7.8309993423142377E-3</v>
      </c>
      <c r="M7" s="6">
        <v>26.717966135593226</v>
      </c>
      <c r="N7" s="11">
        <v>2.3281482626707595E-2</v>
      </c>
      <c r="O7" s="6">
        <v>27.9</v>
      </c>
      <c r="P7" s="11">
        <v>-2.007168458781361E-2</v>
      </c>
      <c r="Q7" s="6">
        <v>23.77</v>
      </c>
      <c r="R7" s="11">
        <v>0.15018931426167437</v>
      </c>
    </row>
    <row r="8" spans="1:20">
      <c r="A8" s="1" t="s">
        <v>103</v>
      </c>
      <c r="B8" s="1" t="s">
        <v>162</v>
      </c>
      <c r="C8" s="5">
        <v>9.91</v>
      </c>
      <c r="D8" s="5"/>
      <c r="E8" s="14">
        <v>0</v>
      </c>
      <c r="F8" s="5"/>
      <c r="G8" s="5"/>
      <c r="H8" s="10" t="s">
        <v>95</v>
      </c>
      <c r="I8" s="5">
        <v>9.9044444444444437</v>
      </c>
      <c r="J8" s="10">
        <v>5.6091541395564271E-4</v>
      </c>
      <c r="K8" s="5">
        <v>9.92</v>
      </c>
      <c r="L8" s="10">
        <v>-1.0080645161290036E-3</v>
      </c>
      <c r="M8" s="5">
        <v>9.9291525423729023</v>
      </c>
      <c r="N8" s="10">
        <v>-1.928920146122115E-3</v>
      </c>
      <c r="O8" s="5">
        <v>10.029999999999999</v>
      </c>
      <c r="P8" s="10">
        <v>-1.1964107676968982E-2</v>
      </c>
      <c r="Q8" s="5">
        <v>9.7799999999999994</v>
      </c>
      <c r="R8" s="10">
        <v>1.3292433537832382E-2</v>
      </c>
    </row>
    <row r="9" spans="1:20">
      <c r="A9" s="2" t="s">
        <v>104</v>
      </c>
      <c r="B9" s="2" t="s">
        <v>163</v>
      </c>
      <c r="C9" s="6">
        <v>10.3</v>
      </c>
      <c r="D9" s="6"/>
      <c r="E9" s="15">
        <v>0</v>
      </c>
      <c r="F9" s="6"/>
      <c r="G9" s="6"/>
      <c r="H9" s="11" t="s">
        <v>95</v>
      </c>
      <c r="I9" s="6">
        <v>10.302222222222222</v>
      </c>
      <c r="J9" s="11">
        <v>-2.157031924071573E-4</v>
      </c>
      <c r="K9" s="6">
        <v>10.303157894736847</v>
      </c>
      <c r="L9" s="11">
        <v>-3.0649775235025434E-4</v>
      </c>
      <c r="M9" s="6">
        <v>10.301186440677943</v>
      </c>
      <c r="N9" s="11">
        <v>-1.1517514849135324E-4</v>
      </c>
      <c r="O9" s="6">
        <v>10.33</v>
      </c>
      <c r="P9" s="11">
        <v>-2.9041626331074433E-3</v>
      </c>
      <c r="Q9" s="6">
        <v>10.27</v>
      </c>
      <c r="R9" s="11">
        <v>2.9211295034081708E-3</v>
      </c>
    </row>
    <row r="10" spans="1:20">
      <c r="A10" s="1" t="s">
        <v>105</v>
      </c>
      <c r="B10" s="1" t="s">
        <v>164</v>
      </c>
      <c r="C10" s="5">
        <v>12.43</v>
      </c>
      <c r="D10" s="5"/>
      <c r="E10" s="14">
        <v>-0.16</v>
      </c>
      <c r="F10" s="5"/>
      <c r="G10" s="5"/>
      <c r="H10" s="10" t="s">
        <v>95</v>
      </c>
      <c r="I10" s="5">
        <v>12.591111111111113</v>
      </c>
      <c r="J10" s="10">
        <v>-1.2795623014472457E-2</v>
      </c>
      <c r="K10" s="5">
        <v>12.559210526315786</v>
      </c>
      <c r="L10" s="10">
        <v>-1.0288108957569153E-2</v>
      </c>
      <c r="M10" s="5">
        <v>12.458135593220328</v>
      </c>
      <c r="N10" s="10">
        <v>-2.258411221309875E-3</v>
      </c>
      <c r="O10" s="5">
        <v>13.17</v>
      </c>
      <c r="P10" s="10">
        <v>-5.6188306757782858E-2</v>
      </c>
      <c r="Q10" s="5">
        <v>12.2</v>
      </c>
      <c r="R10" s="10">
        <v>1.885245901639343E-2</v>
      </c>
    </row>
    <row r="11" spans="1:20">
      <c r="A11" s="2" t="s">
        <v>106</v>
      </c>
      <c r="B11" s="2" t="s">
        <v>165</v>
      </c>
      <c r="C11" s="6">
        <v>10.94</v>
      </c>
      <c r="D11" s="6"/>
      <c r="E11" s="15">
        <v>-0.09</v>
      </c>
      <c r="F11" s="6"/>
      <c r="G11" s="6"/>
      <c r="H11" s="11" t="s">
        <v>95</v>
      </c>
      <c r="I11" s="6">
        <v>11.018333333333333</v>
      </c>
      <c r="J11" s="11">
        <v>-7.1093631825744907E-3</v>
      </c>
      <c r="K11" s="6">
        <v>11.010263157894734</v>
      </c>
      <c r="L11" s="11">
        <v>-6.3816056789117726E-3</v>
      </c>
      <c r="M11" s="6">
        <v>10.953644067796615</v>
      </c>
      <c r="N11" s="11">
        <v>-1.2456190571984438E-3</v>
      </c>
      <c r="O11" s="6">
        <v>11.23</v>
      </c>
      <c r="P11" s="11">
        <v>-2.5823686553873682E-2</v>
      </c>
      <c r="Q11" s="6">
        <v>10.8</v>
      </c>
      <c r="R11" s="11">
        <v>1.2962962962962843E-2</v>
      </c>
    </row>
    <row r="12" spans="1:20">
      <c r="A12" s="1" t="s">
        <v>107</v>
      </c>
      <c r="B12" s="1" t="s">
        <v>166</v>
      </c>
      <c r="C12" s="5">
        <v>9.66</v>
      </c>
      <c r="D12" s="5"/>
      <c r="E12" s="14">
        <v>0</v>
      </c>
      <c r="F12" s="5"/>
      <c r="G12" s="5"/>
      <c r="H12" s="10" t="s">
        <v>95</v>
      </c>
      <c r="I12" s="5">
        <v>9.6638888888888879</v>
      </c>
      <c r="J12" s="10">
        <v>-4.0241448692135418E-4</v>
      </c>
      <c r="K12" s="5">
        <v>9.6315789473684248</v>
      </c>
      <c r="L12" s="10">
        <v>2.9508196721308444E-3</v>
      </c>
      <c r="M12" s="5">
        <v>9.5739830508474633</v>
      </c>
      <c r="N12" s="10">
        <v>8.9844476113756233E-3</v>
      </c>
      <c r="O12" s="5">
        <v>9.7899999999999991</v>
      </c>
      <c r="P12" s="10">
        <v>-1.327885597548506E-2</v>
      </c>
      <c r="Q12" s="5">
        <v>9.3800000000000008</v>
      </c>
      <c r="R12" s="10">
        <v>2.9850746268656581E-2</v>
      </c>
    </row>
    <row r="13" spans="1:20">
      <c r="A13" s="2" t="s">
        <v>108</v>
      </c>
      <c r="B13" s="2" t="s">
        <v>167</v>
      </c>
      <c r="C13" s="6">
        <v>11.67</v>
      </c>
      <c r="D13" s="6"/>
      <c r="E13" s="15">
        <v>-0.17</v>
      </c>
      <c r="F13" s="6"/>
      <c r="G13" s="6"/>
      <c r="H13" s="11" t="s">
        <v>95</v>
      </c>
      <c r="I13" s="6">
        <v>11.853888888888891</v>
      </c>
      <c r="J13" s="11">
        <v>-1.5512958710221847E-2</v>
      </c>
      <c r="K13" s="6">
        <v>11.857631578947366</v>
      </c>
      <c r="L13" s="11">
        <v>-1.5823697818415638E-2</v>
      </c>
      <c r="M13" s="6">
        <v>11.826610169491527</v>
      </c>
      <c r="N13" s="11">
        <v>-1.3242185820542707E-2</v>
      </c>
      <c r="O13" s="6">
        <v>12.24</v>
      </c>
      <c r="P13" s="11">
        <v>-4.6568627450980449E-2</v>
      </c>
      <c r="Q13" s="6">
        <v>11.46</v>
      </c>
      <c r="R13" s="11">
        <v>1.8324607329842868E-2</v>
      </c>
    </row>
    <row r="14" spans="1:20">
      <c r="A14" s="1" t="s">
        <v>109</v>
      </c>
      <c r="B14" s="1" t="s">
        <v>168</v>
      </c>
      <c r="C14" s="5">
        <v>10.82</v>
      </c>
      <c r="D14" s="5"/>
      <c r="E14" s="14">
        <v>-0.09</v>
      </c>
      <c r="F14" s="5"/>
      <c r="G14" s="5"/>
      <c r="H14" s="10" t="s">
        <v>95</v>
      </c>
      <c r="I14" s="5">
        <v>10.947777777777775</v>
      </c>
      <c r="J14" s="10">
        <v>-1.1671572110017014E-2</v>
      </c>
      <c r="K14" s="5">
        <v>10.919210526315794</v>
      </c>
      <c r="L14" s="10">
        <v>-9.0858699057676517E-3</v>
      </c>
      <c r="M14" s="5">
        <v>10.817542372881361</v>
      </c>
      <c r="N14" s="10">
        <v>2.2718904478713497E-4</v>
      </c>
      <c r="O14" s="5">
        <v>11.21</v>
      </c>
      <c r="P14" s="10">
        <v>-3.479036574487071E-2</v>
      </c>
      <c r="Q14" s="5">
        <v>10.58</v>
      </c>
      <c r="R14" s="10">
        <v>2.2684310018903586E-2</v>
      </c>
    </row>
    <row r="15" spans="1:20">
      <c r="A15" s="2" t="s">
        <v>110</v>
      </c>
      <c r="B15" s="2" t="s">
        <v>169</v>
      </c>
      <c r="C15" s="6">
        <v>9.06</v>
      </c>
      <c r="D15" s="6"/>
      <c r="E15" s="15">
        <v>-0.98</v>
      </c>
      <c r="F15" s="6"/>
      <c r="G15" s="6"/>
      <c r="H15" s="11" t="s">
        <v>95</v>
      </c>
      <c r="I15" s="6">
        <v>9.3027777777777807</v>
      </c>
      <c r="J15" s="11">
        <v>-2.6097342490295827E-2</v>
      </c>
      <c r="K15" s="6">
        <v>9.262631578947369</v>
      </c>
      <c r="L15" s="11">
        <v>-2.1876242968350446E-2</v>
      </c>
      <c r="M15" s="6">
        <v>9.2431355932203392</v>
      </c>
      <c r="N15" s="11">
        <v>-1.9813145806782839E-2</v>
      </c>
      <c r="O15" s="6">
        <v>10.28</v>
      </c>
      <c r="P15" s="11">
        <v>-0.11867704280155633</v>
      </c>
      <c r="Q15" s="6">
        <v>8.67</v>
      </c>
      <c r="R15" s="11">
        <v>4.4982698961937739E-2</v>
      </c>
    </row>
    <row r="16" spans="1:20">
      <c r="A16" s="1" t="s">
        <v>111</v>
      </c>
      <c r="B16" s="1" t="s">
        <v>170</v>
      </c>
      <c r="C16" s="5">
        <v>20.5</v>
      </c>
      <c r="D16" s="5"/>
      <c r="E16" s="14">
        <v>-1.01</v>
      </c>
      <c r="F16" s="5"/>
      <c r="G16" s="5"/>
      <c r="H16" s="10" t="s">
        <v>95</v>
      </c>
      <c r="I16" s="5">
        <v>20.735555555555553</v>
      </c>
      <c r="J16" s="10">
        <v>-1.1359982852855999E-2</v>
      </c>
      <c r="K16" s="5">
        <v>20.589736947368422</v>
      </c>
      <c r="L16" s="10">
        <v>-4.3583338435944086E-3</v>
      </c>
      <c r="M16" s="5">
        <v>20.237711932203378</v>
      </c>
      <c r="N16" s="10">
        <v>1.296036175805293E-2</v>
      </c>
      <c r="O16" s="5">
        <v>20.889999</v>
      </c>
      <c r="P16" s="10">
        <v>-1.8669172746250462E-2</v>
      </c>
      <c r="Q16" s="5">
        <v>17.670000000000002</v>
      </c>
      <c r="R16" s="10">
        <v>0.16015846066779837</v>
      </c>
    </row>
    <row r="17" spans="1:18">
      <c r="A17" s="2" t="s">
        <v>112</v>
      </c>
      <c r="B17" s="2" t="s">
        <v>171</v>
      </c>
      <c r="C17" s="6">
        <v>18.75</v>
      </c>
      <c r="D17" s="6"/>
      <c r="E17" s="15">
        <v>-0.9</v>
      </c>
      <c r="F17" s="6"/>
      <c r="G17" s="6"/>
      <c r="H17" s="11" t="s">
        <v>95</v>
      </c>
      <c r="I17" s="6">
        <v>18.998333222222222</v>
      </c>
      <c r="J17" s="11">
        <v>-1.3071316273774336E-2</v>
      </c>
      <c r="K17" s="6">
        <v>18.863684105263154</v>
      </c>
      <c r="L17" s="11">
        <v>-6.0266120143219748E-3</v>
      </c>
      <c r="M17" s="6">
        <v>18.453050847457629</v>
      </c>
      <c r="N17" s="11">
        <v>1.6092144057755275E-2</v>
      </c>
      <c r="O17" s="6">
        <v>19.16</v>
      </c>
      <c r="P17" s="11">
        <v>-2.1398747390396711E-2</v>
      </c>
      <c r="Q17" s="6">
        <v>16.360001</v>
      </c>
      <c r="R17" s="11">
        <v>0.14608794950562642</v>
      </c>
    </row>
    <row r="18" spans="1:18">
      <c r="A18" s="1" t="s">
        <v>113</v>
      </c>
      <c r="B18" s="1" t="s">
        <v>172</v>
      </c>
      <c r="C18" s="5">
        <v>19.079999999999998</v>
      </c>
      <c r="D18" s="5"/>
      <c r="E18" s="14">
        <v>-0.99</v>
      </c>
      <c r="F18" s="5"/>
      <c r="G18" s="5"/>
      <c r="H18" s="10" t="s">
        <v>95</v>
      </c>
      <c r="I18" s="5">
        <v>19.283333222222222</v>
      </c>
      <c r="J18" s="10">
        <v>-1.0544505966836759E-2</v>
      </c>
      <c r="K18" s="5">
        <v>19.141578999999997</v>
      </c>
      <c r="L18" s="10">
        <v>-3.2170282294892161E-3</v>
      </c>
      <c r="M18" s="5">
        <v>18.787118644067807</v>
      </c>
      <c r="N18" s="10">
        <v>1.5589477102954774E-2</v>
      </c>
      <c r="O18" s="5">
        <v>19.43</v>
      </c>
      <c r="P18" s="10">
        <v>-1.801338136901709E-2</v>
      </c>
      <c r="Q18" s="5">
        <v>16.420000000000002</v>
      </c>
      <c r="R18" s="10">
        <v>0.16199756394640663</v>
      </c>
    </row>
    <row r="19" spans="1:18">
      <c r="A19" s="2" t="s">
        <v>114</v>
      </c>
      <c r="B19" s="2" t="s">
        <v>173</v>
      </c>
      <c r="C19" s="6">
        <v>16.89</v>
      </c>
      <c r="D19" s="6"/>
      <c r="E19" s="15">
        <v>-0.88</v>
      </c>
      <c r="F19" s="6"/>
      <c r="G19" s="6"/>
      <c r="H19" s="11" t="s">
        <v>95</v>
      </c>
      <c r="I19" s="6">
        <v>17.168888888888887</v>
      </c>
      <c r="J19" s="11">
        <v>-1.6243851928552822E-2</v>
      </c>
      <c r="K19" s="6">
        <v>17.042894868421058</v>
      </c>
      <c r="L19" s="11">
        <v>-8.9711794622613361E-3</v>
      </c>
      <c r="M19" s="6">
        <v>16.637881330508467</v>
      </c>
      <c r="N19" s="11">
        <v>1.5153291725265028E-2</v>
      </c>
      <c r="O19" s="6">
        <v>17.329999999999998</v>
      </c>
      <c r="P19" s="11">
        <v>-2.5389497980380704E-2</v>
      </c>
      <c r="Q19" s="6">
        <v>14.65</v>
      </c>
      <c r="R19" s="11">
        <v>0.15290102389078508</v>
      </c>
    </row>
    <row r="20" spans="1:18">
      <c r="A20" s="1" t="s">
        <v>115</v>
      </c>
      <c r="B20" s="1" t="s">
        <v>174</v>
      </c>
      <c r="C20" s="5">
        <v>25.56</v>
      </c>
      <c r="D20" s="5"/>
      <c r="E20" s="14">
        <v>-0.85</v>
      </c>
      <c r="F20" s="5"/>
      <c r="G20" s="5"/>
      <c r="H20" s="10" t="s">
        <v>95</v>
      </c>
      <c r="I20" s="5">
        <v>25.940000555555557</v>
      </c>
      <c r="J20" s="10">
        <v>-1.4649211542679508E-2</v>
      </c>
      <c r="K20" s="5">
        <v>25.763421210526317</v>
      </c>
      <c r="L20" s="10">
        <v>-7.8957374823808157E-3</v>
      </c>
      <c r="M20" s="5">
        <v>24.753898364406776</v>
      </c>
      <c r="N20" s="10">
        <v>3.2564633809448962E-2</v>
      </c>
      <c r="O20" s="5">
        <v>26.190001000000002</v>
      </c>
      <c r="P20" s="10">
        <v>-2.4055020081900857E-2</v>
      </c>
      <c r="Q20" s="5">
        <v>21.67</v>
      </c>
      <c r="R20" s="10">
        <v>0.17951084448546362</v>
      </c>
    </row>
    <row r="21" spans="1:18">
      <c r="A21" s="2" t="s">
        <v>116</v>
      </c>
      <c r="B21" s="2" t="s">
        <v>175</v>
      </c>
      <c r="C21" s="6">
        <v>36.74</v>
      </c>
      <c r="D21" s="6"/>
      <c r="E21" s="15">
        <v>-0.92</v>
      </c>
      <c r="F21" s="6"/>
      <c r="G21" s="6"/>
      <c r="H21" s="11" t="s">
        <v>95</v>
      </c>
      <c r="I21" s="6">
        <v>36.908889222222221</v>
      </c>
      <c r="J21" s="11">
        <v>-4.5758413699573675E-3</v>
      </c>
      <c r="K21" s="6">
        <v>36.636579000000005</v>
      </c>
      <c r="L21" s="11">
        <v>2.8228891130910316E-3</v>
      </c>
      <c r="M21" s="6">
        <v>36.323305152542368</v>
      </c>
      <c r="N21" s="11">
        <v>1.1471831809018784E-2</v>
      </c>
      <c r="O21" s="6">
        <v>37.25</v>
      </c>
      <c r="P21" s="11">
        <v>-1.3691275167785233E-2</v>
      </c>
      <c r="Q21" s="6">
        <v>32.110001000000004</v>
      </c>
      <c r="R21" s="11">
        <v>0.14419180491461203</v>
      </c>
    </row>
    <row r="22" spans="1:18">
      <c r="A22" s="1" t="s">
        <v>117</v>
      </c>
      <c r="B22" s="1" t="s">
        <v>176</v>
      </c>
      <c r="C22" s="5">
        <v>19.53</v>
      </c>
      <c r="D22" s="5"/>
      <c r="E22" s="14">
        <v>-1.01</v>
      </c>
      <c r="F22" s="5"/>
      <c r="G22" s="5"/>
      <c r="H22" s="10" t="s">
        <v>95</v>
      </c>
      <c r="I22" s="5">
        <v>19.712222333333337</v>
      </c>
      <c r="J22" s="10">
        <v>-9.2441293656270185E-3</v>
      </c>
      <c r="K22" s="5">
        <v>19.577631657894738</v>
      </c>
      <c r="L22" s="10">
        <v>-2.4329632269656232E-3</v>
      </c>
      <c r="M22" s="5">
        <v>19.348050864406783</v>
      </c>
      <c r="N22" s="10">
        <v>9.4040033731737083E-3</v>
      </c>
      <c r="O22" s="5">
        <v>19.860001</v>
      </c>
      <c r="P22" s="10">
        <v>-1.6616363715188043E-2</v>
      </c>
      <c r="Q22" s="5">
        <v>16.879998999999998</v>
      </c>
      <c r="R22" s="10">
        <v>0.15699058986911107</v>
      </c>
    </row>
    <row r="23" spans="1:18">
      <c r="A23" s="2" t="s">
        <v>118</v>
      </c>
      <c r="B23" s="2" t="s">
        <v>177</v>
      </c>
      <c r="C23" s="6">
        <v>17.93</v>
      </c>
      <c r="D23" s="6"/>
      <c r="E23" s="15">
        <v>-1.1000000000000001</v>
      </c>
      <c r="F23" s="6"/>
      <c r="G23" s="6"/>
      <c r="H23" s="11" t="s">
        <v>95</v>
      </c>
      <c r="I23" s="6">
        <v>18.056111166666668</v>
      </c>
      <c r="J23" s="11">
        <v>-6.9844035353239242E-3</v>
      </c>
      <c r="K23" s="6">
        <v>17.935789394736844</v>
      </c>
      <c r="L23" s="11">
        <v>-3.2278449581613078E-4</v>
      </c>
      <c r="M23" s="6">
        <v>17.901949220338985</v>
      </c>
      <c r="N23" s="11">
        <v>1.5669120337546971E-3</v>
      </c>
      <c r="O23" s="6">
        <v>18.41</v>
      </c>
      <c r="P23" s="11">
        <v>-2.607278652906031E-2</v>
      </c>
      <c r="Q23" s="6">
        <v>15.64</v>
      </c>
      <c r="R23" s="11">
        <v>0.1464194373401535</v>
      </c>
    </row>
    <row r="24" spans="1:18">
      <c r="A24" s="1" t="s">
        <v>119</v>
      </c>
      <c r="B24" s="1" t="s">
        <v>178</v>
      </c>
      <c r="C24" s="5">
        <v>34.18</v>
      </c>
      <c r="D24" s="5"/>
      <c r="E24" s="14">
        <v>-1.87</v>
      </c>
      <c r="F24" s="5"/>
      <c r="G24" s="5">
        <v>34</v>
      </c>
      <c r="H24" s="10">
        <v>5.2941176470588935E-3</v>
      </c>
      <c r="I24" s="5">
        <v>35.385000500000004</v>
      </c>
      <c r="J24" s="10">
        <v>-3.4053991323244603E-2</v>
      </c>
      <c r="K24" s="5">
        <v>34.886579157894744</v>
      </c>
      <c r="L24" s="10">
        <v>-2.0253609696061159E-2</v>
      </c>
      <c r="M24" s="5">
        <v>34.819491499999998</v>
      </c>
      <c r="N24" s="10">
        <v>-1.8365905774356261E-2</v>
      </c>
      <c r="O24" s="5">
        <v>38.57</v>
      </c>
      <c r="P24" s="10">
        <v>-0.11381903033445684</v>
      </c>
      <c r="Q24" s="5">
        <v>32.75</v>
      </c>
      <c r="R24" s="10">
        <v>4.366412213740456E-2</v>
      </c>
    </row>
    <row r="25" spans="1:18">
      <c r="A25" s="2" t="s">
        <v>120</v>
      </c>
      <c r="B25" s="2" t="s">
        <v>179</v>
      </c>
      <c r="C25" s="6">
        <v>20.93</v>
      </c>
      <c r="D25" s="6"/>
      <c r="E25" s="15">
        <v>-1.32</v>
      </c>
      <c r="F25" s="6"/>
      <c r="G25" s="6"/>
      <c r="H25" s="11" t="s">
        <v>95</v>
      </c>
      <c r="I25" s="6">
        <v>21.083889055555559</v>
      </c>
      <c r="J25" s="11">
        <v>-7.298893252097205E-3</v>
      </c>
      <c r="K25" s="6">
        <v>20.863684289473678</v>
      </c>
      <c r="L25" s="11">
        <v>3.1785234863710432E-3</v>
      </c>
      <c r="M25" s="6">
        <v>20.727457669491525</v>
      </c>
      <c r="N25" s="11">
        <v>9.7716919140833358E-3</v>
      </c>
      <c r="O25" s="6">
        <v>22.290001</v>
      </c>
      <c r="P25" s="11">
        <v>-6.1013949707763637E-2</v>
      </c>
      <c r="Q25" s="6">
        <v>18.129998999999998</v>
      </c>
      <c r="R25" s="11">
        <v>0.15444021811584219</v>
      </c>
    </row>
    <row r="26" spans="1:18">
      <c r="A26" s="1" t="s">
        <v>121</v>
      </c>
      <c r="B26" s="1" t="s">
        <v>180</v>
      </c>
      <c r="C26" s="5">
        <v>33.96</v>
      </c>
      <c r="D26" s="5"/>
      <c r="E26" s="14">
        <v>-1.25</v>
      </c>
      <c r="F26" s="5"/>
      <c r="G26" s="5"/>
      <c r="H26" s="10" t="s">
        <v>95</v>
      </c>
      <c r="I26" s="5">
        <v>34.347777611111106</v>
      </c>
      <c r="J26" s="10">
        <v>-1.1289743851889411E-2</v>
      </c>
      <c r="K26" s="5">
        <v>34.107368394736838</v>
      </c>
      <c r="L26" s="10">
        <v>-4.3207201749279056E-3</v>
      </c>
      <c r="M26" s="5">
        <v>34.040932169491512</v>
      </c>
      <c r="N26" s="10">
        <v>-2.3774956892644861E-3</v>
      </c>
      <c r="O26" s="5">
        <v>35.580002</v>
      </c>
      <c r="P26" s="10">
        <v>-4.5531250953836366E-2</v>
      </c>
      <c r="Q26" s="5">
        <v>29.459999</v>
      </c>
      <c r="R26" s="10">
        <v>0.15274952996434243</v>
      </c>
    </row>
    <row r="27" spans="1:18">
      <c r="A27" s="2" t="s">
        <v>122</v>
      </c>
      <c r="B27" s="2" t="s">
        <v>181</v>
      </c>
      <c r="C27" s="6">
        <v>16.96</v>
      </c>
      <c r="D27" s="6"/>
      <c r="E27" s="15">
        <v>-1.17</v>
      </c>
      <c r="F27" s="6"/>
      <c r="G27" s="6"/>
      <c r="H27" s="11" t="s">
        <v>95</v>
      </c>
      <c r="I27" s="6">
        <v>17.181666888888891</v>
      </c>
      <c r="J27" s="11">
        <v>-1.2901361103225595E-2</v>
      </c>
      <c r="K27" s="6">
        <v>17.052368578947366</v>
      </c>
      <c r="L27" s="11">
        <v>-5.4167594677376751E-3</v>
      </c>
      <c r="M27" s="6">
        <v>16.763983186440683</v>
      </c>
      <c r="N27" s="11">
        <v>1.1692735036734181E-2</v>
      </c>
      <c r="O27" s="6">
        <v>17.370001000000002</v>
      </c>
      <c r="P27" s="11">
        <v>-2.3603971007255642E-2</v>
      </c>
      <c r="Q27" s="6">
        <v>14.3</v>
      </c>
      <c r="R27" s="11">
        <v>0.186013986013986</v>
      </c>
    </row>
    <row r="28" spans="1:18">
      <c r="A28" s="1" t="s">
        <v>123</v>
      </c>
      <c r="B28" s="1" t="s">
        <v>182</v>
      </c>
      <c r="C28" s="5">
        <v>36.22</v>
      </c>
      <c r="D28" s="5"/>
      <c r="E28" s="14">
        <v>-1.31</v>
      </c>
      <c r="F28" s="5"/>
      <c r="G28" s="5"/>
      <c r="H28" s="10" t="s">
        <v>95</v>
      </c>
      <c r="I28" s="5">
        <v>36.532221944444444</v>
      </c>
      <c r="J28" s="10">
        <v>-8.5464811015122377E-3</v>
      </c>
      <c r="K28" s="5">
        <v>36.382368289473689</v>
      </c>
      <c r="L28" s="10">
        <v>-4.4628290325088305E-3</v>
      </c>
      <c r="M28" s="5">
        <v>36.795762745762715</v>
      </c>
      <c r="N28" s="10">
        <v>-1.5647528486932072E-2</v>
      </c>
      <c r="O28" s="5">
        <v>39.959998999999996</v>
      </c>
      <c r="P28" s="10">
        <v>-9.3593570910749935E-2</v>
      </c>
      <c r="Q28" s="5">
        <v>31.92</v>
      </c>
      <c r="R28" s="10">
        <v>0.13471177944862145</v>
      </c>
    </row>
    <row r="29" spans="1:18">
      <c r="A29" s="2" t="s">
        <v>124</v>
      </c>
      <c r="B29" s="2" t="s">
        <v>183</v>
      </c>
      <c r="C29" s="6">
        <v>23.57</v>
      </c>
      <c r="D29" s="6"/>
      <c r="E29" s="15">
        <v>-1.38</v>
      </c>
      <c r="F29" s="6"/>
      <c r="G29" s="6"/>
      <c r="H29" s="11" t="s">
        <v>95</v>
      </c>
      <c r="I29" s="6">
        <v>23.679444444444449</v>
      </c>
      <c r="J29" s="11">
        <v>-4.6219177439412729E-3</v>
      </c>
      <c r="K29" s="6">
        <v>23.53789471052632</v>
      </c>
      <c r="L29" s="11">
        <v>1.3639830523721752E-3</v>
      </c>
      <c r="M29" s="6">
        <v>23.865508449152536</v>
      </c>
      <c r="N29" s="11">
        <v>-1.2382239824562769E-2</v>
      </c>
      <c r="O29" s="6">
        <v>25.549999</v>
      </c>
      <c r="P29" s="11">
        <v>-7.7495071526225923E-2</v>
      </c>
      <c r="Q29" s="6">
        <v>20.790001</v>
      </c>
      <c r="R29" s="11">
        <v>0.13371807918623957</v>
      </c>
    </row>
    <row r="30" spans="1:18">
      <c r="A30" s="1" t="s">
        <v>125</v>
      </c>
      <c r="B30" s="1" t="s">
        <v>184</v>
      </c>
      <c r="C30" s="5">
        <v>26.96</v>
      </c>
      <c r="D30" s="5"/>
      <c r="E30" s="14">
        <v>-0.7</v>
      </c>
      <c r="F30" s="5"/>
      <c r="G30" s="5"/>
      <c r="H30" s="10" t="s">
        <v>95</v>
      </c>
      <c r="I30" s="5">
        <v>27.155555333333336</v>
      </c>
      <c r="J30" s="10">
        <v>-7.2013012045933911E-3</v>
      </c>
      <c r="K30" s="5">
        <v>27.031052500000005</v>
      </c>
      <c r="L30" s="10">
        <v>-2.6285509970432885E-3</v>
      </c>
      <c r="M30" s="5">
        <v>25.784237313559316</v>
      </c>
      <c r="N30" s="10">
        <v>4.5600056815424228E-2</v>
      </c>
      <c r="O30" s="5">
        <v>27.379998999999998</v>
      </c>
      <c r="P30" s="10">
        <v>-1.5339628025552443E-2</v>
      </c>
      <c r="Q30" s="5">
        <v>22.34</v>
      </c>
      <c r="R30" s="10">
        <v>0.20680393912264994</v>
      </c>
    </row>
    <row r="31" spans="1:18">
      <c r="A31" s="2" t="s">
        <v>126</v>
      </c>
      <c r="B31" s="2" t="s">
        <v>185</v>
      </c>
      <c r="C31" s="6">
        <v>20.46</v>
      </c>
      <c r="D31" s="6"/>
      <c r="E31" s="15">
        <v>-0.57999999999999996</v>
      </c>
      <c r="F31" s="6"/>
      <c r="G31" s="6"/>
      <c r="H31" s="11" t="s">
        <v>95</v>
      </c>
      <c r="I31" s="6">
        <v>20.613888833333334</v>
      </c>
      <c r="J31" s="11">
        <v>-7.4652984974135084E-3</v>
      </c>
      <c r="K31" s="6">
        <v>20.532368289473681</v>
      </c>
      <c r="L31" s="11">
        <v>-3.5245953342255554E-3</v>
      </c>
      <c r="M31" s="6">
        <v>19.709660983050835</v>
      </c>
      <c r="N31" s="11">
        <v>3.8069605438389553E-2</v>
      </c>
      <c r="O31" s="6">
        <v>20.75</v>
      </c>
      <c r="P31" s="11">
        <v>-1.3975903614457774E-2</v>
      </c>
      <c r="Q31" s="6">
        <v>17.049999</v>
      </c>
      <c r="R31" s="11">
        <v>0.20000007038123591</v>
      </c>
    </row>
    <row r="32" spans="1:18">
      <c r="A32" s="1" t="s">
        <v>127</v>
      </c>
      <c r="B32" s="1" t="s">
        <v>186</v>
      </c>
      <c r="C32" s="5">
        <v>21.66</v>
      </c>
      <c r="D32" s="5"/>
      <c r="E32" s="14">
        <v>-0.37</v>
      </c>
      <c r="F32" s="5"/>
      <c r="G32" s="5"/>
      <c r="H32" s="10" t="s">
        <v>95</v>
      </c>
      <c r="I32" s="5">
        <v>21.798333166666666</v>
      </c>
      <c r="J32" s="10">
        <v>-6.346043324000572E-3</v>
      </c>
      <c r="K32" s="5">
        <v>21.722894578947376</v>
      </c>
      <c r="L32" s="10">
        <v>-2.8953129942603795E-3</v>
      </c>
      <c r="M32" s="5">
        <v>21.057372788135591</v>
      </c>
      <c r="N32" s="10">
        <v>2.8618347498883923E-2</v>
      </c>
      <c r="O32" s="5">
        <v>21.959999</v>
      </c>
      <c r="P32" s="10">
        <v>-1.3661157270544511E-2</v>
      </c>
      <c r="Q32" s="5">
        <v>18.23</v>
      </c>
      <c r="R32" s="10">
        <v>0.18815139879319798</v>
      </c>
    </row>
    <row r="33" spans="1:18">
      <c r="A33" s="2" t="s">
        <v>128</v>
      </c>
      <c r="B33" s="2" t="s">
        <v>187</v>
      </c>
      <c r="C33" s="6">
        <v>27.97</v>
      </c>
      <c r="D33" s="6"/>
      <c r="E33" s="15">
        <v>-0.71</v>
      </c>
      <c r="F33" s="6"/>
      <c r="G33" s="6"/>
      <c r="H33" s="11" t="s">
        <v>95</v>
      </c>
      <c r="I33" s="6">
        <v>28.031111055555552</v>
      </c>
      <c r="J33" s="11">
        <v>-2.1801153523467454E-3</v>
      </c>
      <c r="K33" s="6">
        <v>28.010526315789477</v>
      </c>
      <c r="L33" s="11">
        <v>-1.4468245020670123E-3</v>
      </c>
      <c r="M33" s="6">
        <v>27.150169508474573</v>
      </c>
      <c r="N33" s="11">
        <v>3.0196146336011864E-2</v>
      </c>
      <c r="O33" s="6">
        <v>28.290001</v>
      </c>
      <c r="P33" s="11">
        <v>-1.1311452410341039E-2</v>
      </c>
      <c r="Q33" s="6">
        <v>22.25</v>
      </c>
      <c r="R33" s="11">
        <v>0.25707865168539312</v>
      </c>
    </row>
    <row r="34" spans="1:18">
      <c r="A34" s="1" t="s">
        <v>129</v>
      </c>
      <c r="B34" s="1" t="s">
        <v>188</v>
      </c>
      <c r="C34" s="5">
        <v>10.11</v>
      </c>
      <c r="D34" s="5"/>
      <c r="E34" s="14">
        <v>-0.39</v>
      </c>
      <c r="F34" s="5"/>
      <c r="G34" s="5"/>
      <c r="H34" s="10" t="s">
        <v>95</v>
      </c>
      <c r="I34" s="5">
        <v>10.258333333333335</v>
      </c>
      <c r="J34" s="10">
        <v>-1.4459788789602079E-2</v>
      </c>
      <c r="K34" s="5">
        <v>10.219210526315786</v>
      </c>
      <c r="L34" s="10">
        <v>-1.0686787011046972E-2</v>
      </c>
      <c r="M34" s="5">
        <v>9.7205932203389853</v>
      </c>
      <c r="N34" s="10">
        <v>4.0059980994394007E-2</v>
      </c>
      <c r="O34" s="5">
        <v>10.39</v>
      </c>
      <c r="P34" s="10">
        <v>-2.694898941289714E-2</v>
      </c>
      <c r="Q34" s="5">
        <v>8.39</v>
      </c>
      <c r="R34" s="10">
        <v>0.20500595947556599</v>
      </c>
    </row>
    <row r="35" spans="1:18">
      <c r="A35" s="2" t="s">
        <v>130</v>
      </c>
      <c r="B35" s="2" t="s">
        <v>189</v>
      </c>
      <c r="C35" s="6">
        <v>21.92</v>
      </c>
      <c r="D35" s="6"/>
      <c r="E35" s="15">
        <v>-0.41</v>
      </c>
      <c r="F35" s="6"/>
      <c r="G35" s="6"/>
      <c r="H35" s="11" t="s">
        <v>95</v>
      </c>
      <c r="I35" s="6">
        <v>22.248889111111112</v>
      </c>
      <c r="J35" s="11">
        <v>-1.4782271126825064E-2</v>
      </c>
      <c r="K35" s="6">
        <v>22.177105236842102</v>
      </c>
      <c r="L35" s="11">
        <v>-1.159327306681035E-2</v>
      </c>
      <c r="M35" s="6">
        <v>21.2394067881356</v>
      </c>
      <c r="N35" s="11">
        <v>3.2043889862525932E-2</v>
      </c>
      <c r="O35" s="6">
        <v>22.52</v>
      </c>
      <c r="P35" s="11">
        <v>-2.6642984014209503E-2</v>
      </c>
      <c r="Q35" s="6">
        <v>18.649999999999999</v>
      </c>
      <c r="R35" s="11">
        <v>0.17533512064343171</v>
      </c>
    </row>
    <row r="36" spans="1:18">
      <c r="A36" s="1" t="s">
        <v>131</v>
      </c>
      <c r="B36" s="1" t="s">
        <v>190</v>
      </c>
      <c r="C36" s="5">
        <v>11.18</v>
      </c>
      <c r="D36" s="5"/>
      <c r="E36" s="14">
        <v>-0.45</v>
      </c>
      <c r="F36" s="5"/>
      <c r="G36" s="5"/>
      <c r="H36" s="10" t="s">
        <v>95</v>
      </c>
      <c r="I36" s="5">
        <v>11.299999999999997</v>
      </c>
      <c r="J36" s="10">
        <v>-1.0619469026548423E-2</v>
      </c>
      <c r="K36" s="5">
        <v>11.262631578947371</v>
      </c>
      <c r="L36" s="10">
        <v>-7.3367914388524635E-3</v>
      </c>
      <c r="M36" s="5">
        <v>10.805338983050843</v>
      </c>
      <c r="N36" s="10">
        <v>3.4673693952299578E-2</v>
      </c>
      <c r="O36" s="5">
        <v>11.41</v>
      </c>
      <c r="P36" s="10">
        <v>-2.0157756354075462E-2</v>
      </c>
      <c r="Q36" s="5">
        <v>9.31</v>
      </c>
      <c r="R36" s="10">
        <v>0.20085929108485501</v>
      </c>
    </row>
    <row r="37" spans="1:18">
      <c r="A37" s="2" t="s">
        <v>132</v>
      </c>
      <c r="B37" s="2" t="s">
        <v>191</v>
      </c>
      <c r="C37" s="6">
        <v>40.35</v>
      </c>
      <c r="D37" s="6"/>
      <c r="E37" s="15">
        <v>-0.2</v>
      </c>
      <c r="F37" s="6"/>
      <c r="G37" s="6"/>
      <c r="H37" s="11" t="s">
        <v>95</v>
      </c>
      <c r="I37" s="6">
        <v>40.546111444444449</v>
      </c>
      <c r="J37" s="11">
        <v>-4.8367509844478018E-3</v>
      </c>
      <c r="K37" s="6">
        <v>40.399737289473684</v>
      </c>
      <c r="L37" s="11">
        <v>-1.2311290322831736E-3</v>
      </c>
      <c r="M37" s="6">
        <v>38.428559635593231</v>
      </c>
      <c r="N37" s="11">
        <v>5.0000322224596161E-2</v>
      </c>
      <c r="O37" s="6">
        <v>41.049999</v>
      </c>
      <c r="P37" s="11">
        <v>-1.7052351207121785E-2</v>
      </c>
      <c r="Q37" s="6">
        <v>34.349997999999999</v>
      </c>
      <c r="R37" s="11">
        <v>0.17467255747729604</v>
      </c>
    </row>
    <row r="38" spans="1:18">
      <c r="A38" s="1" t="s">
        <v>133</v>
      </c>
      <c r="B38" s="1" t="s">
        <v>192</v>
      </c>
      <c r="C38" s="5">
        <v>12.15</v>
      </c>
      <c r="D38" s="5"/>
      <c r="E38" s="14">
        <v>-0.56999999999999995</v>
      </c>
      <c r="F38" s="5"/>
      <c r="G38" s="5"/>
      <c r="H38" s="10" t="s">
        <v>95</v>
      </c>
      <c r="I38" s="5">
        <v>12.47055555555556</v>
      </c>
      <c r="J38" s="10">
        <v>-2.5704993985833591E-2</v>
      </c>
      <c r="K38" s="5">
        <v>12.383684210526315</v>
      </c>
      <c r="L38" s="10">
        <v>-1.8870330230778998E-2</v>
      </c>
      <c r="M38" s="5">
        <v>11.694406779661012</v>
      </c>
      <c r="N38" s="10">
        <v>3.8958215574590671E-2</v>
      </c>
      <c r="O38" s="5">
        <v>12.62</v>
      </c>
      <c r="P38" s="10">
        <v>-3.7242472266243998E-2</v>
      </c>
      <c r="Q38" s="5">
        <v>10.38</v>
      </c>
      <c r="R38" s="10">
        <v>0.17052023121387272</v>
      </c>
    </row>
    <row r="39" spans="1:18">
      <c r="A39" s="2" t="s">
        <v>134</v>
      </c>
      <c r="B39" s="2" t="s">
        <v>193</v>
      </c>
      <c r="C39" s="6">
        <v>14.47</v>
      </c>
      <c r="D39" s="6"/>
      <c r="E39" s="15">
        <v>-0.34</v>
      </c>
      <c r="F39" s="6"/>
      <c r="G39" s="6"/>
      <c r="H39" s="11" t="s">
        <v>95</v>
      </c>
      <c r="I39" s="6">
        <v>14.703888888888887</v>
      </c>
      <c r="J39" s="11">
        <v>-1.5906600672535465E-2</v>
      </c>
      <c r="K39" s="6">
        <v>14.599473684210528</v>
      </c>
      <c r="L39" s="11">
        <v>-8.8683802588414018E-3</v>
      </c>
      <c r="M39" s="6">
        <v>13.740084745762706</v>
      </c>
      <c r="N39" s="11">
        <v>5.3123053295751399E-2</v>
      </c>
      <c r="O39" s="6">
        <v>14.85</v>
      </c>
      <c r="P39" s="11">
        <v>-2.5589225589225495E-2</v>
      </c>
      <c r="Q39" s="6">
        <v>12.13</v>
      </c>
      <c r="R39" s="11">
        <v>0.19291014014839236</v>
      </c>
    </row>
    <row r="40" spans="1:18">
      <c r="A40" s="1" t="s">
        <v>135</v>
      </c>
      <c r="B40" s="1" t="s">
        <v>194</v>
      </c>
      <c r="C40" s="5">
        <v>19.829999999999998</v>
      </c>
      <c r="D40" s="5"/>
      <c r="E40" s="14">
        <v>-0.35</v>
      </c>
      <c r="F40" s="5"/>
      <c r="G40" s="5"/>
      <c r="H40" s="10" t="s">
        <v>95</v>
      </c>
      <c r="I40" s="5">
        <v>20.006666944444447</v>
      </c>
      <c r="J40" s="10">
        <v>-8.8304036317007339E-3</v>
      </c>
      <c r="K40" s="5">
        <v>19.913421236842105</v>
      </c>
      <c r="L40" s="10">
        <v>-4.1891966151836879E-3</v>
      </c>
      <c r="M40" s="5">
        <v>18.962966220338981</v>
      </c>
      <c r="N40" s="10">
        <v>4.5722476620301489E-2</v>
      </c>
      <c r="O40" s="5">
        <v>20.209999</v>
      </c>
      <c r="P40" s="10">
        <v>-1.8802524433573775E-2</v>
      </c>
      <c r="Q40" s="5">
        <v>16.75</v>
      </c>
      <c r="R40" s="10">
        <v>0.18388059701492532</v>
      </c>
    </row>
    <row r="41" spans="1:18">
      <c r="A41" s="2" t="s">
        <v>136</v>
      </c>
      <c r="B41" s="2" t="s">
        <v>195</v>
      </c>
      <c r="C41" s="6">
        <v>21.65</v>
      </c>
      <c r="D41" s="6"/>
      <c r="E41" s="15">
        <v>-0.23</v>
      </c>
      <c r="F41" s="6"/>
      <c r="G41" s="6"/>
      <c r="H41" s="11" t="s">
        <v>95</v>
      </c>
      <c r="I41" s="6">
        <v>21.607777555555558</v>
      </c>
      <c r="J41" s="11">
        <v>1.9540392035175547E-3</v>
      </c>
      <c r="K41" s="6">
        <v>21.512105184210526</v>
      </c>
      <c r="L41" s="11">
        <v>6.4101032701664451E-3</v>
      </c>
      <c r="M41" s="6">
        <v>20.699576322033895</v>
      </c>
      <c r="N41" s="11">
        <v>4.591512711081025E-2</v>
      </c>
      <c r="O41" s="6">
        <v>21.809998999999998</v>
      </c>
      <c r="P41" s="11">
        <v>-7.3360388508041385E-3</v>
      </c>
      <c r="Q41" s="6">
        <v>17.620001000000002</v>
      </c>
      <c r="R41" s="11">
        <v>0.22871729689459142</v>
      </c>
    </row>
    <row r="42" spans="1:18">
      <c r="A42" s="1" t="s">
        <v>137</v>
      </c>
      <c r="B42" s="1" t="s">
        <v>196</v>
      </c>
      <c r="C42" s="5">
        <v>13.11</v>
      </c>
      <c r="D42" s="5"/>
      <c r="E42" s="14">
        <v>-0.38</v>
      </c>
      <c r="F42" s="5"/>
      <c r="G42" s="5"/>
      <c r="H42" s="10" t="s">
        <v>95</v>
      </c>
      <c r="I42" s="5">
        <v>13.266111111111112</v>
      </c>
      <c r="J42" s="10">
        <v>-1.1767661962393872E-2</v>
      </c>
      <c r="K42" s="5">
        <v>13.223684210526313</v>
      </c>
      <c r="L42" s="10">
        <v>-8.5970149253730144E-3</v>
      </c>
      <c r="M42" s="5">
        <v>12.667542372881355</v>
      </c>
      <c r="N42" s="10">
        <v>3.4928450530850919E-2</v>
      </c>
      <c r="O42" s="5">
        <v>13.42</v>
      </c>
      <c r="P42" s="10">
        <v>-2.3099850968703484E-2</v>
      </c>
      <c r="Q42" s="5">
        <v>10.91</v>
      </c>
      <c r="R42" s="10">
        <v>0.20164986251145733</v>
      </c>
    </row>
    <row r="43" spans="1:18">
      <c r="A43" s="2" t="s">
        <v>138</v>
      </c>
      <c r="B43" s="2" t="s">
        <v>197</v>
      </c>
      <c r="C43" s="6">
        <v>18.260000000000002</v>
      </c>
      <c r="D43" s="6"/>
      <c r="E43" s="15">
        <v>-0.16</v>
      </c>
      <c r="F43" s="6"/>
      <c r="G43" s="6"/>
      <c r="H43" s="11" t="s">
        <v>95</v>
      </c>
      <c r="I43" s="6">
        <v>18.297777833333335</v>
      </c>
      <c r="J43" s="11">
        <v>-2.0646131829469283E-3</v>
      </c>
      <c r="K43" s="6">
        <v>18.317105394736842</v>
      </c>
      <c r="L43" s="11">
        <v>-3.117599287999373E-3</v>
      </c>
      <c r="M43" s="6">
        <v>17.843305135593226</v>
      </c>
      <c r="N43" s="11">
        <v>2.335300894314507E-2</v>
      </c>
      <c r="O43" s="6">
        <v>18.549999</v>
      </c>
      <c r="P43" s="11">
        <v>-1.5633370115006429E-2</v>
      </c>
      <c r="Q43" s="6">
        <v>14.77</v>
      </c>
      <c r="R43" s="11">
        <v>0.23628977657413697</v>
      </c>
    </row>
    <row r="44" spans="1:18">
      <c r="A44" s="1" t="s">
        <v>139</v>
      </c>
      <c r="B44" s="1" t="s">
        <v>198</v>
      </c>
      <c r="C44" s="5">
        <v>15.46</v>
      </c>
      <c r="D44" s="5"/>
      <c r="E44" s="14">
        <v>-0.19</v>
      </c>
      <c r="F44" s="5"/>
      <c r="G44" s="5"/>
      <c r="H44" s="10" t="s">
        <v>95</v>
      </c>
      <c r="I44" s="5">
        <v>15.506111111111109</v>
      </c>
      <c r="J44" s="10">
        <v>-2.9737379527782215E-3</v>
      </c>
      <c r="K44" s="5">
        <v>15.523157894736848</v>
      </c>
      <c r="L44" s="10">
        <v>-4.0686241269414225E-3</v>
      </c>
      <c r="M44" s="5">
        <v>15.12177966101695</v>
      </c>
      <c r="N44" s="10">
        <v>2.2366437454115484E-2</v>
      </c>
      <c r="O44" s="5">
        <v>15.72</v>
      </c>
      <c r="P44" s="10">
        <v>-1.653944020356235E-2</v>
      </c>
      <c r="Q44" s="5">
        <v>12.52</v>
      </c>
      <c r="R44" s="10">
        <v>0.23482428115015996</v>
      </c>
    </row>
    <row r="45" spans="1:18">
      <c r="A45" s="2" t="s">
        <v>140</v>
      </c>
      <c r="B45" s="2" t="s">
        <v>199</v>
      </c>
      <c r="C45" s="6">
        <v>4.9400000000000004</v>
      </c>
      <c r="D45" s="6"/>
      <c r="E45" s="15">
        <v>-0.2</v>
      </c>
      <c r="F45" s="6"/>
      <c r="G45" s="6">
        <v>4.75</v>
      </c>
      <c r="H45" s="11">
        <v>4.0000000000000036E-2</v>
      </c>
      <c r="I45" s="6">
        <v>5.0888888888888886</v>
      </c>
      <c r="J45" s="11">
        <v>-2.9257641921397237E-2</v>
      </c>
      <c r="K45" s="6">
        <v>5.0686842105263166</v>
      </c>
      <c r="L45" s="11">
        <v>-2.5388089922641632E-2</v>
      </c>
      <c r="M45" s="6">
        <v>4.9248305084745745</v>
      </c>
      <c r="N45" s="11">
        <v>3.0802058059302695E-3</v>
      </c>
      <c r="O45" s="6">
        <v>5.75</v>
      </c>
      <c r="P45" s="11">
        <v>-0.14086956521739125</v>
      </c>
      <c r="Q45" s="6">
        <v>4.54</v>
      </c>
      <c r="R45" s="11">
        <v>8.8105726872246715E-2</v>
      </c>
    </row>
    <row r="46" spans="1:18">
      <c r="A46" s="1" t="s">
        <v>141</v>
      </c>
      <c r="B46" s="1" t="s">
        <v>200</v>
      </c>
      <c r="C46" s="5">
        <v>20.96</v>
      </c>
      <c r="D46" s="5"/>
      <c r="E46" s="14">
        <v>-0.85</v>
      </c>
      <c r="F46" s="5"/>
      <c r="G46" s="5"/>
      <c r="H46" s="10" t="s">
        <v>95</v>
      </c>
      <c r="I46" s="5">
        <v>21.184999722222223</v>
      </c>
      <c r="J46" s="10">
        <v>-1.0620709236366266E-2</v>
      </c>
      <c r="K46" s="5">
        <v>21.059473447368418</v>
      </c>
      <c r="L46" s="10">
        <v>-4.7234536806924909E-3</v>
      </c>
      <c r="M46" s="5">
        <v>20.6007626440678</v>
      </c>
      <c r="N46" s="10">
        <v>1.7438061014486195E-2</v>
      </c>
      <c r="O46" s="5">
        <v>21.32</v>
      </c>
      <c r="P46" s="10">
        <v>-1.6885553470919246E-2</v>
      </c>
      <c r="Q46" s="5">
        <v>18.059998999999998</v>
      </c>
      <c r="R46" s="10">
        <v>0.16057592251250985</v>
      </c>
    </row>
    <row r="47" spans="1:18">
      <c r="A47" s="2" t="s">
        <v>142</v>
      </c>
      <c r="B47" s="2" t="s">
        <v>201</v>
      </c>
      <c r="C47" s="6">
        <v>14.87</v>
      </c>
      <c r="D47" s="6"/>
      <c r="E47" s="15">
        <v>-0.73</v>
      </c>
      <c r="F47" s="6"/>
      <c r="G47" s="6"/>
      <c r="H47" s="11" t="s">
        <v>95</v>
      </c>
      <c r="I47" s="6">
        <v>15.033333333333335</v>
      </c>
      <c r="J47" s="11">
        <v>-1.0864745011086585E-2</v>
      </c>
      <c r="K47" s="6">
        <v>14.953947368421053</v>
      </c>
      <c r="L47" s="11">
        <v>-5.6137263528377446E-3</v>
      </c>
      <c r="M47" s="6">
        <v>14.519830508474573</v>
      </c>
      <c r="N47" s="11">
        <v>2.4116637678452735E-2</v>
      </c>
      <c r="O47" s="6">
        <v>15.13</v>
      </c>
      <c r="P47" s="11">
        <v>-1.7184401850627973E-2</v>
      </c>
      <c r="Q47" s="6">
        <v>12.71</v>
      </c>
      <c r="R47" s="11">
        <v>0.16994492525570393</v>
      </c>
    </row>
    <row r="48" spans="1:18">
      <c r="A48" s="1" t="s">
        <v>143</v>
      </c>
      <c r="B48" s="1" t="s">
        <v>202</v>
      </c>
      <c r="C48" s="5">
        <v>17.04</v>
      </c>
      <c r="D48" s="5"/>
      <c r="E48" s="14">
        <v>-0.57999999999999996</v>
      </c>
      <c r="F48" s="5"/>
      <c r="G48" s="5"/>
      <c r="H48" s="10" t="s">
        <v>95</v>
      </c>
      <c r="I48" s="5">
        <v>17.196111111111108</v>
      </c>
      <c r="J48" s="10">
        <v>-9.0782799728619246E-3</v>
      </c>
      <c r="K48" s="5">
        <v>17.119210499999998</v>
      </c>
      <c r="L48" s="10">
        <v>-4.6269949189536863E-3</v>
      </c>
      <c r="M48" s="5">
        <v>16.849067754237289</v>
      </c>
      <c r="N48" s="10">
        <v>1.1331917501174127E-2</v>
      </c>
      <c r="O48" s="5">
        <v>17.260000000000002</v>
      </c>
      <c r="P48" s="10">
        <v>-1.274623406720754E-2</v>
      </c>
      <c r="Q48" s="5">
        <v>15.71</v>
      </c>
      <c r="R48" s="10">
        <v>8.4659452577975802E-2</v>
      </c>
    </row>
    <row r="49" spans="1:18">
      <c r="A49" s="2" t="s">
        <v>144</v>
      </c>
      <c r="B49" s="2" t="s">
        <v>203</v>
      </c>
      <c r="C49" s="6">
        <v>13.17</v>
      </c>
      <c r="D49" s="6"/>
      <c r="E49" s="15">
        <v>-0.3</v>
      </c>
      <c r="F49" s="6"/>
      <c r="G49" s="6"/>
      <c r="H49" s="11" t="s">
        <v>95</v>
      </c>
      <c r="I49" s="6">
        <v>13.275555555555558</v>
      </c>
      <c r="J49" s="11">
        <v>-7.9511215266154789E-3</v>
      </c>
      <c r="K49" s="6">
        <v>13.251052631578949</v>
      </c>
      <c r="L49" s="11">
        <v>-6.1166938078406341E-3</v>
      </c>
      <c r="M49" s="6">
        <v>13.146101694915256</v>
      </c>
      <c r="N49" s="11">
        <v>1.8179005182950014E-3</v>
      </c>
      <c r="O49" s="6">
        <v>13.3</v>
      </c>
      <c r="P49" s="11">
        <v>-9.7744360902256577E-3</v>
      </c>
      <c r="Q49" s="6">
        <v>12.86</v>
      </c>
      <c r="R49" s="11">
        <v>2.4105754276827485E-2</v>
      </c>
    </row>
    <row r="50" spans="1:18">
      <c r="A50" s="1" t="s">
        <v>145</v>
      </c>
      <c r="B50" s="1" t="s">
        <v>204</v>
      </c>
      <c r="C50" s="5">
        <v>10.35</v>
      </c>
      <c r="D50" s="5"/>
      <c r="E50" s="14">
        <v>-0.28999999999999998</v>
      </c>
      <c r="F50" s="5"/>
      <c r="G50" s="5"/>
      <c r="H50" s="10" t="s">
        <v>95</v>
      </c>
      <c r="I50" s="5">
        <v>10.457777777777778</v>
      </c>
      <c r="J50" s="10">
        <v>-1.0305992350191362E-2</v>
      </c>
      <c r="K50" s="5">
        <v>10.446315789473681</v>
      </c>
      <c r="L50" s="10">
        <v>-9.2200725513903459E-3</v>
      </c>
      <c r="M50" s="5">
        <v>10.370677966101699</v>
      </c>
      <c r="N50" s="10">
        <v>-1.9938875905016751E-3</v>
      </c>
      <c r="O50" s="5">
        <v>10.51</v>
      </c>
      <c r="P50" s="10">
        <v>-1.5223596574690745E-2</v>
      </c>
      <c r="Q50" s="5">
        <v>10.08</v>
      </c>
      <c r="R50" s="10">
        <v>2.6785714285714191E-2</v>
      </c>
    </row>
    <row r="51" spans="1:18">
      <c r="A51" s="2" t="s">
        <v>146</v>
      </c>
      <c r="B51" s="2" t="s">
        <v>205</v>
      </c>
      <c r="C51" s="6">
        <v>10.52</v>
      </c>
      <c r="D51" s="6"/>
      <c r="E51" s="15">
        <v>-0.47</v>
      </c>
      <c r="F51" s="6"/>
      <c r="G51" s="6"/>
      <c r="H51" s="11" t="s">
        <v>95</v>
      </c>
      <c r="I51" s="6">
        <v>10.694444444444445</v>
      </c>
      <c r="J51" s="11">
        <v>-1.6311688311688388E-2</v>
      </c>
      <c r="K51" s="6">
        <v>10.675000000000004</v>
      </c>
      <c r="L51" s="11">
        <v>-1.451990632318545E-2</v>
      </c>
      <c r="M51" s="6">
        <v>10.578135593220344</v>
      </c>
      <c r="N51" s="11">
        <v>-5.4958260563046091E-3</v>
      </c>
      <c r="O51" s="6">
        <v>10.79</v>
      </c>
      <c r="P51" s="11">
        <v>-2.5023169601482764E-2</v>
      </c>
      <c r="Q51" s="6">
        <v>10.119999999999999</v>
      </c>
      <c r="R51" s="11">
        <v>3.9525691699604737E-2</v>
      </c>
    </row>
    <row r="52" spans="1:18">
      <c r="A52" s="1" t="s">
        <v>147</v>
      </c>
      <c r="B52" s="1" t="s">
        <v>206</v>
      </c>
      <c r="C52" s="5">
        <v>10.65</v>
      </c>
      <c r="D52" s="5"/>
      <c r="E52" s="14">
        <v>-0.65</v>
      </c>
      <c r="F52" s="5"/>
      <c r="G52" s="5"/>
      <c r="H52" s="10" t="s">
        <v>95</v>
      </c>
      <c r="I52" s="5">
        <v>10.837777777777777</v>
      </c>
      <c r="J52" s="10">
        <v>-1.732622513840465E-2</v>
      </c>
      <c r="K52" s="5">
        <v>10.807105263157894</v>
      </c>
      <c r="L52" s="10">
        <v>-1.453721966542465E-2</v>
      </c>
      <c r="M52" s="5">
        <v>10.687966101694915</v>
      </c>
      <c r="N52" s="10">
        <v>-3.5522288650311484E-3</v>
      </c>
      <c r="O52" s="5">
        <v>10.93</v>
      </c>
      <c r="P52" s="10">
        <v>-2.5617566331198494E-2</v>
      </c>
      <c r="Q52" s="5">
        <v>10.17</v>
      </c>
      <c r="R52" s="10">
        <v>4.71976401179941E-2</v>
      </c>
    </row>
    <row r="53" spans="1:18">
      <c r="A53" s="2" t="s">
        <v>148</v>
      </c>
      <c r="B53" s="2" t="s">
        <v>207</v>
      </c>
      <c r="C53" s="6">
        <v>10.82</v>
      </c>
      <c r="D53" s="6"/>
      <c r="E53" s="15">
        <v>-0.73</v>
      </c>
      <c r="F53" s="6"/>
      <c r="G53" s="6"/>
      <c r="H53" s="11" t="s">
        <v>95</v>
      </c>
      <c r="I53" s="6">
        <v>11.003333333333334</v>
      </c>
      <c r="J53" s="11">
        <v>-1.6661617691608677E-2</v>
      </c>
      <c r="K53" s="6">
        <v>10.959473684210524</v>
      </c>
      <c r="L53" s="11">
        <v>-1.2726312250876171E-2</v>
      </c>
      <c r="M53" s="6">
        <v>10.80067796610169</v>
      </c>
      <c r="N53" s="11">
        <v>1.7889649111799688E-3</v>
      </c>
      <c r="O53" s="6">
        <v>11.1</v>
      </c>
      <c r="P53" s="11">
        <v>-2.522522522522519E-2</v>
      </c>
      <c r="Q53" s="6">
        <v>10.220000000000001</v>
      </c>
      <c r="R53" s="11">
        <v>5.870841487279832E-2</v>
      </c>
    </row>
    <row r="54" spans="1:18">
      <c r="A54" s="1" t="s">
        <v>149</v>
      </c>
      <c r="B54" s="1" t="s">
        <v>208</v>
      </c>
      <c r="C54" s="5">
        <v>10.94</v>
      </c>
      <c r="D54" s="5"/>
      <c r="E54" s="14">
        <v>-0.73</v>
      </c>
      <c r="F54" s="5"/>
      <c r="G54" s="5"/>
      <c r="H54" s="10" t="s">
        <v>95</v>
      </c>
      <c r="I54" s="5">
        <v>11.109444444444442</v>
      </c>
      <c r="J54" s="10">
        <v>-1.5252287843176338E-2</v>
      </c>
      <c r="K54" s="5">
        <v>11.058947368421054</v>
      </c>
      <c r="L54" s="10">
        <v>-1.0755758614125366E-2</v>
      </c>
      <c r="M54" s="5">
        <v>10.860423728813558</v>
      </c>
      <c r="N54" s="10">
        <v>7.327179231075398E-3</v>
      </c>
      <c r="O54" s="5">
        <v>11.19</v>
      </c>
      <c r="P54" s="10">
        <v>-2.2341376228775744E-2</v>
      </c>
      <c r="Q54" s="5">
        <v>10.24</v>
      </c>
      <c r="R54" s="10">
        <v>6.8359375E-2</v>
      </c>
    </row>
    <row r="55" spans="1:18">
      <c r="A55" s="2" t="s">
        <v>150</v>
      </c>
      <c r="B55" s="2" t="s">
        <v>209</v>
      </c>
      <c r="C55" s="6">
        <v>11.01</v>
      </c>
      <c r="D55" s="6"/>
      <c r="E55" s="15">
        <v>-0.63</v>
      </c>
      <c r="F55" s="6"/>
      <c r="G55" s="6"/>
      <c r="H55" s="11" t="s">
        <v>95</v>
      </c>
      <c r="I55" s="6">
        <v>11.141666666666666</v>
      </c>
      <c r="J55" s="11">
        <v>-1.181750186985786E-2</v>
      </c>
      <c r="K55" s="6">
        <v>11.092105263157896</v>
      </c>
      <c r="L55" s="11">
        <v>-7.4021352313168309E-3</v>
      </c>
      <c r="M55" s="6">
        <v>10.85610169491526</v>
      </c>
      <c r="N55" s="11">
        <v>1.4176203337964433E-2</v>
      </c>
      <c r="O55" s="6">
        <v>11.2</v>
      </c>
      <c r="P55" s="11">
        <v>-1.6964285714285654E-2</v>
      </c>
      <c r="Q55" s="6">
        <v>9.9700000000000006</v>
      </c>
      <c r="R55" s="11">
        <v>0.10431293881644921</v>
      </c>
    </row>
    <row r="56" spans="1:18">
      <c r="A56" s="1" t="s">
        <v>151</v>
      </c>
      <c r="B56" s="1" t="s">
        <v>210</v>
      </c>
      <c r="C56" s="5">
        <v>11.2</v>
      </c>
      <c r="D56" s="5"/>
      <c r="E56" s="14">
        <v>-0.62</v>
      </c>
      <c r="F56" s="5"/>
      <c r="G56" s="5"/>
      <c r="H56" s="10" t="s">
        <v>95</v>
      </c>
      <c r="I56" s="5">
        <v>11.322222222222221</v>
      </c>
      <c r="J56" s="10">
        <v>-1.0794896957801781E-2</v>
      </c>
      <c r="K56" s="5">
        <v>11.266578947368421</v>
      </c>
      <c r="L56" s="10">
        <v>-5.9094200359703919E-3</v>
      </c>
      <c r="M56" s="5">
        <v>10.989152542372874</v>
      </c>
      <c r="N56" s="10">
        <v>1.9186871491147395E-2</v>
      </c>
      <c r="O56" s="5">
        <v>11.39</v>
      </c>
      <c r="P56" s="10">
        <v>-1.6681299385425952E-2</v>
      </c>
      <c r="Q56" s="5">
        <v>9.8699999999999992</v>
      </c>
      <c r="R56" s="10">
        <v>0.13475177304964547</v>
      </c>
    </row>
    <row r="57" spans="1:18">
      <c r="A57" s="2" t="s">
        <v>152</v>
      </c>
      <c r="B57" s="2" t="s">
        <v>211</v>
      </c>
      <c r="C57" s="6">
        <v>11.31</v>
      </c>
      <c r="D57" s="6"/>
      <c r="E57" s="15">
        <v>-0.7</v>
      </c>
      <c r="F57" s="6"/>
      <c r="G57" s="6"/>
      <c r="H57" s="11" t="s">
        <v>95</v>
      </c>
      <c r="I57" s="6">
        <v>11.440555555555555</v>
      </c>
      <c r="J57" s="11">
        <v>-1.1411644733647308E-2</v>
      </c>
      <c r="K57" s="6">
        <v>11.379473684210529</v>
      </c>
      <c r="L57" s="11">
        <v>-6.1051755237965244E-3</v>
      </c>
      <c r="M57" s="6">
        <v>11.075000000000006</v>
      </c>
      <c r="N57" s="11">
        <v>2.1218961625281585E-2</v>
      </c>
      <c r="O57" s="6">
        <v>11.51</v>
      </c>
      <c r="P57" s="11">
        <v>-1.7376194613379581E-2</v>
      </c>
      <c r="Q57" s="6">
        <v>9.84</v>
      </c>
      <c r="R57" s="11">
        <v>0.14939024390243905</v>
      </c>
    </row>
    <row r="58" spans="1:18">
      <c r="A58" s="1" t="s">
        <v>153</v>
      </c>
      <c r="B58" s="1" t="s">
        <v>212</v>
      </c>
      <c r="C58" s="5">
        <v>11.26</v>
      </c>
      <c r="D58" s="5"/>
      <c r="E58" s="14">
        <v>-0.71</v>
      </c>
      <c r="F58" s="5"/>
      <c r="G58" s="5"/>
      <c r="H58" s="10" t="s">
        <v>95</v>
      </c>
      <c r="I58" s="5">
        <v>11.392222222222225</v>
      </c>
      <c r="J58" s="10">
        <v>-1.1606359114405773E-2</v>
      </c>
      <c r="K58" s="5">
        <v>11.330789473684209</v>
      </c>
      <c r="L58" s="10">
        <v>-6.2475323408504035E-3</v>
      </c>
      <c r="M58" s="5">
        <v>11.027288135593226</v>
      </c>
      <c r="N58" s="10">
        <v>2.1103272313674371E-2</v>
      </c>
      <c r="O58" s="5">
        <v>11.46</v>
      </c>
      <c r="P58" s="10">
        <v>-1.7452006980802848E-2</v>
      </c>
      <c r="Q58" s="5">
        <v>9.8000000000000007</v>
      </c>
      <c r="R58" s="10">
        <v>0.14897959183673448</v>
      </c>
    </row>
    <row r="59" spans="1:18">
      <c r="A59" s="2" t="s">
        <v>154</v>
      </c>
      <c r="B59" s="2" t="s">
        <v>213</v>
      </c>
      <c r="C59" s="6">
        <v>11.25</v>
      </c>
      <c r="D59" s="6"/>
      <c r="E59" s="15">
        <v>-0.71</v>
      </c>
      <c r="F59" s="6"/>
      <c r="G59" s="6"/>
      <c r="H59" s="11" t="s">
        <v>95</v>
      </c>
      <c r="I59" s="6">
        <v>11.380555555555555</v>
      </c>
      <c r="J59" s="11">
        <v>-1.1471808640468595E-2</v>
      </c>
      <c r="K59" s="6">
        <v>11.319736842105264</v>
      </c>
      <c r="L59" s="11">
        <v>-6.1606416366385419E-3</v>
      </c>
      <c r="M59" s="6">
        <v>11.017711864406783</v>
      </c>
      <c r="N59" s="11">
        <v>2.1083155781522533E-2</v>
      </c>
      <c r="O59" s="6">
        <v>11.45</v>
      </c>
      <c r="P59" s="11">
        <v>-1.7467248908296873E-2</v>
      </c>
      <c r="Q59" s="6">
        <v>9.8000000000000007</v>
      </c>
      <c r="R59" s="11">
        <v>0.14795918367346927</v>
      </c>
    </row>
    <row r="60" spans="1:18">
      <c r="A60" s="1" t="s">
        <v>155</v>
      </c>
      <c r="B60" s="1" t="s">
        <v>214</v>
      </c>
      <c r="C60" s="5">
        <v>11.27</v>
      </c>
      <c r="D60" s="5"/>
      <c r="E60" s="14">
        <v>-0.7</v>
      </c>
      <c r="F60" s="5"/>
      <c r="G60" s="5"/>
      <c r="H60" s="10" t="s">
        <v>95</v>
      </c>
      <c r="I60" s="5">
        <v>11.398888888888889</v>
      </c>
      <c r="J60" s="10">
        <v>-1.1307144945901237E-2</v>
      </c>
      <c r="K60" s="5">
        <v>11.337368421052631</v>
      </c>
      <c r="L60" s="10">
        <v>-5.9421568172322026E-3</v>
      </c>
      <c r="M60" s="5">
        <v>11.03415254237289</v>
      </c>
      <c r="N60" s="10">
        <v>2.1374315491961671E-2</v>
      </c>
      <c r="O60" s="5">
        <v>11.47</v>
      </c>
      <c r="P60" s="10">
        <v>-1.7436791630340065E-2</v>
      </c>
      <c r="Q60" s="5">
        <v>9.81</v>
      </c>
      <c r="R60" s="10">
        <v>0.14882772680937806</v>
      </c>
    </row>
  </sheetData>
  <phoneticPr fontId="5" type="noConversion"/>
  <conditionalFormatting sqref="J2:J60 L2:L60 N2:N60">
    <cfRule type="cellIs" dxfId="29" priority="7" operator="lessThan">
      <formula>-0.02</formula>
    </cfRule>
  </conditionalFormatting>
  <conditionalFormatting sqref="P2:P60">
    <cfRule type="cellIs" dxfId="28" priority="5" operator="between">
      <formula>-0.05</formula>
      <formula>0.05</formula>
    </cfRule>
  </conditionalFormatting>
  <conditionalFormatting sqref="H2:H60">
    <cfRule type="cellIs" dxfId="27" priority="3" operator="between">
      <formula>0</formula>
      <formula>0.05</formula>
    </cfRule>
    <cfRule type="cellIs" dxfId="26" priority="4" operator="between">
      <formula>-0.05</formula>
      <formula>0</formula>
    </cfRule>
  </conditionalFormatting>
  <conditionalFormatting sqref="R2:R60">
    <cfRule type="cellIs" dxfId="2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B24" sqref="B24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0">
      <c r="A2" s="1" t="s">
        <v>429</v>
      </c>
      <c r="B2" s="1" t="s">
        <v>430</v>
      </c>
      <c r="C2" s="5">
        <v>241.83</v>
      </c>
      <c r="D2" s="5">
        <v>-6.3949999999977081E-3</v>
      </c>
      <c r="E2" s="14">
        <v>-0.16</v>
      </c>
      <c r="F2" s="5">
        <v>241.83639500000001</v>
      </c>
      <c r="G2" s="5"/>
      <c r="H2" s="10" t="s">
        <v>95</v>
      </c>
      <c r="I2" s="5">
        <v>243.03402226315791</v>
      </c>
      <c r="J2" s="10">
        <v>-4.954130503811438E-3</v>
      </c>
      <c r="K2" s="5">
        <v>241.90174907894738</v>
      </c>
      <c r="L2" s="10">
        <v>-2.9660421729293951E-4</v>
      </c>
      <c r="M2" s="5">
        <v>236.85658004237294</v>
      </c>
      <c r="N2" s="10">
        <v>2.0997600981730535E-2</v>
      </c>
      <c r="O2" s="5">
        <v>244.66000400000001</v>
      </c>
      <c r="P2" s="10">
        <v>-1.156708883238633E-2</v>
      </c>
      <c r="Q2" s="5">
        <v>208.550003</v>
      </c>
      <c r="R2" s="10">
        <v>0.15957802215903105</v>
      </c>
    </row>
    <row r="3" spans="1:20">
      <c r="A3" s="2" t="s">
        <v>244</v>
      </c>
      <c r="B3" s="2" t="s">
        <v>272</v>
      </c>
      <c r="C3" s="6">
        <v>68</v>
      </c>
      <c r="D3" s="6"/>
      <c r="E3" s="15">
        <v>0.24</v>
      </c>
      <c r="F3" s="6"/>
      <c r="G3" s="6"/>
      <c r="H3" s="11" t="s">
        <v>95</v>
      </c>
      <c r="I3" s="6">
        <v>68.122352647058818</v>
      </c>
      <c r="J3" s="11">
        <v>-1.7960719544247716E-3</v>
      </c>
      <c r="K3" s="6">
        <v>67.656666277777788</v>
      </c>
      <c r="L3" s="11">
        <v>5.0746473497909061E-3</v>
      </c>
      <c r="M3" s="6">
        <v>66.067758301724126</v>
      </c>
      <c r="N3" s="11">
        <v>2.9246363853478119E-2</v>
      </c>
      <c r="O3" s="6">
        <v>68.660004000000001</v>
      </c>
      <c r="P3" s="11">
        <v>-9.6126414440640406E-3</v>
      </c>
      <c r="Q3" s="6">
        <v>62.119999</v>
      </c>
      <c r="R3" s="11">
        <v>9.4655523094905325E-2</v>
      </c>
      <c r="T3" t="s">
        <v>440</v>
      </c>
    </row>
    <row r="4" spans="1:20">
      <c r="A4" s="1" t="s">
        <v>431</v>
      </c>
      <c r="B4" s="1" t="s">
        <v>432</v>
      </c>
      <c r="C4" s="5">
        <v>317.88</v>
      </c>
      <c r="D4" s="5">
        <v>-1.0015000000009877E-2</v>
      </c>
      <c r="E4" s="14">
        <v>-0.67</v>
      </c>
      <c r="F4" s="5">
        <v>317.89001500000001</v>
      </c>
      <c r="G4" s="5"/>
      <c r="H4" s="10" t="s">
        <v>95</v>
      </c>
      <c r="I4" s="5">
        <v>318.69210826315793</v>
      </c>
      <c r="J4" s="10">
        <v>-2.5482534461988005E-3</v>
      </c>
      <c r="K4" s="5">
        <v>316.43473736842105</v>
      </c>
      <c r="L4" s="10">
        <v>4.5673324098303159E-3</v>
      </c>
      <c r="M4" s="5">
        <v>313.2272876864406</v>
      </c>
      <c r="N4" s="10">
        <v>1.4854109129269322E-2</v>
      </c>
      <c r="O4" s="5">
        <v>322.45001200000002</v>
      </c>
      <c r="P4" s="10">
        <v>-1.4172776647314977E-2</v>
      </c>
      <c r="Q4" s="5">
        <v>268.63000499999998</v>
      </c>
      <c r="R4" s="10">
        <v>0.18333765433239679</v>
      </c>
      <c r="T4" t="s">
        <v>444</v>
      </c>
    </row>
    <row r="5" spans="1:20">
      <c r="A5" s="2" t="s">
        <v>245</v>
      </c>
      <c r="B5" s="2" t="s">
        <v>273</v>
      </c>
      <c r="C5" s="6">
        <v>16.23</v>
      </c>
      <c r="D5" s="6"/>
      <c r="E5" s="15">
        <v>0.62</v>
      </c>
      <c r="F5" s="6"/>
      <c r="G5" s="6"/>
      <c r="H5" s="11" t="s">
        <v>95</v>
      </c>
      <c r="I5" s="6">
        <v>16.23588241176471</v>
      </c>
      <c r="J5" s="11">
        <v>-3.6230933530578824E-4</v>
      </c>
      <c r="K5" s="6">
        <v>16.144444500000006</v>
      </c>
      <c r="L5" s="11">
        <v>5.2993771324862937E-3</v>
      </c>
      <c r="M5" s="6">
        <v>15.990431034482761</v>
      </c>
      <c r="N5" s="11">
        <v>1.4982020497172233E-2</v>
      </c>
      <c r="O5" s="6">
        <v>16.48</v>
      </c>
      <c r="P5" s="11">
        <v>-1.5169902912621325E-2</v>
      </c>
      <c r="Q5" s="6">
        <v>14.56</v>
      </c>
      <c r="R5" s="11">
        <v>0.11469780219780223</v>
      </c>
    </row>
    <row r="6" spans="1:20">
      <c r="A6" s="1" t="s">
        <v>433</v>
      </c>
      <c r="B6" s="1" t="s">
        <v>434</v>
      </c>
      <c r="C6" s="5">
        <v>124.47</v>
      </c>
      <c r="D6" s="5">
        <v>1.3499970000000019</v>
      </c>
      <c r="E6" s="14">
        <v>0.18</v>
      </c>
      <c r="F6" s="5">
        <v>123.120003</v>
      </c>
      <c r="G6" s="5"/>
      <c r="H6" s="10" t="s">
        <v>95</v>
      </c>
      <c r="I6" s="5">
        <v>123.22999944444445</v>
      </c>
      <c r="J6" s="10">
        <v>1.0062489338195535E-2</v>
      </c>
      <c r="K6" s="5">
        <v>122.03351321621621</v>
      </c>
      <c r="L6" s="10">
        <v>1.9965718592948045E-2</v>
      </c>
      <c r="M6" s="5">
        <v>121.35051280341885</v>
      </c>
      <c r="N6" s="10">
        <v>2.5706419565235228E-2</v>
      </c>
      <c r="O6" s="5">
        <v>126.650002</v>
      </c>
      <c r="P6" s="10">
        <v>-1.7212806676465742E-2</v>
      </c>
      <c r="Q6" s="5">
        <v>103.599998</v>
      </c>
      <c r="R6" s="10">
        <v>0.20144789964185139</v>
      </c>
    </row>
    <row r="7" spans="1:20">
      <c r="A7" s="2" t="s">
        <v>246</v>
      </c>
      <c r="B7" s="2" t="s">
        <v>274</v>
      </c>
      <c r="C7" s="6">
        <v>31.08</v>
      </c>
      <c r="D7" s="6"/>
      <c r="E7" s="15">
        <v>0.88</v>
      </c>
      <c r="F7" s="6"/>
      <c r="G7" s="6"/>
      <c r="H7" s="11" t="s">
        <v>95</v>
      </c>
      <c r="I7" s="6">
        <v>30.795882411764712</v>
      </c>
      <c r="J7" s="11">
        <v>9.2258304027925675E-3</v>
      </c>
      <c r="K7" s="6">
        <v>30.457222388888891</v>
      </c>
      <c r="L7" s="11">
        <v>2.044761676423601E-2</v>
      </c>
      <c r="M7" s="6">
        <v>30.273879387931032</v>
      </c>
      <c r="N7" s="11">
        <v>2.6627595417795469E-2</v>
      </c>
      <c r="O7" s="6">
        <v>32.75</v>
      </c>
      <c r="P7" s="11">
        <v>-5.099236641221383E-2</v>
      </c>
      <c r="Q7" s="6">
        <v>26.809998999999998</v>
      </c>
      <c r="R7" s="11">
        <v>0.15926897274408702</v>
      </c>
    </row>
    <row r="8" spans="1:20">
      <c r="A8" s="1" t="s">
        <v>247</v>
      </c>
      <c r="B8" s="1" t="s">
        <v>275</v>
      </c>
      <c r="C8" s="5">
        <v>64.89</v>
      </c>
      <c r="D8" s="5">
        <v>9.9999999747524271E-7</v>
      </c>
      <c r="E8" s="14">
        <v>-0.35</v>
      </c>
      <c r="F8" s="5">
        <v>64.889999000000003</v>
      </c>
      <c r="G8" s="5"/>
      <c r="H8" s="10" t="s">
        <v>95</v>
      </c>
      <c r="I8" s="5">
        <v>65.67105236842103</v>
      </c>
      <c r="J8" s="10">
        <v>-1.189340417508844E-2</v>
      </c>
      <c r="K8" s="5">
        <v>65.868157500000009</v>
      </c>
      <c r="L8" s="10">
        <v>-1.4850233210182195E-2</v>
      </c>
      <c r="M8" s="5">
        <v>62.90847455084743</v>
      </c>
      <c r="N8" s="10">
        <v>3.1498545518711563E-2</v>
      </c>
      <c r="O8" s="5">
        <v>67.220000999999996</v>
      </c>
      <c r="P8" s="10">
        <v>-3.4662317246915819E-2</v>
      </c>
      <c r="Q8" s="5">
        <v>54.419998</v>
      </c>
      <c r="R8" s="10">
        <v>0.19239254657818994</v>
      </c>
    </row>
    <row r="9" spans="1:20">
      <c r="A9" s="2" t="s">
        <v>248</v>
      </c>
      <c r="B9" s="2" t="s">
        <v>276</v>
      </c>
      <c r="C9" s="6">
        <v>12.77</v>
      </c>
      <c r="D9" s="6"/>
      <c r="E9" s="15">
        <v>0.24</v>
      </c>
      <c r="F9" s="6"/>
      <c r="G9" s="6"/>
      <c r="H9" s="11" t="s">
        <v>95</v>
      </c>
      <c r="I9" s="6">
        <v>12.728823529411766</v>
      </c>
      <c r="J9" s="11">
        <v>3.2348999491658148E-3</v>
      </c>
      <c r="K9" s="6">
        <v>12.694166666666666</v>
      </c>
      <c r="L9" s="11">
        <v>5.9738725136218029E-3</v>
      </c>
      <c r="M9" s="6">
        <v>12.119051724137936</v>
      </c>
      <c r="N9" s="11">
        <v>5.3712806140231883E-2</v>
      </c>
      <c r="O9" s="6">
        <v>12.85</v>
      </c>
      <c r="P9" s="11">
        <v>-6.225680933852118E-3</v>
      </c>
      <c r="Q9" s="6">
        <v>10.57</v>
      </c>
      <c r="R9" s="11">
        <v>0.20813623462630071</v>
      </c>
    </row>
    <row r="10" spans="1:20">
      <c r="A10" s="1" t="s">
        <v>249</v>
      </c>
      <c r="B10" s="1" t="s">
        <v>277</v>
      </c>
      <c r="C10" s="5">
        <v>57.3</v>
      </c>
      <c r="D10" s="5">
        <v>9.9999999747524271E-7</v>
      </c>
      <c r="E10" s="14">
        <v>-0.19</v>
      </c>
      <c r="F10" s="5">
        <v>57.299999</v>
      </c>
      <c r="G10" s="5"/>
      <c r="H10" s="10" t="s">
        <v>95</v>
      </c>
      <c r="I10" s="5">
        <v>58.07611133333333</v>
      </c>
      <c r="J10" s="10">
        <v>-1.3363693186666192E-2</v>
      </c>
      <c r="K10" s="5">
        <v>58.122432432432426</v>
      </c>
      <c r="L10" s="10">
        <v>-1.4150000232500792E-2</v>
      </c>
      <c r="M10" s="5">
        <v>55.095641017094017</v>
      </c>
      <c r="N10" s="10">
        <v>4.0009680297975914E-2</v>
      </c>
      <c r="O10" s="5">
        <v>59.400002000000001</v>
      </c>
      <c r="P10" s="10">
        <v>-3.5353567833213306E-2</v>
      </c>
      <c r="Q10" s="5">
        <v>47.25</v>
      </c>
      <c r="R10" s="10">
        <v>0.21269841269841261</v>
      </c>
    </row>
    <row r="11" spans="1:20">
      <c r="A11" s="2" t="s">
        <v>250</v>
      </c>
      <c r="B11" s="2" t="s">
        <v>278</v>
      </c>
      <c r="C11" s="6">
        <v>44.29</v>
      </c>
      <c r="D11" s="6"/>
      <c r="E11" s="15">
        <v>0.16</v>
      </c>
      <c r="F11" s="6"/>
      <c r="G11" s="6"/>
      <c r="H11" s="11" t="s">
        <v>95</v>
      </c>
      <c r="I11" s="6">
        <v>43.927058588235298</v>
      </c>
      <c r="J11" s="11">
        <v>8.2623654628655174E-3</v>
      </c>
      <c r="K11" s="6">
        <v>43.676944305555551</v>
      </c>
      <c r="L11" s="11">
        <v>1.4036139757296784E-2</v>
      </c>
      <c r="M11" s="6">
        <v>42.268706913793103</v>
      </c>
      <c r="N11" s="11">
        <v>4.7820083314337403E-2</v>
      </c>
      <c r="O11" s="6">
        <v>44.439999</v>
      </c>
      <c r="P11" s="11">
        <v>-3.3753151074553678E-3</v>
      </c>
      <c r="Q11" s="6">
        <v>37.560001</v>
      </c>
      <c r="R11" s="11">
        <v>0.17917994730617814</v>
      </c>
    </row>
    <row r="12" spans="1:20">
      <c r="A12" s="1" t="s">
        <v>251</v>
      </c>
      <c r="B12" s="1" t="s">
        <v>279</v>
      </c>
      <c r="C12" s="5">
        <v>109.15</v>
      </c>
      <c r="D12" s="5">
        <v>-1.0003999999995017E-2</v>
      </c>
      <c r="E12" s="14">
        <v>0.06</v>
      </c>
      <c r="F12" s="5">
        <v>109.160004</v>
      </c>
      <c r="G12" s="5"/>
      <c r="H12" s="10" t="s">
        <v>95</v>
      </c>
      <c r="I12" s="5">
        <v>109.74526384210527</v>
      </c>
      <c r="J12" s="10">
        <v>-5.4240503987643685E-3</v>
      </c>
      <c r="K12" s="5">
        <v>109.58447368421052</v>
      </c>
      <c r="L12" s="10">
        <v>-3.9647376092943887E-3</v>
      </c>
      <c r="M12" s="5">
        <v>108.7862711864407</v>
      </c>
      <c r="N12" s="10">
        <v>3.3435176111140663E-3</v>
      </c>
      <c r="O12" s="5">
        <v>113.25</v>
      </c>
      <c r="P12" s="10">
        <v>-3.6203090507726188E-2</v>
      </c>
      <c r="Q12" s="5">
        <v>107.120003</v>
      </c>
      <c r="R12" s="10">
        <v>1.8950680947983356E-2</v>
      </c>
    </row>
    <row r="13" spans="1:20">
      <c r="A13" s="2" t="s">
        <v>252</v>
      </c>
      <c r="B13" s="2" t="s">
        <v>280</v>
      </c>
      <c r="C13" s="6">
        <v>12.85</v>
      </c>
      <c r="D13" s="6"/>
      <c r="E13" s="15">
        <v>-0.23</v>
      </c>
      <c r="F13" s="6"/>
      <c r="G13" s="6"/>
      <c r="H13" s="11" t="s">
        <v>95</v>
      </c>
      <c r="I13" s="6">
        <v>12.92235294117647</v>
      </c>
      <c r="J13" s="11">
        <v>-5.5990531682447164E-3</v>
      </c>
      <c r="K13" s="6">
        <v>12.90111111111111</v>
      </c>
      <c r="L13" s="11">
        <v>-3.9617603996209283E-3</v>
      </c>
      <c r="M13" s="6">
        <v>12.80025862068967</v>
      </c>
      <c r="N13" s="11">
        <v>3.8859667436663692E-3</v>
      </c>
      <c r="O13" s="6">
        <v>13.28</v>
      </c>
      <c r="P13" s="11">
        <v>-3.2379518072289115E-2</v>
      </c>
      <c r="Q13" s="6">
        <v>12.59</v>
      </c>
      <c r="R13" s="11">
        <v>2.0651310563939651E-2</v>
      </c>
    </row>
    <row r="14" spans="1:20">
      <c r="A14" s="1" t="s">
        <v>253</v>
      </c>
      <c r="B14" s="1" t="s">
        <v>281</v>
      </c>
      <c r="C14" s="5">
        <v>87.92</v>
      </c>
      <c r="D14" s="5">
        <v>2.0000000091613401E-6</v>
      </c>
      <c r="E14" s="14">
        <v>-0.06</v>
      </c>
      <c r="F14" s="5">
        <v>87.919997999999993</v>
      </c>
      <c r="G14" s="5"/>
      <c r="H14" s="10" t="s">
        <v>95</v>
      </c>
      <c r="I14" s="5">
        <v>88.218420684210528</v>
      </c>
      <c r="J14" s="10">
        <v>-3.3827479782114755E-3</v>
      </c>
      <c r="K14" s="5">
        <v>88.283683973684205</v>
      </c>
      <c r="L14" s="10">
        <v>-4.1194924964007562E-3</v>
      </c>
      <c r="M14" s="5">
        <v>87.719491550847451</v>
      </c>
      <c r="N14" s="10">
        <v>2.2857912831872884E-3</v>
      </c>
      <c r="O14" s="5">
        <v>88.660004000000001</v>
      </c>
      <c r="P14" s="10">
        <v>-8.3465369570703274E-3</v>
      </c>
      <c r="Q14" s="5">
        <v>83.470000999999996</v>
      </c>
      <c r="R14" s="10">
        <v>5.3312554770425846E-2</v>
      </c>
    </row>
    <row r="15" spans="1:20">
      <c r="A15" s="2" t="s">
        <v>254</v>
      </c>
      <c r="B15" s="2" t="s">
        <v>282</v>
      </c>
      <c r="C15" s="6">
        <v>3.39</v>
      </c>
      <c r="D15" s="6"/>
      <c r="E15" s="15">
        <v>0</v>
      </c>
      <c r="F15" s="6"/>
      <c r="G15" s="6"/>
      <c r="H15" s="11" t="s">
        <v>95</v>
      </c>
      <c r="I15" s="6">
        <v>3.3952941176470586</v>
      </c>
      <c r="J15" s="11">
        <v>-1.5592515592514067E-3</v>
      </c>
      <c r="K15" s="6">
        <v>3.3947222222222235</v>
      </c>
      <c r="L15" s="11">
        <v>-1.3910481957289944E-3</v>
      </c>
      <c r="M15" s="6">
        <v>3.3571551724137891</v>
      </c>
      <c r="N15" s="11">
        <v>9.7835297742867589E-3</v>
      </c>
      <c r="O15" s="6">
        <v>3.41</v>
      </c>
      <c r="P15" s="11">
        <v>-5.8651026392961825E-3</v>
      </c>
      <c r="Q15" s="6">
        <v>3.2</v>
      </c>
      <c r="R15" s="11">
        <v>5.9374999999999956E-2</v>
      </c>
    </row>
    <row r="16" spans="1:20">
      <c r="A16" s="1" t="s">
        <v>255</v>
      </c>
      <c r="B16" s="1" t="s">
        <v>283</v>
      </c>
      <c r="C16" s="5">
        <v>39.549999999999997</v>
      </c>
      <c r="D16" s="5"/>
      <c r="E16" s="14">
        <v>0.13</v>
      </c>
      <c r="F16" s="5"/>
      <c r="G16" s="5"/>
      <c r="H16" s="10" t="s">
        <v>95</v>
      </c>
      <c r="I16" s="5">
        <v>39.567646882352939</v>
      </c>
      <c r="J16" s="10">
        <v>-4.4599271736855961E-4</v>
      </c>
      <c r="K16" s="5">
        <v>39.358611083333329</v>
      </c>
      <c r="L16" s="10">
        <v>4.8626948817234172E-3</v>
      </c>
      <c r="M16" s="5">
        <v>38.515431129310329</v>
      </c>
      <c r="N16" s="10">
        <v>2.6861152539517041E-2</v>
      </c>
      <c r="O16" s="5">
        <v>39.720001000000003</v>
      </c>
      <c r="P16" s="10">
        <v>-4.2799847865060414E-3</v>
      </c>
      <c r="Q16" s="5">
        <v>35.610001000000004</v>
      </c>
      <c r="R16" s="10">
        <v>0.11064304659806079</v>
      </c>
    </row>
    <row r="17" spans="1:18">
      <c r="A17" s="2" t="s">
        <v>256</v>
      </c>
      <c r="B17" s="2" t="s">
        <v>284</v>
      </c>
      <c r="C17" s="6">
        <v>23.79</v>
      </c>
      <c r="D17" s="6"/>
      <c r="E17" s="15">
        <v>0.04</v>
      </c>
      <c r="F17" s="6"/>
      <c r="G17" s="6"/>
      <c r="H17" s="11" t="s">
        <v>95</v>
      </c>
      <c r="I17" s="6">
        <v>23.820000294117648</v>
      </c>
      <c r="J17" s="11">
        <v>-1.2594581757858769E-3</v>
      </c>
      <c r="K17" s="6">
        <v>23.731111138888892</v>
      </c>
      <c r="L17" s="11">
        <v>2.4815045855397511E-3</v>
      </c>
      <c r="M17" s="6">
        <v>23.357068991379307</v>
      </c>
      <c r="N17" s="11">
        <v>1.8535331157367274E-2</v>
      </c>
      <c r="O17" s="6">
        <v>23.879998999999998</v>
      </c>
      <c r="P17" s="11">
        <v>-3.7688025028811412E-3</v>
      </c>
      <c r="Q17" s="6">
        <v>22.530001000000002</v>
      </c>
      <c r="R17" s="11">
        <v>5.5925385888797585E-2</v>
      </c>
    </row>
    <row r="18" spans="1:18">
      <c r="A18" s="1" t="s">
        <v>257</v>
      </c>
      <c r="B18" s="1" t="s">
        <v>285</v>
      </c>
      <c r="C18" s="5">
        <v>27.67</v>
      </c>
      <c r="D18" s="5"/>
      <c r="E18" s="14">
        <v>0.73</v>
      </c>
      <c r="F18" s="5"/>
      <c r="G18" s="5"/>
      <c r="H18" s="10" t="s">
        <v>95</v>
      </c>
      <c r="I18" s="5">
        <v>27.316470588235294</v>
      </c>
      <c r="J18" s="10">
        <v>1.2941987165683289E-2</v>
      </c>
      <c r="K18" s="5">
        <v>27.097222305555551</v>
      </c>
      <c r="L18" s="10">
        <v>2.1137874870924334E-2</v>
      </c>
      <c r="M18" s="5">
        <v>26.733017301724139</v>
      </c>
      <c r="N18" s="10">
        <v>3.5049642459006325E-2</v>
      </c>
      <c r="O18" s="5">
        <v>27.67</v>
      </c>
      <c r="P18" s="10">
        <v>0</v>
      </c>
      <c r="Q18" s="5">
        <v>22.870001000000002</v>
      </c>
      <c r="R18" s="10">
        <v>0.20988188850538303</v>
      </c>
    </row>
    <row r="19" spans="1:18">
      <c r="A19" s="2" t="s">
        <v>258</v>
      </c>
      <c r="B19" s="2" t="s">
        <v>286</v>
      </c>
      <c r="C19" s="6"/>
      <c r="D19" s="6"/>
      <c r="E19" s="15"/>
      <c r="F19" s="6"/>
      <c r="G19" s="6"/>
      <c r="H19" s="11" t="s">
        <v>95</v>
      </c>
      <c r="I19" s="6">
        <v>64.947057764705889</v>
      </c>
      <c r="J19" s="11"/>
      <c r="K19" s="6">
        <v>64.508610333333351</v>
      </c>
      <c r="L19" s="11"/>
      <c r="M19" s="6">
        <v>64.407672163793052</v>
      </c>
      <c r="N19" s="11"/>
      <c r="O19" s="6">
        <v>66.550003000000004</v>
      </c>
      <c r="P19" s="11"/>
      <c r="Q19" s="6">
        <v>51.279998999999997</v>
      </c>
      <c r="R19" s="11"/>
    </row>
    <row r="20" spans="1:18">
      <c r="A20" s="1" t="s">
        <v>259</v>
      </c>
      <c r="B20" s="1" t="s">
        <v>287</v>
      </c>
      <c r="C20" s="5">
        <v>61.82</v>
      </c>
      <c r="D20" s="5"/>
      <c r="E20" s="14">
        <v>1.05</v>
      </c>
      <c r="F20" s="5"/>
      <c r="G20" s="5"/>
      <c r="H20" s="10" t="s">
        <v>95</v>
      </c>
      <c r="I20" s="5">
        <v>61.230000058823542</v>
      </c>
      <c r="J20" s="10">
        <v>9.6357984747614811E-3</v>
      </c>
      <c r="K20" s="5">
        <v>60.763333333333335</v>
      </c>
      <c r="L20" s="10">
        <v>1.7389873278841339E-2</v>
      </c>
      <c r="M20" s="5">
        <v>60.766206956896568</v>
      </c>
      <c r="N20" s="10">
        <v>1.7341761085251317E-2</v>
      </c>
      <c r="O20" s="5">
        <v>63.209998999999996</v>
      </c>
      <c r="P20" s="10">
        <v>-2.1990175953016444E-2</v>
      </c>
      <c r="Q20" s="5">
        <v>51.990002000000004</v>
      </c>
      <c r="R20" s="10">
        <v>0.18907477633872749</v>
      </c>
    </row>
    <row r="21" spans="1:18">
      <c r="A21" s="2" t="s">
        <v>260</v>
      </c>
      <c r="B21" s="2" t="s">
        <v>288</v>
      </c>
      <c r="C21" s="6">
        <v>14.78</v>
      </c>
      <c r="D21" s="6"/>
      <c r="E21" s="15">
        <v>0.61</v>
      </c>
      <c r="F21" s="6"/>
      <c r="G21" s="6"/>
      <c r="H21" s="11" t="s">
        <v>95</v>
      </c>
      <c r="I21" s="6">
        <v>14.693529411764709</v>
      </c>
      <c r="J21" s="11">
        <v>5.8849433524157391E-3</v>
      </c>
      <c r="K21" s="6">
        <v>14.581944444444442</v>
      </c>
      <c r="L21" s="11">
        <v>1.35822459281838E-2</v>
      </c>
      <c r="M21" s="6">
        <v>14.431379310344827</v>
      </c>
      <c r="N21" s="11">
        <v>2.41571288619149E-2</v>
      </c>
      <c r="O21" s="6">
        <v>14.8</v>
      </c>
      <c r="P21" s="11">
        <v>-1.3513513513514486E-3</v>
      </c>
      <c r="Q21" s="6">
        <v>12.46</v>
      </c>
      <c r="R21" s="11">
        <v>0.18619582664526479</v>
      </c>
    </row>
    <row r="22" spans="1:18">
      <c r="A22" s="1" t="s">
        <v>261</v>
      </c>
      <c r="B22" s="1" t="s">
        <v>289</v>
      </c>
      <c r="C22" s="5">
        <v>35.46</v>
      </c>
      <c r="D22" s="5"/>
      <c r="E22" s="14">
        <v>-0.17</v>
      </c>
      <c r="F22" s="5"/>
      <c r="G22" s="5"/>
      <c r="H22" s="10" t="s">
        <v>95</v>
      </c>
      <c r="I22" s="5">
        <v>35.585882058823536</v>
      </c>
      <c r="J22" s="10">
        <v>-3.5374157261425232E-3</v>
      </c>
      <c r="K22" s="5">
        <v>35.331944222222226</v>
      </c>
      <c r="L22" s="10">
        <v>3.624362615664678E-3</v>
      </c>
      <c r="M22" s="5">
        <v>34.009310422413783</v>
      </c>
      <c r="N22" s="10">
        <v>4.265565986395714E-2</v>
      </c>
      <c r="O22" s="5">
        <v>35.919998</v>
      </c>
      <c r="P22" s="10">
        <v>-1.2806181113929838E-2</v>
      </c>
      <c r="Q22" s="5">
        <v>28.799999</v>
      </c>
      <c r="R22" s="10">
        <v>0.23125004275173766</v>
      </c>
    </row>
    <row r="23" spans="1:18">
      <c r="A23" s="2" t="s">
        <v>262</v>
      </c>
      <c r="B23" s="2" t="s">
        <v>290</v>
      </c>
      <c r="C23" s="6">
        <v>29.84</v>
      </c>
      <c r="D23" s="6"/>
      <c r="E23" s="15">
        <v>0.24</v>
      </c>
      <c r="F23" s="6"/>
      <c r="G23" s="6"/>
      <c r="H23" s="11" t="s">
        <v>95</v>
      </c>
      <c r="I23" s="6">
        <v>29.825293941176469</v>
      </c>
      <c r="J23" s="11">
        <v>4.9307339107995674E-4</v>
      </c>
      <c r="K23" s="6">
        <v>29.61388877777777</v>
      </c>
      <c r="L23" s="11">
        <v>7.6353100370898375E-3</v>
      </c>
      <c r="M23" s="6">
        <v>28.790517267241363</v>
      </c>
      <c r="N23" s="11">
        <v>3.6452375030884498E-2</v>
      </c>
      <c r="O23" s="6">
        <v>30.01</v>
      </c>
      <c r="P23" s="11">
        <v>-5.6647784071977014E-3</v>
      </c>
      <c r="Q23" s="6">
        <v>26.860001</v>
      </c>
      <c r="R23" s="11">
        <v>0.11094560271982123</v>
      </c>
    </row>
    <row r="24" spans="1:18">
      <c r="A24" s="1" t="s">
        <v>263</v>
      </c>
      <c r="B24" s="1" t="s">
        <v>291</v>
      </c>
      <c r="C24" s="5">
        <v>42.89</v>
      </c>
      <c r="D24" s="5"/>
      <c r="E24" s="14">
        <v>-0.46</v>
      </c>
      <c r="F24" s="5"/>
      <c r="G24" s="5"/>
      <c r="H24" s="10" t="s">
        <v>95</v>
      </c>
      <c r="I24" s="5">
        <v>43.461764823529407</v>
      </c>
      <c r="J24" s="10">
        <v>-1.3155582288270629E-2</v>
      </c>
      <c r="K24" s="5">
        <v>43.336111222222222</v>
      </c>
      <c r="L24" s="10">
        <v>-1.0294214447037486E-2</v>
      </c>
      <c r="M24" s="5">
        <v>41.294396448275869</v>
      </c>
      <c r="N24" s="10">
        <v>3.863971117056364E-2</v>
      </c>
      <c r="O24" s="5">
        <v>46.310001</v>
      </c>
      <c r="P24" s="10">
        <v>-7.3850160357370687E-2</v>
      </c>
      <c r="Q24" s="5">
        <v>36.479999999999997</v>
      </c>
      <c r="R24" s="10">
        <v>0.17571271929824572</v>
      </c>
    </row>
    <row r="25" spans="1:18">
      <c r="A25" s="2" t="s">
        <v>264</v>
      </c>
      <c r="B25" s="2" t="s">
        <v>292</v>
      </c>
      <c r="C25" s="6">
        <v>48.79</v>
      </c>
      <c r="D25" s="6"/>
      <c r="E25" s="15">
        <v>-0.49</v>
      </c>
      <c r="F25" s="6"/>
      <c r="G25" s="6"/>
      <c r="H25" s="11" t="s">
        <v>95</v>
      </c>
      <c r="I25" s="6">
        <v>49.540000411764709</v>
      </c>
      <c r="J25" s="11">
        <v>-1.5139289574705006E-2</v>
      </c>
      <c r="K25" s="6">
        <v>49.422778111111114</v>
      </c>
      <c r="L25" s="11">
        <v>-1.2803369929721864E-2</v>
      </c>
      <c r="M25" s="6">
        <v>47.265775887931049</v>
      </c>
      <c r="N25" s="11">
        <v>3.2247944383330118E-2</v>
      </c>
      <c r="O25" s="6">
        <v>50.41</v>
      </c>
      <c r="P25" s="11">
        <v>-3.2136480856972738E-2</v>
      </c>
      <c r="Q25" s="6">
        <v>42.630001</v>
      </c>
      <c r="R25" s="11">
        <v>0.1444991521346668</v>
      </c>
    </row>
    <row r="26" spans="1:18">
      <c r="A26" s="1" t="s">
        <v>265</v>
      </c>
      <c r="B26" s="1" t="s">
        <v>293</v>
      </c>
      <c r="C26" s="5">
        <v>47.31</v>
      </c>
      <c r="D26" s="5"/>
      <c r="E26" s="14">
        <v>0.08</v>
      </c>
      <c r="F26" s="5"/>
      <c r="G26" s="5"/>
      <c r="H26" s="10" t="s">
        <v>95</v>
      </c>
      <c r="I26" s="5">
        <v>47.138234882352947</v>
      </c>
      <c r="J26" s="10">
        <v>3.6438597685242158E-3</v>
      </c>
      <c r="K26" s="5">
        <v>46.698055305555556</v>
      </c>
      <c r="L26" s="10">
        <v>1.3104286472752635E-2</v>
      </c>
      <c r="M26" s="5">
        <v>46.107758568965501</v>
      </c>
      <c r="N26" s="10">
        <v>2.6074601506300699E-2</v>
      </c>
      <c r="O26" s="5">
        <v>47.759997999999996</v>
      </c>
      <c r="P26" s="10">
        <v>-9.4220690712757404E-3</v>
      </c>
      <c r="Q26" s="5">
        <v>38.770000000000003</v>
      </c>
      <c r="R26" s="10">
        <v>0.22027340727366518</v>
      </c>
    </row>
    <row r="27" spans="1:18">
      <c r="A27" s="2" t="s">
        <v>266</v>
      </c>
      <c r="B27" s="2" t="s">
        <v>294</v>
      </c>
      <c r="C27" s="6">
        <v>10.92</v>
      </c>
      <c r="D27" s="6"/>
      <c r="E27" s="15">
        <v>-0.09</v>
      </c>
      <c r="F27" s="6"/>
      <c r="G27" s="6"/>
      <c r="H27" s="11" t="s">
        <v>95</v>
      </c>
      <c r="I27" s="6">
        <v>10.950000000000001</v>
      </c>
      <c r="J27" s="11">
        <v>-2.73972602739736E-3</v>
      </c>
      <c r="K27" s="6">
        <v>10.929444444444441</v>
      </c>
      <c r="L27" s="11">
        <v>-8.6412850099082394E-4</v>
      </c>
      <c r="M27" s="6">
        <v>10.824224137931038</v>
      </c>
      <c r="N27" s="11">
        <v>8.8482888795085035E-3</v>
      </c>
      <c r="O27" s="6">
        <v>11.19</v>
      </c>
      <c r="P27" s="11">
        <v>-2.4128686327077764E-2</v>
      </c>
      <c r="Q27" s="6">
        <v>10.58</v>
      </c>
      <c r="R27" s="11">
        <v>3.2136105860113506E-2</v>
      </c>
    </row>
    <row r="28" spans="1:18">
      <c r="A28" s="1" t="s">
        <v>267</v>
      </c>
      <c r="B28" s="1" t="s">
        <v>295</v>
      </c>
      <c r="C28" s="5">
        <v>12.72</v>
      </c>
      <c r="D28" s="5"/>
      <c r="E28" s="14">
        <v>-0.08</v>
      </c>
      <c r="F28" s="5"/>
      <c r="G28" s="5"/>
      <c r="H28" s="10" t="s">
        <v>95</v>
      </c>
      <c r="I28" s="5">
        <v>12.75588235294118</v>
      </c>
      <c r="J28" s="10">
        <v>-2.8130043809087013E-3</v>
      </c>
      <c r="K28" s="5">
        <v>12.729444444444443</v>
      </c>
      <c r="L28" s="10">
        <v>-7.4193689172064037E-4</v>
      </c>
      <c r="M28" s="5">
        <v>12.597068965517243</v>
      </c>
      <c r="N28" s="10">
        <v>9.7587013946867085E-3</v>
      </c>
      <c r="O28" s="5">
        <v>13.06</v>
      </c>
      <c r="P28" s="10">
        <v>-2.6033690658499253E-2</v>
      </c>
      <c r="Q28" s="5">
        <v>12.29</v>
      </c>
      <c r="R28" s="10">
        <v>3.4987794955248397E-2</v>
      </c>
    </row>
    <row r="29" spans="1:18">
      <c r="A29" s="2" t="s">
        <v>268</v>
      </c>
      <c r="B29" s="2" t="s">
        <v>296</v>
      </c>
      <c r="C29" s="6">
        <v>15.43</v>
      </c>
      <c r="D29" s="6"/>
      <c r="E29" s="15">
        <v>-0.13</v>
      </c>
      <c r="F29" s="6"/>
      <c r="G29" s="6"/>
      <c r="H29" s="11" t="s">
        <v>95</v>
      </c>
      <c r="I29" s="6">
        <v>15.497058823529414</v>
      </c>
      <c r="J29" s="11">
        <v>-4.3271968115393689E-3</v>
      </c>
      <c r="K29" s="6">
        <v>15.445277777777777</v>
      </c>
      <c r="L29" s="11">
        <v>-9.8915526140674892E-4</v>
      </c>
      <c r="M29" s="6">
        <v>15.191379310344828</v>
      </c>
      <c r="N29" s="11">
        <v>1.5707638179548233E-2</v>
      </c>
      <c r="O29" s="6">
        <v>15.6</v>
      </c>
      <c r="P29" s="11">
        <v>-1.0897435897435859E-2</v>
      </c>
      <c r="Q29" s="6">
        <v>14.64</v>
      </c>
      <c r="R29" s="11">
        <v>5.3961748633879703E-2</v>
      </c>
    </row>
    <row r="30" spans="1:18">
      <c r="A30" s="1" t="s">
        <v>269</v>
      </c>
      <c r="B30" s="1" t="s">
        <v>297</v>
      </c>
      <c r="C30" s="5">
        <v>17.46</v>
      </c>
      <c r="D30" s="5"/>
      <c r="E30" s="14">
        <v>0.06</v>
      </c>
      <c r="F30" s="5"/>
      <c r="G30" s="5"/>
      <c r="H30" s="10" t="s">
        <v>95</v>
      </c>
      <c r="I30" s="5">
        <v>17.500587999999997</v>
      </c>
      <c r="J30" s="10">
        <v>-2.3192363593723675E-3</v>
      </c>
      <c r="K30" s="5">
        <v>17.430833055555553</v>
      </c>
      <c r="L30" s="10">
        <v>1.6732960697567467E-3</v>
      </c>
      <c r="M30" s="5">
        <v>17.084310224137926</v>
      </c>
      <c r="N30" s="10">
        <v>2.1990339143530324E-2</v>
      </c>
      <c r="O30" s="5">
        <v>17.549999</v>
      </c>
      <c r="P30" s="10">
        <v>-5.1281484403502553E-3</v>
      </c>
      <c r="Q30" s="5">
        <v>16.280001000000002</v>
      </c>
      <c r="R30" s="10">
        <v>7.2481506604330059E-2</v>
      </c>
    </row>
    <row r="31" spans="1:18">
      <c r="A31" s="2" t="s">
        <v>270</v>
      </c>
      <c r="B31" s="2" t="s">
        <v>298</v>
      </c>
      <c r="C31" s="6">
        <v>20.57</v>
      </c>
      <c r="D31" s="6"/>
      <c r="E31" s="15">
        <v>0.15</v>
      </c>
      <c r="F31" s="6"/>
      <c r="G31" s="6"/>
      <c r="H31" s="11" t="s">
        <v>95</v>
      </c>
      <c r="I31" s="6">
        <v>20.587647000000004</v>
      </c>
      <c r="J31" s="11">
        <v>-8.5716449286332708E-4</v>
      </c>
      <c r="K31" s="6">
        <v>20.493333222222216</v>
      </c>
      <c r="L31" s="11">
        <v>3.7410594434024169E-3</v>
      </c>
      <c r="M31" s="6">
        <v>20.022068870689658</v>
      </c>
      <c r="N31" s="11">
        <v>2.7366359233358617E-2</v>
      </c>
      <c r="O31" s="6">
        <v>20.67</v>
      </c>
      <c r="P31" s="11">
        <v>-4.8379293662312861E-3</v>
      </c>
      <c r="Q31" s="6">
        <v>18.399999999999999</v>
      </c>
      <c r="R31" s="11">
        <v>0.11793478260869583</v>
      </c>
    </row>
    <row r="32" spans="1:18">
      <c r="A32" s="1" t="s">
        <v>271</v>
      </c>
      <c r="B32" s="1" t="s">
        <v>299</v>
      </c>
      <c r="C32" s="5">
        <v>11.82</v>
      </c>
      <c r="D32" s="5"/>
      <c r="E32" s="14">
        <v>0.17</v>
      </c>
      <c r="F32" s="5"/>
      <c r="G32" s="5"/>
      <c r="H32" s="10" t="s">
        <v>95</v>
      </c>
      <c r="I32" s="5">
        <v>11.865882352941176</v>
      </c>
      <c r="J32" s="10">
        <v>-3.8667459845329599E-3</v>
      </c>
      <c r="K32" s="5">
        <v>11.815833333333337</v>
      </c>
      <c r="L32" s="10">
        <v>3.5263417730413416E-4</v>
      </c>
      <c r="M32" s="5">
        <v>11.53241379310345</v>
      </c>
      <c r="N32" s="10">
        <v>2.4937208467886496E-2</v>
      </c>
      <c r="O32" s="5">
        <v>11.93</v>
      </c>
      <c r="P32" s="10">
        <v>-9.2204526404022769E-3</v>
      </c>
      <c r="Q32" s="5">
        <v>10.51</v>
      </c>
      <c r="R32" s="10">
        <v>0.12464319695528081</v>
      </c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</sheetData>
  <phoneticPr fontId="5" type="noConversion"/>
  <conditionalFormatting sqref="H2:H32">
    <cfRule type="cellIs" dxfId="24" priority="2" operator="between">
      <formula>0</formula>
      <formula>0.05</formula>
    </cfRule>
    <cfRule type="cellIs" dxfId="23" priority="5" operator="between">
      <formula>-0.05</formula>
      <formula>0</formula>
    </cfRule>
  </conditionalFormatting>
  <conditionalFormatting sqref="J2:J32 L2:L32 N2:N32">
    <cfRule type="cellIs" dxfId="22" priority="4" operator="lessThan">
      <formula>-0.02</formula>
    </cfRule>
  </conditionalFormatting>
  <conditionalFormatting sqref="R2:R32">
    <cfRule type="cellIs" dxfId="21" priority="3" operator="between">
      <formula>-0.05</formula>
      <formula>0.05</formula>
    </cfRule>
  </conditionalFormatting>
  <conditionalFormatting sqref="P2:P32">
    <cfRule type="cellIs" dxfId="2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G11" sqref="G11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0">
      <c r="A2" s="1" t="s">
        <v>300</v>
      </c>
      <c r="B2" s="1" t="s">
        <v>307</v>
      </c>
      <c r="C2" s="5">
        <v>50.83</v>
      </c>
      <c r="D2" s="5">
        <v>-3.5000000000025011E-3</v>
      </c>
      <c r="E2" s="14">
        <v>0.03</v>
      </c>
      <c r="F2" s="5">
        <v>50.833500000000001</v>
      </c>
      <c r="G2" s="5"/>
      <c r="H2" s="10" t="s">
        <v>95</v>
      </c>
      <c r="I2" s="5">
        <v>50.871861388888888</v>
      </c>
      <c r="J2" s="10">
        <v>-8.2287904837763381E-4</v>
      </c>
      <c r="K2" s="5">
        <v>50.862527324324333</v>
      </c>
      <c r="L2" s="10">
        <v>-6.3951451167432172E-4</v>
      </c>
      <c r="M2" s="5">
        <v>50.831397435897451</v>
      </c>
      <c r="N2" s="10">
        <v>-2.749158921344641E-5</v>
      </c>
      <c r="O2" s="5">
        <v>50.91</v>
      </c>
      <c r="P2" s="10">
        <v>-1.5714005107051454E-3</v>
      </c>
      <c r="Q2" s="5">
        <v>50.560001</v>
      </c>
      <c r="R2" s="10">
        <v>5.3401699893163013E-3</v>
      </c>
    </row>
    <row r="3" spans="1:20">
      <c r="A3" s="2" t="s">
        <v>301</v>
      </c>
      <c r="B3" s="2" t="s">
        <v>307</v>
      </c>
      <c r="C3" s="6">
        <v>50.1</v>
      </c>
      <c r="D3" s="6">
        <v>-1.0001000000002591E-2</v>
      </c>
      <c r="E3" s="15">
        <v>-0.04</v>
      </c>
      <c r="F3" s="6">
        <v>50.110001000000004</v>
      </c>
      <c r="G3" s="6"/>
      <c r="H3" s="11" t="s">
        <v>95</v>
      </c>
      <c r="I3" s="6">
        <v>50.258333388888886</v>
      </c>
      <c r="J3" s="11">
        <v>-3.1503907553744881E-3</v>
      </c>
      <c r="K3" s="6">
        <v>50.267837891891908</v>
      </c>
      <c r="L3" s="11">
        <v>-3.3388723074356808E-3</v>
      </c>
      <c r="M3" s="6">
        <v>50.160256427350433</v>
      </c>
      <c r="N3" s="11">
        <v>-1.2012782956503099E-3</v>
      </c>
      <c r="O3" s="6">
        <v>101.470001</v>
      </c>
      <c r="P3" s="11">
        <v>-0.50625801215868715</v>
      </c>
      <c r="Q3" s="6">
        <v>49.700001</v>
      </c>
      <c r="R3" s="11">
        <v>8.048269455769308E-3</v>
      </c>
      <c r="T3" t="s">
        <v>441</v>
      </c>
    </row>
    <row r="4" spans="1:20">
      <c r="A4" s="1" t="s">
        <v>302</v>
      </c>
      <c r="B4" s="1" t="s">
        <v>307</v>
      </c>
      <c r="C4" s="5">
        <v>100.26</v>
      </c>
      <c r="D4" s="5">
        <v>-1.9999999949504854E-6</v>
      </c>
      <c r="E4" s="14">
        <v>0.06</v>
      </c>
      <c r="F4" s="5">
        <v>100.260002</v>
      </c>
      <c r="G4" s="5"/>
      <c r="H4" s="10" t="s">
        <v>95</v>
      </c>
      <c r="I4" s="5">
        <v>100.43277733333332</v>
      </c>
      <c r="J4" s="10">
        <v>-1.7203281430709927E-3</v>
      </c>
      <c r="K4" s="5">
        <v>100.67243216216217</v>
      </c>
      <c r="L4" s="10">
        <v>-4.0967735983354903E-3</v>
      </c>
      <c r="M4" s="5">
        <v>100.99299144444446</v>
      </c>
      <c r="N4" s="10">
        <v>-7.2578446678417396E-3</v>
      </c>
      <c r="O4" s="5">
        <v>101.739998</v>
      </c>
      <c r="P4" s="10">
        <v>-1.4546864842674756E-2</v>
      </c>
      <c r="Q4" s="5">
        <v>100</v>
      </c>
      <c r="R4" s="10">
        <v>2.6000000000001577E-3</v>
      </c>
      <c r="T4" t="s">
        <v>444</v>
      </c>
    </row>
    <row r="5" spans="1:20">
      <c r="A5" s="2" t="s">
        <v>303</v>
      </c>
      <c r="B5" s="2" t="s">
        <v>308</v>
      </c>
      <c r="C5" s="6">
        <v>105.71</v>
      </c>
      <c r="D5" s="6">
        <v>1.7601999999996565E-2</v>
      </c>
      <c r="E5" s="15">
        <v>0.08</v>
      </c>
      <c r="F5" s="6">
        <v>105.692398</v>
      </c>
      <c r="G5" s="6"/>
      <c r="H5" s="11" t="s">
        <v>95</v>
      </c>
      <c r="I5" s="6">
        <v>105.91568877777779</v>
      </c>
      <c r="J5" s="11">
        <v>-1.9420048167684278E-3</v>
      </c>
      <c r="K5" s="6">
        <v>105.95357837837835</v>
      </c>
      <c r="L5" s="11">
        <v>-2.2989160168663814E-3</v>
      </c>
      <c r="M5" s="6">
        <v>105.66267001709397</v>
      </c>
      <c r="N5" s="11">
        <v>4.4793476161797408E-4</v>
      </c>
      <c r="O5" s="6">
        <v>106.620003</v>
      </c>
      <c r="P5" s="11">
        <v>-8.5350119526821366E-3</v>
      </c>
      <c r="Q5" s="6">
        <v>104.589996</v>
      </c>
      <c r="R5" s="11">
        <v>1.0708519388412663E-2</v>
      </c>
    </row>
    <row r="6" spans="1:20">
      <c r="A6" s="1" t="s">
        <v>304</v>
      </c>
      <c r="B6" s="1" t="s">
        <v>309</v>
      </c>
      <c r="C6" s="5">
        <v>17.600000000000001</v>
      </c>
      <c r="D6" s="5">
        <v>2.0000000000003126E-2</v>
      </c>
      <c r="E6" s="14">
        <v>1.56</v>
      </c>
      <c r="F6" s="5">
        <v>17.579999999999998</v>
      </c>
      <c r="G6" s="5">
        <v>15</v>
      </c>
      <c r="H6" s="10">
        <v>0.17333333333333334</v>
      </c>
      <c r="I6" s="5">
        <v>18.032777666666661</v>
      </c>
      <c r="J6" s="10">
        <v>-2.3999501056714223E-2</v>
      </c>
      <c r="K6" s="5">
        <v>18.324324243243243</v>
      </c>
      <c r="L6" s="10">
        <v>-3.952801934894401E-2</v>
      </c>
      <c r="M6" s="5">
        <v>18.944529871794874</v>
      </c>
      <c r="N6" s="10">
        <v>-7.0971931258988152E-2</v>
      </c>
      <c r="O6" s="5">
        <v>21.23</v>
      </c>
      <c r="P6" s="10">
        <v>-0.17098445595854916</v>
      </c>
      <c r="Q6" s="5">
        <v>9.57</v>
      </c>
      <c r="R6" s="10">
        <v>0.83908045977011514</v>
      </c>
    </row>
    <row r="7" spans="1:20">
      <c r="A7" s="2" t="s">
        <v>305</v>
      </c>
      <c r="B7" s="2" t="s">
        <v>309</v>
      </c>
      <c r="C7" s="6">
        <v>10.76</v>
      </c>
      <c r="D7" s="6">
        <v>-7.1799999999999642E-2</v>
      </c>
      <c r="E7" s="15">
        <v>-0.28000000000000003</v>
      </c>
      <c r="F7" s="6">
        <v>10.831799999999999</v>
      </c>
      <c r="G7" s="6"/>
      <c r="H7" s="11" t="s">
        <v>95</v>
      </c>
      <c r="I7" s="6">
        <v>11.119544444444442</v>
      </c>
      <c r="J7" s="11">
        <v>-3.2334458146266787E-2</v>
      </c>
      <c r="K7" s="6">
        <v>11.33977837837838</v>
      </c>
      <c r="L7" s="11">
        <v>-5.1127840336266828E-2</v>
      </c>
      <c r="M7" s="6">
        <v>11.672152136752135</v>
      </c>
      <c r="N7" s="11">
        <v>-7.8147725120891742E-2</v>
      </c>
      <c r="O7" s="6">
        <v>16.870001000000002</v>
      </c>
      <c r="P7" s="11">
        <v>-0.3621814248855113</v>
      </c>
      <c r="Q7" s="6">
        <v>9.59</v>
      </c>
      <c r="R7" s="11">
        <v>0.1220020855057351</v>
      </c>
    </row>
    <row r="8" spans="1:20">
      <c r="A8" s="1" t="s">
        <v>25</v>
      </c>
      <c r="B8" s="1" t="s">
        <v>65</v>
      </c>
      <c r="C8" s="5">
        <v>21.72</v>
      </c>
      <c r="D8" s="5">
        <v>4.9999999999990052E-3</v>
      </c>
      <c r="E8" s="14">
        <v>1.0900000000000001</v>
      </c>
      <c r="F8" s="5">
        <v>21.715</v>
      </c>
      <c r="G8" s="5"/>
      <c r="H8" s="10" t="s">
        <v>95</v>
      </c>
      <c r="I8" s="5">
        <v>22.292368263157897</v>
      </c>
      <c r="J8" s="10">
        <v>-2.5675525202220828E-2</v>
      </c>
      <c r="K8" s="5">
        <v>22.593026184210526</v>
      </c>
      <c r="L8" s="10">
        <v>-3.8641400983311147E-2</v>
      </c>
      <c r="M8" s="5">
        <v>23.019364389830507</v>
      </c>
      <c r="N8" s="10">
        <v>-5.6446579837127975E-2</v>
      </c>
      <c r="O8" s="5">
        <v>31.32</v>
      </c>
      <c r="P8" s="10">
        <v>-0.30651340996168586</v>
      </c>
      <c r="Q8" s="5">
        <v>18.989999999999998</v>
      </c>
      <c r="R8" s="10">
        <v>0.14375987361769349</v>
      </c>
    </row>
    <row r="9" spans="1:20">
      <c r="A9" s="2" t="s">
        <v>306</v>
      </c>
      <c r="B9" s="2" t="s">
        <v>310</v>
      </c>
      <c r="C9" s="6">
        <v>19.850000000000001</v>
      </c>
      <c r="D9" s="6"/>
      <c r="E9" s="15">
        <v>-1.98</v>
      </c>
      <c r="F9" s="6"/>
      <c r="G9" s="6"/>
      <c r="H9" s="11" t="s">
        <v>95</v>
      </c>
      <c r="I9" s="6">
        <v>20.37058788235294</v>
      </c>
      <c r="J9" s="11">
        <v>-2.5555859524502234E-2</v>
      </c>
      <c r="K9" s="6">
        <v>20.487499805555558</v>
      </c>
      <c r="L9" s="11">
        <v>-3.1116525276680518E-2</v>
      </c>
      <c r="M9" s="6">
        <v>21.024827508620699</v>
      </c>
      <c r="N9" s="11">
        <v>-5.5878104499976988E-2</v>
      </c>
      <c r="O9" s="6">
        <v>28.32</v>
      </c>
      <c r="P9" s="11">
        <v>-0.2990819209039548</v>
      </c>
      <c r="Q9" s="6">
        <v>17.25</v>
      </c>
      <c r="R9" s="11">
        <v>0.15072463768115951</v>
      </c>
    </row>
    <row r="10" spans="1:20">
      <c r="A10" s="1" t="s">
        <v>34</v>
      </c>
      <c r="B10" s="1" t="s">
        <v>74</v>
      </c>
      <c r="C10" s="5">
        <v>17.93</v>
      </c>
      <c r="D10" s="5">
        <v>-3.5799000000000802E-2</v>
      </c>
      <c r="E10" s="14">
        <v>-2.08</v>
      </c>
      <c r="F10" s="5">
        <v>17.965799000000001</v>
      </c>
      <c r="G10" s="5">
        <v>18.5</v>
      </c>
      <c r="H10" s="10">
        <v>-3.0810810810810829E-2</v>
      </c>
      <c r="I10" s="5">
        <v>18.054766333333333</v>
      </c>
      <c r="J10" s="10">
        <v>-6.9104374451518513E-3</v>
      </c>
      <c r="K10" s="5">
        <v>18.340156513513509</v>
      </c>
      <c r="L10" s="10">
        <v>-2.2363850232755444E-2</v>
      </c>
      <c r="M10" s="5">
        <v>19.331587957264958</v>
      </c>
      <c r="N10" s="10">
        <v>-7.250247420767264E-2</v>
      </c>
      <c r="O10" s="5">
        <v>21.91</v>
      </c>
      <c r="P10" s="10">
        <v>-0.1816522136010954</v>
      </c>
      <c r="Q10" s="5">
        <v>17.610001</v>
      </c>
      <c r="R10" s="10">
        <v>1.8171435651820778E-2</v>
      </c>
    </row>
    <row r="11" spans="1:20">
      <c r="E11" s="17"/>
    </row>
    <row r="12" spans="1:20">
      <c r="E12" s="17"/>
    </row>
    <row r="13" spans="1:20">
      <c r="E13" s="17"/>
    </row>
    <row r="14" spans="1:20">
      <c r="E14" s="17"/>
    </row>
    <row r="15" spans="1:20">
      <c r="E15" s="17"/>
    </row>
    <row r="16" spans="1:20">
      <c r="E16" s="17"/>
    </row>
    <row r="17" spans="5:5">
      <c r="E17" s="17"/>
    </row>
    <row r="18" spans="5:5">
      <c r="E18" s="17"/>
    </row>
    <row r="19" spans="5:5">
      <c r="E19" s="17"/>
    </row>
    <row r="20" spans="5:5">
      <c r="E20" s="17"/>
    </row>
    <row r="21" spans="5:5">
      <c r="E21" s="17"/>
    </row>
    <row r="22" spans="5:5">
      <c r="E22" s="17"/>
    </row>
    <row r="23" spans="5:5">
      <c r="E23" s="17"/>
    </row>
    <row r="24" spans="5:5">
      <c r="E24" s="17"/>
    </row>
    <row r="25" spans="5:5">
      <c r="E25" s="17"/>
    </row>
    <row r="26" spans="5:5">
      <c r="E26" s="17"/>
    </row>
    <row r="27" spans="5:5">
      <c r="E27" s="17"/>
    </row>
    <row r="28" spans="5:5">
      <c r="E28" s="17"/>
    </row>
    <row r="29" spans="5:5">
      <c r="E29" s="17"/>
    </row>
    <row r="30" spans="5:5">
      <c r="E30" s="17"/>
    </row>
    <row r="31" spans="5:5">
      <c r="E31" s="17"/>
    </row>
    <row r="32" spans="5:5">
      <c r="E32" s="17"/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</sheetData>
  <phoneticPr fontId="5" type="noConversion"/>
  <conditionalFormatting sqref="H2:H10">
    <cfRule type="cellIs" dxfId="19" priority="2" operator="between">
      <formula>0</formula>
      <formula>0.05</formula>
    </cfRule>
    <cfRule type="cellIs" dxfId="18" priority="5" operator="between">
      <formula>-0.05</formula>
      <formula>0</formula>
    </cfRule>
  </conditionalFormatting>
  <conditionalFormatting sqref="J2:J10 L2:L10 N2:N10">
    <cfRule type="cellIs" dxfId="17" priority="4" operator="lessThan">
      <formula>-0.02</formula>
    </cfRule>
  </conditionalFormatting>
  <conditionalFormatting sqref="R2:R10">
    <cfRule type="cellIs" dxfId="16" priority="3" operator="between">
      <formula>-0.05</formula>
      <formula>0.05</formula>
    </cfRule>
  </conditionalFormatting>
  <conditionalFormatting sqref="P2:P10">
    <cfRule type="cellIs" dxfId="1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H49" sqref="H49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0">
      <c r="A2" s="1" t="s">
        <v>348</v>
      </c>
      <c r="B2" s="1" t="s">
        <v>311</v>
      </c>
      <c r="C2" s="5">
        <v>25.97</v>
      </c>
      <c r="D2" s="5">
        <v>0.17000099999999918</v>
      </c>
      <c r="E2" s="14">
        <v>6.6E-3</v>
      </c>
      <c r="F2" s="5">
        <v>25.799999</v>
      </c>
      <c r="G2" s="5"/>
      <c r="H2" s="10" t="s">
        <v>95</v>
      </c>
      <c r="I2" s="5">
        <v>26.384499950000002</v>
      </c>
      <c r="J2" s="10">
        <v>-1.570997937370433E-2</v>
      </c>
      <c r="K2" s="5">
        <v>27.247250074999993</v>
      </c>
      <c r="L2" s="10">
        <v>-4.6876292891365967E-2</v>
      </c>
      <c r="M2" s="5">
        <v>23.67358346666666</v>
      </c>
      <c r="N2" s="10">
        <v>9.7003334394506924E-2</v>
      </c>
      <c r="O2" s="5">
        <v>31.779999</v>
      </c>
      <c r="P2" s="10">
        <v>-0.18281935754623535</v>
      </c>
      <c r="Q2" s="5">
        <v>9.0200070000000014</v>
      </c>
      <c r="R2" s="10">
        <v>1.8791551935602704</v>
      </c>
    </row>
    <row r="3" spans="1:20">
      <c r="A3" s="2" t="s">
        <v>349</v>
      </c>
      <c r="B3" s="2" t="s">
        <v>312</v>
      </c>
      <c r="C3" s="6">
        <v>13.16</v>
      </c>
      <c r="D3" s="6">
        <v>-9.9999999999997868E-3</v>
      </c>
      <c r="E3" s="15">
        <v>-8.0000000000000004E-4</v>
      </c>
      <c r="F3" s="6">
        <v>13.17</v>
      </c>
      <c r="G3" s="6"/>
      <c r="H3" s="11" t="s">
        <v>95</v>
      </c>
      <c r="I3" s="6">
        <v>13.684500000000003</v>
      </c>
      <c r="J3" s="11">
        <v>-3.8328035368482838E-2</v>
      </c>
      <c r="K3" s="6">
        <v>14.242249999999993</v>
      </c>
      <c r="L3" s="11">
        <v>-7.5988695606381995E-2</v>
      </c>
      <c r="M3" s="6">
        <v>15.575916633333325</v>
      </c>
      <c r="N3" s="11">
        <v>-0.15510590421132131</v>
      </c>
      <c r="O3" s="6">
        <v>19.370001000000002</v>
      </c>
      <c r="P3" s="11">
        <v>-0.32059889929794017</v>
      </c>
      <c r="Q3" s="6">
        <v>13.08</v>
      </c>
      <c r="R3" s="11">
        <v>6.1162079510703737E-3</v>
      </c>
      <c r="T3" t="s">
        <v>442</v>
      </c>
    </row>
    <row r="4" spans="1:20">
      <c r="A4" s="1" t="s">
        <v>350</v>
      </c>
      <c r="B4" s="1" t="s">
        <v>313</v>
      </c>
      <c r="C4" s="5">
        <v>12.84</v>
      </c>
      <c r="D4" s="5">
        <v>-0.10999999999999943</v>
      </c>
      <c r="E4" s="14">
        <v>-8.5000000000000006E-3</v>
      </c>
      <c r="F4" s="5">
        <v>12.95</v>
      </c>
      <c r="G4" s="5"/>
      <c r="H4" s="10" t="s">
        <v>95</v>
      </c>
      <c r="I4" s="5">
        <v>13.593999999999999</v>
      </c>
      <c r="J4" s="10">
        <v>-5.5465646608797936E-2</v>
      </c>
      <c r="K4" s="5">
        <v>13.765000000000001</v>
      </c>
      <c r="L4" s="10">
        <v>-6.7199418815837353E-2</v>
      </c>
      <c r="M4" s="5">
        <v>11.281916666666666</v>
      </c>
      <c r="N4" s="10">
        <v>0.13810448874674086</v>
      </c>
      <c r="O4" s="5">
        <v>15.2</v>
      </c>
      <c r="P4" s="10">
        <v>-0.15526315789473677</v>
      </c>
      <c r="Q4" s="5">
        <v>2.62</v>
      </c>
      <c r="R4" s="10">
        <v>3.9007633587786259</v>
      </c>
      <c r="T4" t="s">
        <v>444</v>
      </c>
    </row>
    <row r="5" spans="1:20">
      <c r="A5" s="2" t="s">
        <v>351</v>
      </c>
      <c r="B5" s="2" t="s">
        <v>314</v>
      </c>
      <c r="C5" s="6">
        <v>11.11</v>
      </c>
      <c r="D5" s="6">
        <v>7.0000000000000284E-2</v>
      </c>
      <c r="E5" s="15">
        <v>6.3E-3</v>
      </c>
      <c r="F5" s="6">
        <v>11.04</v>
      </c>
      <c r="G5" s="6"/>
      <c r="H5" s="11" t="s">
        <v>95</v>
      </c>
      <c r="I5" s="6">
        <v>11.257499999999999</v>
      </c>
      <c r="J5" s="11">
        <v>-1.3102376193648624E-2</v>
      </c>
      <c r="K5" s="6">
        <v>11.620000000000001</v>
      </c>
      <c r="L5" s="11">
        <v>-4.3889845094664537E-2</v>
      </c>
      <c r="M5" s="6">
        <v>12.838583358333331</v>
      </c>
      <c r="N5" s="11">
        <v>-0.13463972699225679</v>
      </c>
      <c r="O5" s="6">
        <v>29.23</v>
      </c>
      <c r="P5" s="11">
        <v>-0.61991105029079718</v>
      </c>
      <c r="Q5" s="6">
        <v>10.62</v>
      </c>
      <c r="R5" s="11">
        <v>4.6139359698681659E-2</v>
      </c>
    </row>
    <row r="6" spans="1:20">
      <c r="A6" s="1" t="s">
        <v>352</v>
      </c>
      <c r="B6" s="1" t="s">
        <v>315</v>
      </c>
      <c r="C6" s="5">
        <v>30.61</v>
      </c>
      <c r="D6" s="5">
        <v>-0.21999999999999886</v>
      </c>
      <c r="E6" s="14">
        <v>-7.1000000000000004E-3</v>
      </c>
      <c r="F6" s="5">
        <v>30.83</v>
      </c>
      <c r="G6" s="5"/>
      <c r="H6" s="10" t="s">
        <v>95</v>
      </c>
      <c r="I6" s="5">
        <v>31.670500050000005</v>
      </c>
      <c r="J6" s="10">
        <v>-3.3485421711868635E-2</v>
      </c>
      <c r="K6" s="5">
        <v>32.198250049999999</v>
      </c>
      <c r="L6" s="10">
        <v>-4.9327216464672419E-2</v>
      </c>
      <c r="M6" s="5">
        <v>33.008583449999996</v>
      </c>
      <c r="N6" s="10">
        <v>-7.2665446356801944E-2</v>
      </c>
      <c r="O6" s="5">
        <v>37.200001</v>
      </c>
      <c r="P6" s="10">
        <v>-0.17715055975401728</v>
      </c>
      <c r="Q6" s="5">
        <v>22.709999</v>
      </c>
      <c r="R6" s="10">
        <v>0.34786443627760621</v>
      </c>
    </row>
    <row r="7" spans="1:20">
      <c r="A7" s="2" t="s">
        <v>353</v>
      </c>
      <c r="B7" s="2" t="s">
        <v>316</v>
      </c>
      <c r="C7" s="6">
        <v>59.47</v>
      </c>
      <c r="D7" s="6">
        <v>-0.53999799999999709</v>
      </c>
      <c r="E7" s="15">
        <v>-8.9999999999999993E-3</v>
      </c>
      <c r="F7" s="6">
        <v>60.009997999999996</v>
      </c>
      <c r="G7" s="6"/>
      <c r="H7" s="11" t="s">
        <v>95</v>
      </c>
      <c r="I7" s="6">
        <v>59.981999900000005</v>
      </c>
      <c r="J7" s="11">
        <v>-8.5358924486278465E-3</v>
      </c>
      <c r="K7" s="6">
        <v>59.567250000000016</v>
      </c>
      <c r="L7" s="11">
        <v>-1.6326085223007381E-3</v>
      </c>
      <c r="M7" s="6">
        <v>61.229833308333291</v>
      </c>
      <c r="N7" s="11">
        <v>-2.8741435559220818E-2</v>
      </c>
      <c r="O7" s="6">
        <v>66.889999000000003</v>
      </c>
      <c r="P7" s="11">
        <v>-0.11092837660230792</v>
      </c>
      <c r="Q7" s="6">
        <v>42.060001</v>
      </c>
      <c r="R7" s="11">
        <v>0.41393244379618532</v>
      </c>
    </row>
    <row r="8" spans="1:20">
      <c r="A8" s="1" t="s">
        <v>354</v>
      </c>
      <c r="B8" s="1" t="s">
        <v>317</v>
      </c>
      <c r="C8" s="5">
        <v>16.91</v>
      </c>
      <c r="D8" s="5">
        <v>-4.0001000000000175E-2</v>
      </c>
      <c r="E8" s="14">
        <v>-2.3999999999999998E-3</v>
      </c>
      <c r="F8" s="5">
        <v>16.950001</v>
      </c>
      <c r="G8" s="5"/>
      <c r="H8" s="10" t="s">
        <v>95</v>
      </c>
      <c r="I8" s="5">
        <v>16.58150015</v>
      </c>
      <c r="J8" s="10">
        <v>1.9811226187517184E-2</v>
      </c>
      <c r="K8" s="5">
        <v>16.849750100000005</v>
      </c>
      <c r="L8" s="10">
        <v>3.5757147519948074E-3</v>
      </c>
      <c r="M8" s="5">
        <v>16.004333375000002</v>
      </c>
      <c r="N8" s="10">
        <v>5.6588837771569978E-2</v>
      </c>
      <c r="O8" s="5">
        <v>18.260000000000002</v>
      </c>
      <c r="P8" s="10">
        <v>-7.3932092004381222E-2</v>
      </c>
      <c r="Q8" s="5">
        <v>10.02</v>
      </c>
      <c r="R8" s="10">
        <v>0.68762475049900207</v>
      </c>
    </row>
    <row r="9" spans="1:20">
      <c r="A9" s="2" t="s">
        <v>355</v>
      </c>
      <c r="B9" s="2" t="s">
        <v>318</v>
      </c>
      <c r="C9" s="6">
        <v>10.62</v>
      </c>
      <c r="D9" s="6">
        <v>-0.25</v>
      </c>
      <c r="E9" s="15">
        <v>-2.3E-2</v>
      </c>
      <c r="F9" s="6">
        <v>10.87</v>
      </c>
      <c r="G9" s="6"/>
      <c r="H9" s="11" t="s">
        <v>95</v>
      </c>
      <c r="I9" s="6">
        <v>11.115</v>
      </c>
      <c r="J9" s="11">
        <v>-4.4534412955465674E-2</v>
      </c>
      <c r="K9" s="6">
        <v>11.0875</v>
      </c>
      <c r="L9" s="11">
        <v>-4.2164599774520917E-2</v>
      </c>
      <c r="M9" s="6">
        <v>10.593249999999996</v>
      </c>
      <c r="N9" s="11">
        <v>2.5251929294600739E-3</v>
      </c>
      <c r="O9" s="6">
        <v>13.45</v>
      </c>
      <c r="P9" s="11">
        <v>-0.21040892193308547</v>
      </c>
      <c r="Q9" s="6">
        <v>7.46</v>
      </c>
      <c r="R9" s="11">
        <v>0.42359249329758697</v>
      </c>
    </row>
    <row r="10" spans="1:20">
      <c r="A10" s="1" t="s">
        <v>356</v>
      </c>
      <c r="B10" s="1" t="s">
        <v>319</v>
      </c>
      <c r="C10" s="5">
        <v>28</v>
      </c>
      <c r="D10" s="5">
        <v>0.25</v>
      </c>
      <c r="E10" s="14">
        <v>8.9999999999999993E-3</v>
      </c>
      <c r="F10" s="5">
        <v>27.75</v>
      </c>
      <c r="G10" s="5"/>
      <c r="H10" s="10" t="s">
        <v>95</v>
      </c>
      <c r="I10" s="5">
        <v>28.839999799999998</v>
      </c>
      <c r="J10" s="10">
        <v>-2.9126206859404924E-2</v>
      </c>
      <c r="K10" s="5">
        <v>28.518749924999991</v>
      </c>
      <c r="L10" s="10">
        <v>-1.8189784838543943E-2</v>
      </c>
      <c r="M10" s="5">
        <v>30.042083299999998</v>
      </c>
      <c r="N10" s="10">
        <v>-6.7974090864730385E-2</v>
      </c>
      <c r="O10" s="5">
        <v>37.700001</v>
      </c>
      <c r="P10" s="10">
        <v>-0.25729444940863533</v>
      </c>
      <c r="Q10" s="5">
        <v>26.24</v>
      </c>
      <c r="R10" s="10">
        <v>6.7073170731707377E-2</v>
      </c>
    </row>
    <row r="11" spans="1:20">
      <c r="A11" s="2" t="s">
        <v>357</v>
      </c>
      <c r="B11" s="2" t="s">
        <v>320</v>
      </c>
      <c r="C11" s="6">
        <v>39.409999999999997</v>
      </c>
      <c r="D11" s="6">
        <v>-0.11000000000000654</v>
      </c>
      <c r="E11" s="15">
        <v>-2.8E-3</v>
      </c>
      <c r="F11" s="6">
        <v>39.520000000000003</v>
      </c>
      <c r="G11" s="6"/>
      <c r="H11" s="11" t="s">
        <v>95</v>
      </c>
      <c r="I11" s="6">
        <v>39.92600015</v>
      </c>
      <c r="J11" s="11">
        <v>-1.2923912940475346E-2</v>
      </c>
      <c r="K11" s="6">
        <v>39.301500199999992</v>
      </c>
      <c r="L11" s="11">
        <v>2.760703775883E-3</v>
      </c>
      <c r="M11" s="6">
        <v>37.466083574999999</v>
      </c>
      <c r="N11" s="11">
        <v>5.1884697825665294E-2</v>
      </c>
      <c r="O11" s="6">
        <v>43.459998999999996</v>
      </c>
      <c r="P11" s="11">
        <v>-9.3189118573150487E-2</v>
      </c>
      <c r="Q11" s="6">
        <v>34.240002000000004</v>
      </c>
      <c r="R11" s="11">
        <v>0.15099292342331028</v>
      </c>
    </row>
    <row r="12" spans="1:20">
      <c r="A12" s="1" t="s">
        <v>358</v>
      </c>
      <c r="B12" s="1" t="s">
        <v>321</v>
      </c>
      <c r="C12" s="5">
        <v>48</v>
      </c>
      <c r="D12" s="5">
        <v>-0.68999900000000025</v>
      </c>
      <c r="E12" s="14">
        <v>-1.4200000000000001E-2</v>
      </c>
      <c r="F12" s="5">
        <v>48.689999</v>
      </c>
      <c r="G12" s="5"/>
      <c r="H12" s="10" t="s">
        <v>95</v>
      </c>
      <c r="I12" s="5">
        <v>47.8770004</v>
      </c>
      <c r="J12" s="10">
        <v>2.5690748996880508E-3</v>
      </c>
      <c r="K12" s="5">
        <v>47.3807501</v>
      </c>
      <c r="L12" s="10">
        <v>1.3069651676958172E-2</v>
      </c>
      <c r="M12" s="5">
        <v>48.019083391666662</v>
      </c>
      <c r="N12" s="10">
        <v>-3.9741266010862031E-4</v>
      </c>
      <c r="O12" s="5">
        <v>52.639998999999996</v>
      </c>
      <c r="P12" s="10">
        <v>-8.8145879334078137E-2</v>
      </c>
      <c r="Q12" s="5">
        <v>39.009997999999996</v>
      </c>
      <c r="R12" s="10">
        <v>0.23045379289688772</v>
      </c>
    </row>
    <row r="13" spans="1:20">
      <c r="A13" s="2" t="s">
        <v>359</v>
      </c>
      <c r="B13" s="2" t="s">
        <v>322</v>
      </c>
      <c r="C13" s="6">
        <v>13.77</v>
      </c>
      <c r="D13" s="6">
        <v>0.15000000000000036</v>
      </c>
      <c r="E13" s="15">
        <v>1.0999999999999999E-2</v>
      </c>
      <c r="F13" s="6">
        <v>13.62</v>
      </c>
      <c r="G13" s="6"/>
      <c r="H13" s="11" t="s">
        <v>95</v>
      </c>
      <c r="I13" s="6">
        <v>13.790500000000003</v>
      </c>
      <c r="J13" s="11">
        <v>-1.4865305826476938E-3</v>
      </c>
      <c r="K13" s="6">
        <v>13.623249999999999</v>
      </c>
      <c r="L13" s="11">
        <v>1.0772025764777204E-2</v>
      </c>
      <c r="M13" s="6">
        <v>12.101166666666666</v>
      </c>
      <c r="N13" s="11">
        <v>0.13790681339264821</v>
      </c>
      <c r="O13" s="6">
        <v>14.84</v>
      </c>
      <c r="P13" s="11">
        <v>-7.2102425876010789E-2</v>
      </c>
      <c r="Q13" s="6">
        <v>8.44</v>
      </c>
      <c r="R13" s="11">
        <v>0.63151658767772512</v>
      </c>
    </row>
    <row r="14" spans="1:20">
      <c r="A14" s="1" t="s">
        <v>360</v>
      </c>
      <c r="B14" s="1" t="s">
        <v>323</v>
      </c>
      <c r="C14" s="5">
        <v>27.89</v>
      </c>
      <c r="D14" s="5">
        <v>0.59000100000000089</v>
      </c>
      <c r="E14" s="14">
        <v>2.1600000000000001E-2</v>
      </c>
      <c r="F14" s="5">
        <v>27.299999</v>
      </c>
      <c r="G14" s="5"/>
      <c r="H14" s="10" t="s">
        <v>95</v>
      </c>
      <c r="I14" s="5">
        <v>27.906500000000001</v>
      </c>
      <c r="J14" s="10">
        <v>-5.9126010069343593E-4</v>
      </c>
      <c r="K14" s="5">
        <v>28.406249899999988</v>
      </c>
      <c r="L14" s="10">
        <v>-1.817381392536388E-2</v>
      </c>
      <c r="M14" s="5">
        <v>25.768749933333329</v>
      </c>
      <c r="N14" s="10">
        <v>8.2318702775826758E-2</v>
      </c>
      <c r="O14" s="5">
        <v>31.299999</v>
      </c>
      <c r="P14" s="10">
        <v>-0.1089456584327686</v>
      </c>
      <c r="Q14" s="5">
        <v>17.450001</v>
      </c>
      <c r="R14" s="10">
        <v>0.59828071070024591</v>
      </c>
    </row>
    <row r="15" spans="1:20">
      <c r="A15" s="2" t="s">
        <v>361</v>
      </c>
      <c r="B15" s="2" t="s">
        <v>324</v>
      </c>
      <c r="C15" s="6">
        <v>53.27</v>
      </c>
      <c r="D15" s="6">
        <v>0.75</v>
      </c>
      <c r="E15" s="15">
        <v>1.43E-2</v>
      </c>
      <c r="F15" s="6">
        <v>52.52</v>
      </c>
      <c r="G15" s="6"/>
      <c r="H15" s="11" t="s">
        <v>95</v>
      </c>
      <c r="I15" s="6">
        <v>49.664500150000002</v>
      </c>
      <c r="J15" s="11">
        <v>7.2597123480764525E-2</v>
      </c>
      <c r="K15" s="6">
        <v>50.428249974999993</v>
      </c>
      <c r="L15" s="11">
        <v>5.6352342712840953E-2</v>
      </c>
      <c r="M15" s="6">
        <v>47.941333374999999</v>
      </c>
      <c r="N15" s="11">
        <v>0.11114973760364255</v>
      </c>
      <c r="O15" s="6">
        <v>62.220001000000003</v>
      </c>
      <c r="P15" s="11">
        <v>-0.14384443677524206</v>
      </c>
      <c r="Q15" s="6">
        <v>41.669998</v>
      </c>
      <c r="R15" s="11">
        <v>0.27837779113884298</v>
      </c>
    </row>
    <row r="16" spans="1:20">
      <c r="A16" s="1" t="s">
        <v>19</v>
      </c>
      <c r="B16" s="1" t="s">
        <v>59</v>
      </c>
      <c r="C16" s="5">
        <v>16.079999999999998</v>
      </c>
      <c r="D16" s="5">
        <v>0.11999999999999744</v>
      </c>
      <c r="E16" s="14">
        <v>7.4999999999999997E-3</v>
      </c>
      <c r="F16" s="5">
        <v>15.96</v>
      </c>
      <c r="G16" s="5"/>
      <c r="H16" s="10" t="s">
        <v>95</v>
      </c>
      <c r="I16" s="5">
        <v>16.693999999999999</v>
      </c>
      <c r="J16" s="10">
        <v>-3.6779681322630986E-2</v>
      </c>
      <c r="K16" s="5">
        <v>18.020749900000006</v>
      </c>
      <c r="L16" s="10">
        <v>-0.10769529074924933</v>
      </c>
      <c r="M16" s="5">
        <v>17.821333274999997</v>
      </c>
      <c r="N16" s="10">
        <v>-9.7710606054529303E-2</v>
      </c>
      <c r="O16" s="5">
        <v>20.85</v>
      </c>
      <c r="P16" s="10">
        <v>-0.2287769784172663</v>
      </c>
      <c r="Q16" s="5">
        <v>11.48</v>
      </c>
      <c r="R16" s="10">
        <v>0.40069686411149807</v>
      </c>
    </row>
    <row r="17" spans="1:18">
      <c r="A17" s="2" t="s">
        <v>227</v>
      </c>
      <c r="B17" s="2" t="s">
        <v>241</v>
      </c>
      <c r="C17" s="6">
        <v>15.19</v>
      </c>
      <c r="D17" s="6">
        <v>-0.27000000000000135</v>
      </c>
      <c r="E17" s="15">
        <v>-1.7500000000000002E-2</v>
      </c>
      <c r="F17" s="6">
        <v>15.46</v>
      </c>
      <c r="G17" s="6"/>
      <c r="H17" s="11" t="s">
        <v>95</v>
      </c>
      <c r="I17" s="6">
        <v>15.237</v>
      </c>
      <c r="J17" s="11">
        <v>-3.0845967053881873E-3</v>
      </c>
      <c r="K17" s="6">
        <v>15.294999999999998</v>
      </c>
      <c r="L17" s="11">
        <v>-6.8649885583522696E-3</v>
      </c>
      <c r="M17" s="6">
        <v>15.40449999166667</v>
      </c>
      <c r="N17" s="11">
        <v>-1.3924502046980258E-2</v>
      </c>
      <c r="O17" s="6">
        <v>16.049999</v>
      </c>
      <c r="P17" s="11">
        <v>-5.3582495550311249E-2</v>
      </c>
      <c r="Q17" s="6">
        <v>13.81</v>
      </c>
      <c r="R17" s="11">
        <v>9.9927588703837777E-2</v>
      </c>
    </row>
    <row r="18" spans="1:18">
      <c r="A18" s="1" t="s">
        <v>362</v>
      </c>
      <c r="B18" s="1" t="s">
        <v>325</v>
      </c>
      <c r="C18" s="5">
        <v>19.260000000000002</v>
      </c>
      <c r="D18" s="5">
        <v>5.9999000000001246E-2</v>
      </c>
      <c r="E18" s="14">
        <v>3.0999999999999999E-3</v>
      </c>
      <c r="F18" s="5">
        <v>19.200001</v>
      </c>
      <c r="G18" s="5"/>
      <c r="H18" s="10" t="s">
        <v>95</v>
      </c>
      <c r="I18" s="5">
        <v>19.10150015</v>
      </c>
      <c r="J18" s="10">
        <v>8.2977697434931663E-3</v>
      </c>
      <c r="K18" s="5">
        <v>19.143750000000008</v>
      </c>
      <c r="L18" s="10">
        <v>6.0724779627812087E-3</v>
      </c>
      <c r="M18" s="5">
        <v>18.388750016666666</v>
      </c>
      <c r="N18" s="10">
        <v>4.7379510980554818E-2</v>
      </c>
      <c r="O18" s="5">
        <v>19.469998999999998</v>
      </c>
      <c r="P18" s="10">
        <v>-1.0785773538046772E-2</v>
      </c>
      <c r="Q18" s="5">
        <v>15.07</v>
      </c>
      <c r="R18" s="10">
        <v>0.27803583278035848</v>
      </c>
    </row>
    <row r="19" spans="1:18">
      <c r="A19" s="2" t="s">
        <v>363</v>
      </c>
      <c r="B19" s="2" t="s">
        <v>326</v>
      </c>
      <c r="C19" s="6">
        <v>39.25</v>
      </c>
      <c r="D19" s="6">
        <v>-1.2799989999999966</v>
      </c>
      <c r="E19" s="15">
        <v>-3.1600000000000003E-2</v>
      </c>
      <c r="F19" s="6">
        <v>40.529998999999997</v>
      </c>
      <c r="G19" s="6"/>
      <c r="H19" s="11" t="s">
        <v>95</v>
      </c>
      <c r="I19" s="6">
        <v>41.051000149999993</v>
      </c>
      <c r="J19" s="11">
        <v>-4.3872259955157089E-2</v>
      </c>
      <c r="K19" s="6">
        <v>41.691500175000002</v>
      </c>
      <c r="L19" s="11">
        <v>-5.8561101537527027E-2</v>
      </c>
      <c r="M19" s="6">
        <v>43.973666733333339</v>
      </c>
      <c r="N19" s="11">
        <v>-0.10742035141119266</v>
      </c>
      <c r="O19" s="6">
        <v>49.009997999999996</v>
      </c>
      <c r="P19" s="11">
        <v>-0.19914299935290747</v>
      </c>
      <c r="Q19" s="6">
        <v>30.040001</v>
      </c>
      <c r="R19" s="11">
        <v>0.30659116822266408</v>
      </c>
    </row>
    <row r="20" spans="1:18">
      <c r="A20" s="1" t="s">
        <v>364</v>
      </c>
      <c r="B20" s="1" t="s">
        <v>327</v>
      </c>
      <c r="C20" s="5">
        <v>36.46</v>
      </c>
      <c r="D20" s="5">
        <v>-0.8199989999999957</v>
      </c>
      <c r="E20" s="14">
        <v>-2.1999999999999999E-2</v>
      </c>
      <c r="F20" s="5">
        <v>37.279998999999997</v>
      </c>
      <c r="G20" s="5"/>
      <c r="H20" s="10" t="s">
        <v>95</v>
      </c>
      <c r="I20" s="5">
        <v>37.182999449999997</v>
      </c>
      <c r="J20" s="10">
        <v>-1.9444355234768396E-2</v>
      </c>
      <c r="K20" s="5">
        <v>37.61299970000001</v>
      </c>
      <c r="L20" s="10">
        <v>-3.0654287326091878E-2</v>
      </c>
      <c r="M20" s="5">
        <v>35.922416600000005</v>
      </c>
      <c r="N20" s="10">
        <v>1.4965123476687214E-2</v>
      </c>
      <c r="O20" s="5">
        <v>40.150002000000001</v>
      </c>
      <c r="P20" s="10">
        <v>-9.1905400154151939E-2</v>
      </c>
      <c r="Q20" s="5">
        <v>25.440001000000002</v>
      </c>
      <c r="R20" s="10">
        <v>0.43317604429339429</v>
      </c>
    </row>
    <row r="21" spans="1:18">
      <c r="A21" s="2" t="s">
        <v>365</v>
      </c>
      <c r="B21" s="2" t="s">
        <v>328</v>
      </c>
      <c r="C21" s="6">
        <v>12.35</v>
      </c>
      <c r="D21" s="6">
        <v>-0.12000000000000099</v>
      </c>
      <c r="E21" s="15">
        <v>-9.5999999999999992E-3</v>
      </c>
      <c r="F21" s="6">
        <v>12.47</v>
      </c>
      <c r="G21" s="6"/>
      <c r="H21" s="11" t="s">
        <v>95</v>
      </c>
      <c r="I21" s="6">
        <v>13.017500000000002</v>
      </c>
      <c r="J21" s="11">
        <v>-5.1277126944497931E-2</v>
      </c>
      <c r="K21" s="6">
        <v>13.023500000000002</v>
      </c>
      <c r="L21" s="11">
        <v>-5.1714208930011329E-2</v>
      </c>
      <c r="M21" s="6">
        <v>14.005666658333331</v>
      </c>
      <c r="N21" s="11">
        <v>-0.118214055690681</v>
      </c>
      <c r="O21" s="6">
        <v>17.02</v>
      </c>
      <c r="P21" s="11">
        <v>-0.27438307873090484</v>
      </c>
      <c r="Q21" s="6">
        <v>9.52</v>
      </c>
      <c r="R21" s="11">
        <v>0.29726890756302526</v>
      </c>
    </row>
    <row r="22" spans="1:18">
      <c r="A22" s="1" t="s">
        <v>2</v>
      </c>
      <c r="B22" s="1" t="s">
        <v>42</v>
      </c>
      <c r="C22" s="5">
        <v>2.2799999999999998</v>
      </c>
      <c r="D22" s="5">
        <v>0</v>
      </c>
      <c r="E22" s="14">
        <v>0</v>
      </c>
      <c r="F22" s="5">
        <v>2.2799999999999998</v>
      </c>
      <c r="G22" s="5">
        <v>1.5</v>
      </c>
      <c r="H22" s="10">
        <v>0.5199999999999998</v>
      </c>
      <c r="I22" s="5">
        <v>2.4305000000000003</v>
      </c>
      <c r="J22" s="10">
        <v>-6.1921415346636755E-2</v>
      </c>
      <c r="K22" s="5">
        <v>2.5527499999999996</v>
      </c>
      <c r="L22" s="10">
        <v>-0.10684555871119372</v>
      </c>
      <c r="M22" s="5">
        <v>3.110583333333333</v>
      </c>
      <c r="N22" s="10">
        <v>-0.26701851206901173</v>
      </c>
      <c r="O22" s="5">
        <v>4.4000000000000004</v>
      </c>
      <c r="P22" s="10">
        <v>-0.48181818181818192</v>
      </c>
      <c r="Q22" s="5">
        <v>1.51</v>
      </c>
      <c r="R22" s="10">
        <v>0.50993377483443703</v>
      </c>
    </row>
    <row r="23" spans="1:18">
      <c r="A23" s="2" t="s">
        <v>3</v>
      </c>
      <c r="B23" s="2" t="s">
        <v>43</v>
      </c>
      <c r="C23" s="6">
        <v>2.38</v>
      </c>
      <c r="D23" s="6">
        <v>0</v>
      </c>
      <c r="E23" s="15">
        <v>0</v>
      </c>
      <c r="F23" s="6">
        <v>2.38</v>
      </c>
      <c r="G23" s="6">
        <v>1.5</v>
      </c>
      <c r="H23" s="11">
        <v>0.58666666666666667</v>
      </c>
      <c r="I23" s="6">
        <v>2.5410000000000004</v>
      </c>
      <c r="J23" s="11">
        <v>-6.3360881542699921E-2</v>
      </c>
      <c r="K23" s="6">
        <v>2.6869999999999994</v>
      </c>
      <c r="L23" s="11">
        <v>-0.11425381466319295</v>
      </c>
      <c r="M23" s="6">
        <v>3.2389999999999999</v>
      </c>
      <c r="N23" s="11">
        <v>-0.26520531028095096</v>
      </c>
      <c r="O23" s="6">
        <v>4.49</v>
      </c>
      <c r="P23" s="11">
        <v>-0.46993318485523394</v>
      </c>
      <c r="Q23" s="6">
        <v>1.64</v>
      </c>
      <c r="R23" s="11">
        <v>0.45121951219512191</v>
      </c>
    </row>
    <row r="24" spans="1:18">
      <c r="A24" s="1" t="s">
        <v>366</v>
      </c>
      <c r="B24" s="1" t="s">
        <v>329</v>
      </c>
      <c r="C24" s="5">
        <v>37.619999999999997</v>
      </c>
      <c r="D24" s="5">
        <v>0.649998999999994</v>
      </c>
      <c r="E24" s="14">
        <v>1.7600000000000001E-2</v>
      </c>
      <c r="F24" s="5">
        <v>36.970001000000003</v>
      </c>
      <c r="G24" s="5"/>
      <c r="H24" s="10" t="s">
        <v>95</v>
      </c>
      <c r="I24" s="5">
        <v>36.861500450000008</v>
      </c>
      <c r="J24" s="10">
        <v>2.0577012350021961E-2</v>
      </c>
      <c r="K24" s="5">
        <v>36.859750274999996</v>
      </c>
      <c r="L24" s="10">
        <v>2.062547139706572E-2</v>
      </c>
      <c r="M24" s="5">
        <v>35.777666841666679</v>
      </c>
      <c r="N24" s="10">
        <v>5.1493943595777969E-2</v>
      </c>
      <c r="O24" s="5">
        <v>37.900002000000001</v>
      </c>
      <c r="P24" s="10">
        <v>-7.387915177418769E-3</v>
      </c>
      <c r="Q24" s="5">
        <v>28.309998999999998</v>
      </c>
      <c r="R24" s="10">
        <v>0.32885910734225043</v>
      </c>
    </row>
    <row r="25" spans="1:18">
      <c r="A25" s="2" t="s">
        <v>367</v>
      </c>
      <c r="B25" s="2" t="s">
        <v>330</v>
      </c>
      <c r="C25" s="6">
        <v>3.98</v>
      </c>
      <c r="D25" s="6">
        <v>-6.999999999999984E-2</v>
      </c>
      <c r="E25" s="15">
        <v>-1.7299999999999999E-2</v>
      </c>
      <c r="F25" s="6">
        <v>4.05</v>
      </c>
      <c r="G25" s="6"/>
      <c r="H25" s="11" t="s">
        <v>95</v>
      </c>
      <c r="I25" s="6">
        <v>4.0465</v>
      </c>
      <c r="J25" s="11">
        <v>-1.6433955269986367E-2</v>
      </c>
      <c r="K25" s="6">
        <v>4.0424999999999995</v>
      </c>
      <c r="L25" s="11">
        <v>-1.5460729746443969E-2</v>
      </c>
      <c r="M25" s="6">
        <v>3.9970000000000008</v>
      </c>
      <c r="N25" s="11">
        <v>-4.2531898924195177E-3</v>
      </c>
      <c r="O25" s="6">
        <v>5.22</v>
      </c>
      <c r="P25" s="11">
        <v>-0.23754789272030652</v>
      </c>
      <c r="Q25" s="6">
        <v>2.35</v>
      </c>
      <c r="R25" s="11">
        <v>0.69361702127659575</v>
      </c>
    </row>
    <row r="26" spans="1:18">
      <c r="A26" s="1" t="s">
        <v>368</v>
      </c>
      <c r="B26" s="1" t="s">
        <v>331</v>
      </c>
      <c r="C26" s="5">
        <v>8.8800000000000008</v>
      </c>
      <c r="D26" s="5">
        <v>0.13000000000000078</v>
      </c>
      <c r="E26" s="14">
        <v>1.49E-2</v>
      </c>
      <c r="F26" s="5">
        <v>8.75</v>
      </c>
      <c r="G26" s="5"/>
      <c r="H26" s="10" t="s">
        <v>95</v>
      </c>
      <c r="I26" s="5">
        <v>8.5734999999999992</v>
      </c>
      <c r="J26" s="10">
        <v>3.5749693823992734E-2</v>
      </c>
      <c r="K26" s="5">
        <v>8.5977499999999996</v>
      </c>
      <c r="L26" s="10">
        <v>3.2828356255997448E-2</v>
      </c>
      <c r="M26" s="5">
        <v>9.4725000000000019</v>
      </c>
      <c r="N26" s="10">
        <v>-6.2549485352335843E-2</v>
      </c>
      <c r="O26" s="5">
        <v>17.149999999999999</v>
      </c>
      <c r="P26" s="10">
        <v>-0.4822157434402331</v>
      </c>
      <c r="Q26" s="5">
        <v>7.24</v>
      </c>
      <c r="R26" s="10">
        <v>0.22651933701657456</v>
      </c>
    </row>
    <row r="27" spans="1:18">
      <c r="A27" s="2" t="s">
        <v>369</v>
      </c>
      <c r="B27" s="2" t="s">
        <v>332</v>
      </c>
      <c r="C27" s="6">
        <v>3.78</v>
      </c>
      <c r="D27" s="6">
        <v>2.9999999999999805E-2</v>
      </c>
      <c r="E27" s="15">
        <v>8.0000000000000002E-3</v>
      </c>
      <c r="F27" s="6">
        <v>3.75</v>
      </c>
      <c r="G27" s="6"/>
      <c r="H27" s="11" t="s">
        <v>95</v>
      </c>
      <c r="I27" s="6">
        <v>3.8420000000000001</v>
      </c>
      <c r="J27" s="11">
        <v>-1.6137428422696609E-2</v>
      </c>
      <c r="K27" s="6">
        <v>4.0122500000000016</v>
      </c>
      <c r="L27" s="11">
        <v>-5.7885226493862962E-2</v>
      </c>
      <c r="M27" s="6">
        <v>3.8615833333333343</v>
      </c>
      <c r="N27" s="11">
        <v>-2.1126912535877174E-2</v>
      </c>
      <c r="O27" s="6">
        <v>5.89</v>
      </c>
      <c r="P27" s="11">
        <v>-0.3582342954159593</v>
      </c>
      <c r="Q27" s="6">
        <v>2.98</v>
      </c>
      <c r="R27" s="11">
        <v>0.26845637583892601</v>
      </c>
    </row>
    <row r="28" spans="1:18">
      <c r="A28" s="1" t="s">
        <v>370</v>
      </c>
      <c r="B28" s="1" t="s">
        <v>333</v>
      </c>
      <c r="C28" s="5">
        <v>40.840000000000003</v>
      </c>
      <c r="D28" s="5">
        <v>-0.43999899999999315</v>
      </c>
      <c r="E28" s="14">
        <v>-1.0699999999999999E-2</v>
      </c>
      <c r="F28" s="5">
        <v>41.279998999999997</v>
      </c>
      <c r="G28" s="5"/>
      <c r="H28" s="10" t="s">
        <v>95</v>
      </c>
      <c r="I28" s="5">
        <v>42.0224999</v>
      </c>
      <c r="J28" s="10">
        <v>-2.8139684759687422E-2</v>
      </c>
      <c r="K28" s="5">
        <v>41.842000100000021</v>
      </c>
      <c r="L28" s="10">
        <v>-2.394723238863572E-2</v>
      </c>
      <c r="M28" s="5">
        <v>39.913416625000004</v>
      </c>
      <c r="N28" s="10">
        <v>2.3214834843771071E-2</v>
      </c>
      <c r="O28" s="5">
        <v>45.490002000000004</v>
      </c>
      <c r="P28" s="10">
        <v>-0.10222030766232981</v>
      </c>
      <c r="Q28" s="5">
        <v>37.389998999999996</v>
      </c>
      <c r="R28" s="10">
        <v>9.2270689817349538E-2</v>
      </c>
    </row>
    <row r="29" spans="1:18">
      <c r="A29" s="2" t="s">
        <v>371</v>
      </c>
      <c r="B29" s="2" t="s">
        <v>334</v>
      </c>
      <c r="C29" s="6">
        <v>31.5</v>
      </c>
      <c r="D29" s="6">
        <v>-3.0001000000002165E-2</v>
      </c>
      <c r="E29" s="15">
        <v>-1E-3</v>
      </c>
      <c r="F29" s="6">
        <v>31.530001000000002</v>
      </c>
      <c r="G29" s="6"/>
      <c r="H29" s="11" t="s">
        <v>95</v>
      </c>
      <c r="I29" s="6">
        <v>31.563499849999992</v>
      </c>
      <c r="J29" s="11">
        <v>-2.0118127046038214E-3</v>
      </c>
      <c r="K29" s="6">
        <v>31.602499900000005</v>
      </c>
      <c r="L29" s="11">
        <v>-3.2434111328011328E-3</v>
      </c>
      <c r="M29" s="6">
        <v>31.115083316666659</v>
      </c>
      <c r="N29" s="11">
        <v>1.2370742492184172E-2</v>
      </c>
      <c r="O29" s="6">
        <v>31.75</v>
      </c>
      <c r="P29" s="11">
        <v>-7.8740157480314821E-3</v>
      </c>
      <c r="Q29" s="6">
        <v>29.34</v>
      </c>
      <c r="R29" s="11">
        <v>7.361963190184051E-2</v>
      </c>
    </row>
    <row r="30" spans="1:18">
      <c r="A30" s="1" t="s">
        <v>372</v>
      </c>
      <c r="B30" s="1" t="s">
        <v>335</v>
      </c>
      <c r="C30" s="5">
        <v>47.43</v>
      </c>
      <c r="D30" s="5">
        <v>-1.0999989999999968</v>
      </c>
      <c r="E30" s="14">
        <v>-2.2700000000000001E-2</v>
      </c>
      <c r="F30" s="5">
        <v>48.529998999999997</v>
      </c>
      <c r="G30" s="5"/>
      <c r="H30" s="10" t="s">
        <v>95</v>
      </c>
      <c r="I30" s="5">
        <v>49.296000049999996</v>
      </c>
      <c r="J30" s="10">
        <v>-3.7852970790882567E-2</v>
      </c>
      <c r="K30" s="5">
        <v>50.809999899999994</v>
      </c>
      <c r="L30" s="10">
        <v>-6.6522336285223971E-2</v>
      </c>
      <c r="M30" s="5">
        <v>52.234749966666669</v>
      </c>
      <c r="N30" s="10">
        <v>-9.1983784161555171E-2</v>
      </c>
      <c r="O30" s="5">
        <v>58.209998999999996</v>
      </c>
      <c r="P30" s="10">
        <v>-0.18519153384627263</v>
      </c>
      <c r="Q30" s="5">
        <v>38.689999</v>
      </c>
      <c r="R30" s="10">
        <v>0.22589819658563437</v>
      </c>
    </row>
    <row r="31" spans="1:18">
      <c r="A31" s="2" t="s">
        <v>373</v>
      </c>
      <c r="B31" s="2" t="s">
        <v>336</v>
      </c>
      <c r="C31" s="6">
        <v>77.67</v>
      </c>
      <c r="D31" s="6">
        <v>-0.34000199999999836</v>
      </c>
      <c r="E31" s="15">
        <v>-4.4000000000000003E-3</v>
      </c>
      <c r="F31" s="6">
        <v>78.010002</v>
      </c>
      <c r="G31" s="6"/>
      <c r="H31" s="11" t="s">
        <v>95</v>
      </c>
      <c r="I31" s="6">
        <v>75.758499999999998</v>
      </c>
      <c r="J31" s="11">
        <v>2.5231492175795456E-2</v>
      </c>
      <c r="K31" s="6">
        <v>76.463249575000006</v>
      </c>
      <c r="L31" s="11">
        <v>1.5782097042793541E-2</v>
      </c>
      <c r="M31" s="6">
        <v>77.891583125000025</v>
      </c>
      <c r="N31" s="11">
        <v>-2.8447634020279944E-3</v>
      </c>
      <c r="O31" s="6">
        <v>82.510002</v>
      </c>
      <c r="P31" s="11">
        <v>-5.8659579235011972E-2</v>
      </c>
      <c r="Q31" s="6">
        <v>62.150002000000001</v>
      </c>
      <c r="R31" s="11">
        <v>0.24971838295355164</v>
      </c>
    </row>
    <row r="32" spans="1:18">
      <c r="A32" s="1" t="s">
        <v>374</v>
      </c>
      <c r="B32" s="1" t="s">
        <v>337</v>
      </c>
      <c r="C32" s="5">
        <v>12.1</v>
      </c>
      <c r="D32" s="5">
        <v>0</v>
      </c>
      <c r="E32" s="14">
        <v>0</v>
      </c>
      <c r="F32" s="5">
        <v>12.1</v>
      </c>
      <c r="G32" s="5"/>
      <c r="H32" s="10" t="s">
        <v>95</v>
      </c>
      <c r="I32" s="5">
        <v>11.897499999999999</v>
      </c>
      <c r="J32" s="10">
        <v>1.7020382433284409E-2</v>
      </c>
      <c r="K32" s="5">
        <v>11.932500000000005</v>
      </c>
      <c r="L32" s="10">
        <v>1.4037293107060034E-2</v>
      </c>
      <c r="M32" s="5">
        <v>12.339583333333332</v>
      </c>
      <c r="N32" s="10">
        <v>-1.9415836569306011E-2</v>
      </c>
      <c r="O32" s="5">
        <v>14.91</v>
      </c>
      <c r="P32" s="10">
        <v>-0.18846411804158281</v>
      </c>
      <c r="Q32" s="5">
        <v>10.64</v>
      </c>
      <c r="R32" s="10">
        <v>0.13721804511278179</v>
      </c>
    </row>
    <row r="33" spans="1:18">
      <c r="A33" s="2" t="s">
        <v>375</v>
      </c>
      <c r="B33" s="2" t="s">
        <v>338</v>
      </c>
      <c r="C33" s="6">
        <v>25.45</v>
      </c>
      <c r="D33" s="6">
        <v>0.24000099999999946</v>
      </c>
      <c r="E33" s="15">
        <v>9.4999999999999998E-3</v>
      </c>
      <c r="F33" s="6">
        <v>25.209999</v>
      </c>
      <c r="G33" s="6"/>
      <c r="H33" s="11" t="s">
        <v>95</v>
      </c>
      <c r="I33" s="6">
        <v>25.933500050000003</v>
      </c>
      <c r="J33" s="11">
        <v>-1.8643840941940382E-2</v>
      </c>
      <c r="K33" s="6">
        <v>26.201250074999997</v>
      </c>
      <c r="L33" s="11">
        <v>-2.8672298949461439E-2</v>
      </c>
      <c r="M33" s="6">
        <v>23.697666649999988</v>
      </c>
      <c r="N33" s="11">
        <v>7.3945396223219051E-2</v>
      </c>
      <c r="O33" s="6">
        <v>27.200001</v>
      </c>
      <c r="P33" s="11">
        <v>-6.4338269693446026E-2</v>
      </c>
      <c r="Q33" s="6">
        <v>15.65</v>
      </c>
      <c r="R33" s="11">
        <v>0.62619808306709257</v>
      </c>
    </row>
    <row r="34" spans="1:18">
      <c r="A34" s="1" t="s">
        <v>376</v>
      </c>
      <c r="B34" s="1" t="s">
        <v>339</v>
      </c>
      <c r="C34" s="5">
        <v>8.6999999999999993</v>
      </c>
      <c r="D34" s="5">
        <v>-2.000000000000135E-2</v>
      </c>
      <c r="E34" s="14">
        <v>-2.3E-3</v>
      </c>
      <c r="F34" s="5">
        <v>8.7200000000000006</v>
      </c>
      <c r="G34" s="5"/>
      <c r="H34" s="10" t="s">
        <v>95</v>
      </c>
      <c r="I34" s="5">
        <v>8.5259999999999998</v>
      </c>
      <c r="J34" s="10">
        <v>2.0408163265306145E-2</v>
      </c>
      <c r="K34" s="5">
        <v>9.1285000000000025</v>
      </c>
      <c r="L34" s="10">
        <v>-4.6940899381059609E-2</v>
      </c>
      <c r="M34" s="5">
        <v>9.7993333333333386</v>
      </c>
      <c r="N34" s="10">
        <v>-0.11218450234709898</v>
      </c>
      <c r="O34" s="5">
        <v>11.49</v>
      </c>
      <c r="P34" s="10">
        <v>-0.24281984334203666</v>
      </c>
      <c r="Q34" s="5">
        <v>6.41</v>
      </c>
      <c r="R34" s="10">
        <v>0.3572542901716067</v>
      </c>
    </row>
    <row r="35" spans="1:18">
      <c r="A35" s="2" t="s">
        <v>377</v>
      </c>
      <c r="B35" s="2" t="s">
        <v>340</v>
      </c>
      <c r="C35" s="6">
        <v>3.54</v>
      </c>
      <c r="D35" s="6">
        <v>0</v>
      </c>
      <c r="E35" s="15">
        <v>0</v>
      </c>
      <c r="F35" s="6">
        <v>3.54</v>
      </c>
      <c r="G35" s="6"/>
      <c r="H35" s="11" t="s">
        <v>95</v>
      </c>
      <c r="I35" s="6">
        <v>3.6399999999999997</v>
      </c>
      <c r="J35" s="11">
        <v>-2.7472527472527375E-2</v>
      </c>
      <c r="K35" s="6">
        <v>3.6910000000000003</v>
      </c>
      <c r="L35" s="11">
        <v>-4.0910322405852129E-2</v>
      </c>
      <c r="M35" s="6">
        <v>3.639083333333335</v>
      </c>
      <c r="N35" s="11">
        <v>-2.7227552726190596E-2</v>
      </c>
      <c r="O35" s="6">
        <v>3.86</v>
      </c>
      <c r="P35" s="11">
        <v>-8.2901554404145039E-2</v>
      </c>
      <c r="Q35" s="6">
        <v>2.81</v>
      </c>
      <c r="R35" s="11">
        <v>0.25978647686832734</v>
      </c>
    </row>
    <row r="36" spans="1:18">
      <c r="A36" s="1" t="s">
        <v>22</v>
      </c>
      <c r="B36" s="1" t="s">
        <v>62</v>
      </c>
      <c r="C36" s="5">
        <v>6.12</v>
      </c>
      <c r="D36" s="5">
        <v>0.12000000000000011</v>
      </c>
      <c r="E36" s="14">
        <v>0.02</v>
      </c>
      <c r="F36" s="5">
        <v>6</v>
      </c>
      <c r="G36" s="5"/>
      <c r="H36" s="10" t="s">
        <v>95</v>
      </c>
      <c r="I36" s="5">
        <v>6.2335000000000003</v>
      </c>
      <c r="J36" s="10">
        <v>-1.8208069302959817E-2</v>
      </c>
      <c r="K36" s="5">
        <v>6.4600000000000009</v>
      </c>
      <c r="L36" s="10">
        <v>-5.2631578947368585E-2</v>
      </c>
      <c r="M36" s="5">
        <v>6.25566666666667</v>
      </c>
      <c r="N36" s="10">
        <v>-2.1687003783237069E-2</v>
      </c>
      <c r="O36" s="5">
        <v>6.92</v>
      </c>
      <c r="P36" s="10">
        <v>-0.11560693641618491</v>
      </c>
      <c r="Q36" s="5">
        <v>4.28</v>
      </c>
      <c r="R36" s="10">
        <v>0.42990654205607481</v>
      </c>
    </row>
    <row r="37" spans="1:18">
      <c r="A37" s="2" t="s">
        <v>378</v>
      </c>
      <c r="B37" s="2" t="s">
        <v>341</v>
      </c>
      <c r="C37" s="6">
        <v>23.91</v>
      </c>
      <c r="D37" s="6">
        <v>0.28000100000000216</v>
      </c>
      <c r="E37" s="15">
        <v>1.18E-2</v>
      </c>
      <c r="F37" s="6">
        <v>23.629998999999998</v>
      </c>
      <c r="G37" s="6"/>
      <c r="H37" s="11" t="s">
        <v>95</v>
      </c>
      <c r="I37" s="6">
        <v>24.67599985</v>
      </c>
      <c r="J37" s="11">
        <v>-3.1042302425690727E-2</v>
      </c>
      <c r="K37" s="6">
        <v>25.757249875000003</v>
      </c>
      <c r="L37" s="11">
        <v>-7.1717667218538894E-2</v>
      </c>
      <c r="M37" s="6">
        <v>27.604249991666666</v>
      </c>
      <c r="N37" s="11">
        <v>-0.13382902968861343</v>
      </c>
      <c r="O37" s="6">
        <v>32.200001</v>
      </c>
      <c r="P37" s="11">
        <v>-0.25745343920952057</v>
      </c>
      <c r="Q37" s="6">
        <v>10.62</v>
      </c>
      <c r="R37" s="11">
        <v>1.2514124293785311</v>
      </c>
    </row>
    <row r="38" spans="1:18">
      <c r="A38" s="1" t="s">
        <v>379</v>
      </c>
      <c r="B38" s="1" t="s">
        <v>342</v>
      </c>
      <c r="C38" s="5">
        <v>5.65</v>
      </c>
      <c r="D38" s="5">
        <v>-0.14999999999999947</v>
      </c>
      <c r="E38" s="14">
        <v>-2.5899999999999999E-2</v>
      </c>
      <c r="F38" s="5">
        <v>5.8</v>
      </c>
      <c r="G38" s="5"/>
      <c r="H38" s="10" t="s">
        <v>95</v>
      </c>
      <c r="I38" s="5">
        <v>5.4189999999999996</v>
      </c>
      <c r="J38" s="10">
        <v>4.2627791105370072E-2</v>
      </c>
      <c r="K38" s="5">
        <v>4.6382500000000002</v>
      </c>
      <c r="L38" s="10">
        <v>0.21813183851668194</v>
      </c>
      <c r="M38" s="5">
        <v>4.4498333333333324</v>
      </c>
      <c r="N38" s="10">
        <v>0.26971047604779241</v>
      </c>
      <c r="O38" s="5">
        <v>11.66</v>
      </c>
      <c r="P38" s="10">
        <v>-0.5154373927958833</v>
      </c>
      <c r="Q38" s="5">
        <v>3.3</v>
      </c>
      <c r="R38" s="10">
        <v>0.71212121212121238</v>
      </c>
    </row>
    <row r="39" spans="1:18">
      <c r="A39" s="2" t="s">
        <v>23</v>
      </c>
      <c r="B39" s="2" t="s">
        <v>63</v>
      </c>
      <c r="C39" s="6">
        <v>6.02</v>
      </c>
      <c r="D39" s="6">
        <v>1.9999999999999574E-2</v>
      </c>
      <c r="E39" s="15">
        <v>3.3E-3</v>
      </c>
      <c r="F39" s="6">
        <v>6</v>
      </c>
      <c r="G39" s="6"/>
      <c r="H39" s="11" t="s">
        <v>95</v>
      </c>
      <c r="I39" s="6">
        <v>6.1890000000000001</v>
      </c>
      <c r="J39" s="11">
        <v>-2.7306511552754986E-2</v>
      </c>
      <c r="K39" s="6">
        <v>6.3822500000000009</v>
      </c>
      <c r="L39" s="11">
        <v>-5.6758979983548286E-2</v>
      </c>
      <c r="M39" s="6">
        <v>6.0564999999999989</v>
      </c>
      <c r="N39" s="11">
        <v>-6.0265830099891504E-3</v>
      </c>
      <c r="O39" s="6">
        <v>6.76</v>
      </c>
      <c r="P39" s="11">
        <v>-0.10946745562130178</v>
      </c>
      <c r="Q39" s="6">
        <v>3.42</v>
      </c>
      <c r="R39" s="11">
        <v>0.76023391812865482</v>
      </c>
    </row>
    <row r="40" spans="1:18">
      <c r="A40" s="1" t="s">
        <v>380</v>
      </c>
      <c r="B40" s="1" t="s">
        <v>343</v>
      </c>
      <c r="C40" s="5">
        <v>4.51</v>
      </c>
      <c r="D40" s="5">
        <v>0.12000000000000011</v>
      </c>
      <c r="E40" s="14">
        <v>2.7300000000000001E-2</v>
      </c>
      <c r="F40" s="5">
        <v>4.3899999999999997</v>
      </c>
      <c r="G40" s="5"/>
      <c r="H40" s="10" t="s">
        <v>95</v>
      </c>
      <c r="I40" s="5">
        <v>4.6324999999999994</v>
      </c>
      <c r="J40" s="10">
        <v>-2.6443604964921708E-2</v>
      </c>
      <c r="K40" s="5">
        <v>4.8404999999999996</v>
      </c>
      <c r="L40" s="10">
        <v>-6.8278070447267858E-2</v>
      </c>
      <c r="M40" s="5">
        <v>4.7809999999999997</v>
      </c>
      <c r="N40" s="10">
        <v>-5.6682702363522242E-2</v>
      </c>
      <c r="O40" s="5">
        <v>8.7899999999999991</v>
      </c>
      <c r="P40" s="10">
        <v>-0.4869169510807736</v>
      </c>
      <c r="Q40" s="5">
        <v>3.88</v>
      </c>
      <c r="R40" s="10">
        <v>0.16237113402061842</v>
      </c>
    </row>
    <row r="41" spans="1:18">
      <c r="A41" s="2" t="s">
        <v>381</v>
      </c>
      <c r="B41" s="2" t="s">
        <v>344</v>
      </c>
      <c r="C41" s="6">
        <v>32.21</v>
      </c>
      <c r="D41" s="6">
        <v>0.21000000000000085</v>
      </c>
      <c r="E41" s="15">
        <v>6.6E-3</v>
      </c>
      <c r="F41" s="6">
        <v>32</v>
      </c>
      <c r="G41" s="6"/>
      <c r="H41" s="11" t="s">
        <v>95</v>
      </c>
      <c r="I41" s="6">
        <v>31.870000249999997</v>
      </c>
      <c r="J41" s="11">
        <v>1.0668332203731534E-2</v>
      </c>
      <c r="K41" s="6">
        <v>31.199000099999999</v>
      </c>
      <c r="L41" s="11">
        <v>3.2404881462851698E-2</v>
      </c>
      <c r="M41" s="6">
        <v>30.145083383333322</v>
      </c>
      <c r="N41" s="11">
        <v>6.8499283628066898E-2</v>
      </c>
      <c r="O41" s="6">
        <v>32.18</v>
      </c>
      <c r="P41" s="11">
        <v>9.3225605966451575E-4</v>
      </c>
      <c r="Q41" s="6">
        <v>23.290001</v>
      </c>
      <c r="R41" s="11">
        <v>0.38299693503662802</v>
      </c>
    </row>
    <row r="42" spans="1:18">
      <c r="A42" s="1" t="s">
        <v>96</v>
      </c>
      <c r="B42" s="1" t="s">
        <v>78</v>
      </c>
      <c r="C42" s="5">
        <v>51.21</v>
      </c>
      <c r="D42" s="5">
        <v>-1.2499989999999954</v>
      </c>
      <c r="E42" s="14">
        <v>-2.3800000000000002E-2</v>
      </c>
      <c r="F42" s="5">
        <v>52.459998999999996</v>
      </c>
      <c r="G42" s="5"/>
      <c r="H42" s="10" t="s">
        <v>95</v>
      </c>
      <c r="I42" s="5">
        <v>52.824499500000002</v>
      </c>
      <c r="J42" s="10">
        <v>-3.056346042616076E-2</v>
      </c>
      <c r="K42" s="5">
        <v>52.444749874999999</v>
      </c>
      <c r="L42" s="10">
        <v>-2.3543822364354372E-2</v>
      </c>
      <c r="M42" s="5">
        <v>52.751916533333315</v>
      </c>
      <c r="N42" s="10">
        <v>-2.922958320119029E-2</v>
      </c>
      <c r="O42" s="5">
        <v>56.27</v>
      </c>
      <c r="P42" s="10">
        <v>-8.9923582726141871E-2</v>
      </c>
      <c r="Q42" s="5">
        <v>47.060001</v>
      </c>
      <c r="R42" s="10">
        <v>8.8185272244256874E-2</v>
      </c>
    </row>
    <row r="43" spans="1:18">
      <c r="A43" s="2" t="s">
        <v>382</v>
      </c>
      <c r="B43" s="2" t="s">
        <v>345</v>
      </c>
      <c r="C43" s="6">
        <v>7.13</v>
      </c>
      <c r="D43" s="6">
        <v>0.13999999999999968</v>
      </c>
      <c r="E43" s="15">
        <v>0.02</v>
      </c>
      <c r="F43" s="6">
        <v>6.99</v>
      </c>
      <c r="G43" s="6"/>
      <c r="H43" s="11" t="s">
        <v>95</v>
      </c>
      <c r="I43" s="6">
        <v>7.2275000000000009</v>
      </c>
      <c r="J43" s="11">
        <v>-1.3490141819439749E-2</v>
      </c>
      <c r="K43" s="6">
        <v>7.4702499999999983</v>
      </c>
      <c r="L43" s="11">
        <v>-4.5547337773166663E-2</v>
      </c>
      <c r="M43" s="6">
        <v>7.5919999999999979</v>
      </c>
      <c r="N43" s="11">
        <v>-6.085353003161198E-2</v>
      </c>
      <c r="O43" s="6">
        <v>8.2799999999999994</v>
      </c>
      <c r="P43" s="11">
        <v>-0.13888888888888884</v>
      </c>
      <c r="Q43" s="6">
        <v>5.51</v>
      </c>
      <c r="R43" s="11">
        <v>0.29401088929219599</v>
      </c>
    </row>
    <row r="44" spans="1:18">
      <c r="A44" s="1" t="s">
        <v>4</v>
      </c>
      <c r="B44" s="1" t="s">
        <v>44</v>
      </c>
      <c r="C44" s="5">
        <v>14.54</v>
      </c>
      <c r="D44" s="5">
        <v>9.9999999999999645E-2</v>
      </c>
      <c r="E44" s="14">
        <v>6.8999999999999999E-3</v>
      </c>
      <c r="F44" s="5">
        <v>14.44</v>
      </c>
      <c r="G44" s="5"/>
      <c r="H44" s="10" t="s">
        <v>95</v>
      </c>
      <c r="I44" s="5">
        <v>14.669999999999996</v>
      </c>
      <c r="J44" s="10">
        <v>-8.8616223585546994E-3</v>
      </c>
      <c r="K44" s="5">
        <v>15.107749999999996</v>
      </c>
      <c r="L44" s="10">
        <v>-3.7580049974350715E-2</v>
      </c>
      <c r="M44" s="5">
        <v>16.8065</v>
      </c>
      <c r="N44" s="10">
        <v>-0.13485853687561367</v>
      </c>
      <c r="O44" s="5">
        <v>24.870001000000002</v>
      </c>
      <c r="P44" s="10">
        <v>-0.4153598948387659</v>
      </c>
      <c r="Q44" s="5">
        <v>14.01</v>
      </c>
      <c r="R44" s="10">
        <v>3.7830121341898559E-2</v>
      </c>
    </row>
    <row r="45" spans="1:18">
      <c r="A45" s="2" t="s">
        <v>383</v>
      </c>
      <c r="B45" s="2" t="s">
        <v>346</v>
      </c>
      <c r="C45" s="6">
        <v>27.91</v>
      </c>
      <c r="D45" s="6">
        <v>0</v>
      </c>
      <c r="E45" s="15">
        <v>0</v>
      </c>
      <c r="F45" s="6">
        <v>27.91</v>
      </c>
      <c r="G45" s="6"/>
      <c r="H45" s="11" t="s">
        <v>95</v>
      </c>
      <c r="I45" s="6">
        <v>27.672000350000001</v>
      </c>
      <c r="J45" s="11">
        <v>8.6007389053823768E-3</v>
      </c>
      <c r="K45" s="6">
        <v>26.977499999999999</v>
      </c>
      <c r="L45" s="11">
        <v>3.4565841905291439E-2</v>
      </c>
      <c r="M45" s="6">
        <v>28.490250149999994</v>
      </c>
      <c r="N45" s="11">
        <v>-2.036662180728499E-2</v>
      </c>
      <c r="O45" s="6">
        <v>33.040001000000004</v>
      </c>
      <c r="P45" s="11">
        <v>-0.15526636939266447</v>
      </c>
      <c r="Q45" s="6">
        <v>24.190001000000002</v>
      </c>
      <c r="R45" s="11">
        <v>0.15378250707802765</v>
      </c>
    </row>
    <row r="46" spans="1:18">
      <c r="A46" s="1" t="s">
        <v>384</v>
      </c>
      <c r="B46" s="1" t="s">
        <v>347</v>
      </c>
      <c r="C46" s="5">
        <v>32.83</v>
      </c>
      <c r="D46" s="5">
        <v>-3.0001000000005718E-2</v>
      </c>
      <c r="E46" s="14">
        <v>-8.9999999999999998E-4</v>
      </c>
      <c r="F46" s="5">
        <v>32.860001000000004</v>
      </c>
      <c r="G46" s="5"/>
      <c r="H46" s="10" t="s">
        <v>95</v>
      </c>
      <c r="I46" s="5">
        <v>32.793499850000003</v>
      </c>
      <c r="J46" s="10">
        <v>1.1130300262840453E-3</v>
      </c>
      <c r="K46" s="5">
        <v>33.408250074999998</v>
      </c>
      <c r="L46" s="10">
        <v>-1.7308601130015977E-2</v>
      </c>
      <c r="M46" s="5">
        <v>36.485750099999997</v>
      </c>
      <c r="N46" s="10">
        <v>-0.10019665458378502</v>
      </c>
      <c r="O46" s="5">
        <v>42.900002000000001</v>
      </c>
      <c r="P46" s="10">
        <v>-0.23473197040876603</v>
      </c>
      <c r="Q46" s="5">
        <v>21</v>
      </c>
      <c r="R46" s="10">
        <v>0.56333333333333324</v>
      </c>
    </row>
  </sheetData>
  <phoneticPr fontId="5" type="noConversion"/>
  <conditionalFormatting sqref="J2:J46 L2:L46 N2:N46">
    <cfRule type="cellIs" dxfId="14" priority="5" operator="lessThan">
      <formula>-0.02</formula>
    </cfRule>
  </conditionalFormatting>
  <conditionalFormatting sqref="P2:P46">
    <cfRule type="cellIs" dxfId="13" priority="4" operator="between">
      <formula>-0.05</formula>
      <formula>0.05</formula>
    </cfRule>
  </conditionalFormatting>
  <conditionalFormatting sqref="H2:H46">
    <cfRule type="cellIs" dxfId="12" priority="2" operator="between">
      <formula>0</formula>
      <formula>0.05</formula>
    </cfRule>
    <cfRule type="cellIs" dxfId="11" priority="3" operator="between">
      <formula>-0.05</formula>
      <formula>0</formula>
    </cfRule>
  </conditionalFormatting>
  <conditionalFormatting sqref="R2:R46">
    <cfRule type="cellIs" dxfId="1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H17" sqref="H17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0">
      <c r="A2" s="1" t="s">
        <v>385</v>
      </c>
      <c r="B2" s="1" t="s">
        <v>407</v>
      </c>
      <c r="C2" s="5">
        <v>13.16</v>
      </c>
      <c r="D2" s="5">
        <v>0.25999999999999979</v>
      </c>
      <c r="E2" s="14">
        <v>2.0199999999999999E-2</v>
      </c>
      <c r="F2" s="5">
        <v>12.9</v>
      </c>
      <c r="G2" s="5">
        <v>7.5</v>
      </c>
      <c r="H2" s="10">
        <v>0.7546666666666666</v>
      </c>
      <c r="I2" s="5">
        <v>12.459999999999997</v>
      </c>
      <c r="J2" s="10">
        <v>5.6179775280899014E-2</v>
      </c>
      <c r="K2" s="5">
        <v>12.69725</v>
      </c>
      <c r="L2" s="10">
        <v>3.6444899486109072E-2</v>
      </c>
      <c r="M2" s="5">
        <v>11.714249999999996</v>
      </c>
      <c r="N2" s="10">
        <v>0.12341805920140048</v>
      </c>
      <c r="O2" s="5">
        <v>13.8</v>
      </c>
      <c r="P2" s="10">
        <v>-4.6376811594202927E-2</v>
      </c>
      <c r="Q2" s="5">
        <v>7.22</v>
      </c>
      <c r="R2" s="10">
        <v>0.82271468144044335</v>
      </c>
    </row>
    <row r="3" spans="1:20">
      <c r="A3" s="2" t="s">
        <v>386</v>
      </c>
      <c r="B3" s="2" t="s">
        <v>408</v>
      </c>
      <c r="C3" s="6">
        <v>3.66</v>
      </c>
      <c r="D3" s="6">
        <v>-2.0000000000000018E-2</v>
      </c>
      <c r="E3" s="15">
        <v>-5.4000000000000003E-3</v>
      </c>
      <c r="F3" s="6">
        <v>3.68</v>
      </c>
      <c r="G3" s="6">
        <v>2.5</v>
      </c>
      <c r="H3" s="11">
        <v>0.46399999999999997</v>
      </c>
      <c r="I3" s="6">
        <v>3.8205000000000005</v>
      </c>
      <c r="J3" s="11">
        <v>-4.2010208087946643E-2</v>
      </c>
      <c r="K3" s="6">
        <v>3.7802499999999997</v>
      </c>
      <c r="L3" s="11">
        <v>-3.1810065471860161E-2</v>
      </c>
      <c r="M3" s="6">
        <v>3.7123333333333326</v>
      </c>
      <c r="N3" s="11">
        <v>-1.4097153632037118E-2</v>
      </c>
      <c r="O3" s="6">
        <v>5.91</v>
      </c>
      <c r="P3" s="11">
        <v>-0.38071065989847719</v>
      </c>
      <c r="Q3" s="6">
        <v>2.97</v>
      </c>
      <c r="R3" s="11">
        <v>0.23232323232323226</v>
      </c>
      <c r="T3" t="s">
        <v>443</v>
      </c>
    </row>
    <row r="4" spans="1:20">
      <c r="A4" s="1" t="s">
        <v>387</v>
      </c>
      <c r="B4" s="1" t="s">
        <v>409</v>
      </c>
      <c r="C4" s="5">
        <v>177.81</v>
      </c>
      <c r="D4" s="5">
        <v>3.3399990000000059</v>
      </c>
      <c r="E4" s="14">
        <v>1.9099999999999999E-2</v>
      </c>
      <c r="F4" s="5">
        <v>174.470001</v>
      </c>
      <c r="G4" s="5">
        <v>100</v>
      </c>
      <c r="H4" s="10">
        <v>0.77810000000000001</v>
      </c>
      <c r="I4" s="5">
        <v>172.16299910000001</v>
      </c>
      <c r="J4" s="10">
        <v>3.2800316731935952E-2</v>
      </c>
      <c r="K4" s="5">
        <v>173.99549942499999</v>
      </c>
      <c r="L4" s="10">
        <v>2.1922984143875723E-2</v>
      </c>
      <c r="M4" s="5">
        <v>172.3887504333334</v>
      </c>
      <c r="N4" s="10">
        <v>3.1447815202785723E-2</v>
      </c>
      <c r="O4" s="5">
        <v>196.029999</v>
      </c>
      <c r="P4" s="10">
        <v>-9.2944952777355261E-2</v>
      </c>
      <c r="Q4" s="5">
        <v>156.91999799999999</v>
      </c>
      <c r="R4" s="10">
        <v>0.13312517375892408</v>
      </c>
      <c r="T4" t="s">
        <v>444</v>
      </c>
    </row>
    <row r="5" spans="1:20">
      <c r="A5" s="2" t="s">
        <v>36</v>
      </c>
      <c r="B5" s="2" t="s">
        <v>76</v>
      </c>
      <c r="C5" s="6">
        <v>115.64</v>
      </c>
      <c r="D5" s="6">
        <v>-2.1200019999999995</v>
      </c>
      <c r="E5" s="15">
        <v>-1.7999999999999999E-2</v>
      </c>
      <c r="F5" s="6">
        <v>117.760002</v>
      </c>
      <c r="G5" s="6">
        <v>120</v>
      </c>
      <c r="H5" s="11">
        <v>-3.6333333333333329E-2</v>
      </c>
      <c r="I5" s="6">
        <v>120.05199990000001</v>
      </c>
      <c r="J5" s="11">
        <v>-3.6750740543057048E-2</v>
      </c>
      <c r="K5" s="6">
        <v>118.81249990000001</v>
      </c>
      <c r="L5" s="11">
        <v>-2.6701735109270319E-2</v>
      </c>
      <c r="M5" s="6">
        <v>124.3801667</v>
      </c>
      <c r="N5" s="11">
        <v>-7.0269777987039816E-2</v>
      </c>
      <c r="O5" s="6">
        <v>138.11000100000001</v>
      </c>
      <c r="P5" s="11">
        <v>-0.16269640748174352</v>
      </c>
      <c r="Q5" s="6">
        <v>113.160004</v>
      </c>
      <c r="R5" s="11">
        <v>2.1915835209761925E-2</v>
      </c>
    </row>
    <row r="6" spans="1:20">
      <c r="A6" s="1" t="s">
        <v>388</v>
      </c>
      <c r="B6" s="1" t="s">
        <v>410</v>
      </c>
      <c r="C6" s="5">
        <v>49.01</v>
      </c>
      <c r="D6" s="5">
        <v>-0.67999900000000224</v>
      </c>
      <c r="E6" s="14">
        <v>-1.37E-2</v>
      </c>
      <c r="F6" s="5">
        <v>49.689999</v>
      </c>
      <c r="G6" s="5">
        <v>43</v>
      </c>
      <c r="H6" s="10">
        <v>0.13976744186046508</v>
      </c>
      <c r="I6" s="5">
        <v>49.130999400000007</v>
      </c>
      <c r="J6" s="10">
        <v>-2.4627913430966819E-3</v>
      </c>
      <c r="K6" s="5">
        <v>48.168499775000001</v>
      </c>
      <c r="L6" s="10">
        <v>1.7469928042823213E-2</v>
      </c>
      <c r="M6" s="5">
        <v>48.269833224999985</v>
      </c>
      <c r="N6" s="10">
        <v>1.5333941005138296E-2</v>
      </c>
      <c r="O6" s="5">
        <v>53.869999</v>
      </c>
      <c r="P6" s="10">
        <v>-9.0217172641863241E-2</v>
      </c>
      <c r="Q6" s="5">
        <v>42.669998</v>
      </c>
      <c r="R6" s="10">
        <v>0.14858219585573917</v>
      </c>
    </row>
    <row r="7" spans="1:20">
      <c r="A7" s="2" t="s">
        <v>389</v>
      </c>
      <c r="B7" s="2" t="s">
        <v>411</v>
      </c>
      <c r="C7" s="6">
        <v>53.54</v>
      </c>
      <c r="D7" s="6">
        <v>-0.2700010000000006</v>
      </c>
      <c r="E7" s="15">
        <v>-5.0000000000000001E-3</v>
      </c>
      <c r="F7" s="6">
        <v>53.810001</v>
      </c>
      <c r="G7" s="6">
        <v>50</v>
      </c>
      <c r="H7" s="11">
        <v>7.0799999999999974E-2</v>
      </c>
      <c r="I7" s="6">
        <v>55.436000050000004</v>
      </c>
      <c r="J7" s="11">
        <v>-3.4201602718268331E-2</v>
      </c>
      <c r="K7" s="6">
        <v>55.464749949999998</v>
      </c>
      <c r="L7" s="11">
        <v>-3.470221990967437E-2</v>
      </c>
      <c r="M7" s="6">
        <v>55.219583324999967</v>
      </c>
      <c r="N7" s="11">
        <v>-3.0416443295390727E-2</v>
      </c>
      <c r="O7" s="6">
        <v>63.720001000000003</v>
      </c>
      <c r="P7" s="11">
        <v>-0.15976146955804349</v>
      </c>
      <c r="Q7" s="6">
        <v>51.919998</v>
      </c>
      <c r="R7" s="11">
        <v>3.1201888721182236E-2</v>
      </c>
    </row>
    <row r="8" spans="1:20">
      <c r="A8" s="1" t="s">
        <v>390</v>
      </c>
      <c r="B8" s="1" t="s">
        <v>412</v>
      </c>
      <c r="C8" s="5">
        <v>13.03</v>
      </c>
      <c r="D8" s="5">
        <v>-0.19000000000000128</v>
      </c>
      <c r="E8" s="14">
        <v>-1.44E-2</v>
      </c>
      <c r="F8" s="5">
        <v>13.22</v>
      </c>
      <c r="G8" s="5">
        <v>10</v>
      </c>
      <c r="H8" s="10">
        <v>0.30299999999999994</v>
      </c>
      <c r="I8" s="5">
        <v>13.551000000000002</v>
      </c>
      <c r="J8" s="10">
        <v>-3.8447347059257786E-2</v>
      </c>
      <c r="K8" s="5">
        <v>12.94875</v>
      </c>
      <c r="L8" s="10">
        <v>6.2747369437203826E-3</v>
      </c>
      <c r="M8" s="5">
        <v>12.128833333333326</v>
      </c>
      <c r="N8" s="10">
        <v>7.4299534167892478E-2</v>
      </c>
      <c r="O8" s="5">
        <v>14.3</v>
      </c>
      <c r="P8" s="10">
        <v>-8.8811188811188879E-2</v>
      </c>
      <c r="Q8" s="5">
        <v>9.98</v>
      </c>
      <c r="R8" s="10">
        <v>0.3056112224448897</v>
      </c>
    </row>
    <row r="9" spans="1:20">
      <c r="A9" s="2" t="s">
        <v>391</v>
      </c>
      <c r="B9" s="2" t="s">
        <v>413</v>
      </c>
      <c r="C9" s="6">
        <v>47.15</v>
      </c>
      <c r="D9" s="6">
        <v>-1.8299999999999983</v>
      </c>
      <c r="E9" s="15">
        <v>-3.7400000000000003E-2</v>
      </c>
      <c r="F9" s="6">
        <v>48.98</v>
      </c>
      <c r="G9" s="6">
        <v>40</v>
      </c>
      <c r="H9" s="11">
        <v>0.17874999999999996</v>
      </c>
      <c r="I9" s="6">
        <v>49.08650025</v>
      </c>
      <c r="J9" s="11">
        <v>-3.9450770377543964E-2</v>
      </c>
      <c r="K9" s="6">
        <v>48.621749900000005</v>
      </c>
      <c r="L9" s="11">
        <v>-3.0269373336561212E-2</v>
      </c>
      <c r="M9" s="6">
        <v>44.860666800000011</v>
      </c>
      <c r="N9" s="11">
        <v>5.1032081404549956E-2</v>
      </c>
      <c r="O9" s="6">
        <v>50.09</v>
      </c>
      <c r="P9" s="11">
        <v>-5.8694350169694598E-2</v>
      </c>
      <c r="Q9" s="6">
        <v>37.900002000000001</v>
      </c>
      <c r="R9" s="11">
        <v>0.24406325888848235</v>
      </c>
    </row>
    <row r="10" spans="1:20">
      <c r="A10" s="1" t="s">
        <v>360</v>
      </c>
      <c r="B10" s="1" t="s">
        <v>323</v>
      </c>
      <c r="C10" s="5">
        <v>27.89</v>
      </c>
      <c r="D10" s="5">
        <v>0.59000100000000089</v>
      </c>
      <c r="E10" s="14">
        <v>2.1600000000000001E-2</v>
      </c>
      <c r="F10" s="5">
        <v>27.299999</v>
      </c>
      <c r="G10" s="5">
        <v>20</v>
      </c>
      <c r="H10" s="10">
        <v>0.39450000000000007</v>
      </c>
      <c r="I10" s="5">
        <v>27.906500000000001</v>
      </c>
      <c r="J10" s="10">
        <v>-5.9126010069343593E-4</v>
      </c>
      <c r="K10" s="5">
        <v>28.406249899999988</v>
      </c>
      <c r="L10" s="10">
        <v>-1.817381392536388E-2</v>
      </c>
      <c r="M10" s="5">
        <v>25.768749933333329</v>
      </c>
      <c r="N10" s="10">
        <v>8.2318702775826758E-2</v>
      </c>
      <c r="O10" s="5">
        <v>31.299999</v>
      </c>
      <c r="P10" s="10">
        <v>-0.1089456584327686</v>
      </c>
      <c r="Q10" s="5">
        <v>17.450001</v>
      </c>
      <c r="R10" s="10">
        <v>0.59828071070024591</v>
      </c>
    </row>
    <row r="11" spans="1:20">
      <c r="A11" s="2" t="s">
        <v>392</v>
      </c>
      <c r="B11" s="2" t="s">
        <v>414</v>
      </c>
      <c r="C11" s="6">
        <v>62.4</v>
      </c>
      <c r="D11" s="6">
        <v>2.0699979999999982</v>
      </c>
      <c r="E11" s="15">
        <v>3.4299999999999997E-2</v>
      </c>
      <c r="F11" s="6">
        <v>60.330002</v>
      </c>
      <c r="G11" s="6">
        <v>20</v>
      </c>
      <c r="H11" s="11">
        <v>2.12</v>
      </c>
      <c r="I11" s="6">
        <v>59.664500099999998</v>
      </c>
      <c r="J11" s="11">
        <v>4.5848031834930358E-2</v>
      </c>
      <c r="K11" s="6">
        <v>55.454750199999999</v>
      </c>
      <c r="L11" s="11">
        <v>0.1252417470992413</v>
      </c>
      <c r="M11" s="6">
        <v>50.272500049999991</v>
      </c>
      <c r="N11" s="11">
        <v>0.24123526655603444</v>
      </c>
      <c r="O11" s="6">
        <v>61.450001</v>
      </c>
      <c r="P11" s="11">
        <v>1.54597068273441E-2</v>
      </c>
      <c r="Q11" s="6">
        <v>38.459998999999996</v>
      </c>
      <c r="R11" s="11">
        <v>0.62246494078171977</v>
      </c>
    </row>
    <row r="12" spans="1:20">
      <c r="A12" s="1" t="s">
        <v>393</v>
      </c>
      <c r="B12" s="1" t="s">
        <v>415</v>
      </c>
      <c r="C12" s="5">
        <v>30.51</v>
      </c>
      <c r="D12" s="5">
        <v>-0.38999999999999702</v>
      </c>
      <c r="E12" s="14">
        <v>-1.26E-2</v>
      </c>
      <c r="F12" s="5">
        <v>30.9</v>
      </c>
      <c r="G12" s="5">
        <v>20</v>
      </c>
      <c r="H12" s="10">
        <v>0.52550000000000008</v>
      </c>
      <c r="I12" s="5">
        <v>31.301499999999997</v>
      </c>
      <c r="J12" s="10">
        <v>-2.5286328131239544E-2</v>
      </c>
      <c r="K12" s="5">
        <v>31.358249975</v>
      </c>
      <c r="L12" s="10">
        <v>-2.7050296992856881E-2</v>
      </c>
      <c r="M12" s="5">
        <v>30.035833283333343</v>
      </c>
      <c r="N12" s="10">
        <v>1.5786700911333496E-2</v>
      </c>
      <c r="O12" s="5">
        <v>33.18</v>
      </c>
      <c r="P12" s="10">
        <v>-8.0470162748643714E-2</v>
      </c>
      <c r="Q12" s="5">
        <v>22.049999</v>
      </c>
      <c r="R12" s="10">
        <v>0.38367353213938937</v>
      </c>
    </row>
    <row r="13" spans="1:20">
      <c r="A13" s="2" t="s">
        <v>394</v>
      </c>
      <c r="B13" s="2" t="s">
        <v>416</v>
      </c>
      <c r="C13" s="6">
        <v>26.71</v>
      </c>
      <c r="D13" s="6">
        <v>-0.64000000000000057</v>
      </c>
      <c r="E13" s="15">
        <v>-2.3400000000000001E-2</v>
      </c>
      <c r="F13" s="6">
        <v>27.35</v>
      </c>
      <c r="G13" s="6">
        <v>23</v>
      </c>
      <c r="H13" s="11">
        <v>0.16130434782608694</v>
      </c>
      <c r="I13" s="6">
        <v>27.332999799999993</v>
      </c>
      <c r="J13" s="11">
        <v>-2.2792953739383948E-2</v>
      </c>
      <c r="K13" s="6">
        <v>27.624749799999989</v>
      </c>
      <c r="L13" s="11">
        <v>-3.3113414840774014E-2</v>
      </c>
      <c r="M13" s="6">
        <v>26.153749841666659</v>
      </c>
      <c r="N13" s="11">
        <v>2.1268466728513014E-2</v>
      </c>
      <c r="O13" s="6">
        <v>32.919998</v>
      </c>
      <c r="P13" s="11">
        <v>-0.18863907585899609</v>
      </c>
      <c r="Q13" s="6">
        <v>22.860001</v>
      </c>
      <c r="R13" s="11">
        <v>0.16841639683217857</v>
      </c>
    </row>
    <row r="14" spans="1:20">
      <c r="A14" s="1" t="s">
        <v>395</v>
      </c>
      <c r="B14" s="1" t="s">
        <v>417</v>
      </c>
      <c r="C14" s="5">
        <v>33.36</v>
      </c>
      <c r="D14" s="5">
        <v>0.51999999999999602</v>
      </c>
      <c r="E14" s="14">
        <v>1.5800000000000002E-2</v>
      </c>
      <c r="F14" s="5">
        <v>32.840000000000003</v>
      </c>
      <c r="G14" s="5">
        <v>20</v>
      </c>
      <c r="H14" s="10">
        <v>0.66799999999999993</v>
      </c>
      <c r="I14" s="5">
        <v>31.768999850000011</v>
      </c>
      <c r="J14" s="10">
        <v>5.0080271884920258E-2</v>
      </c>
      <c r="K14" s="5">
        <v>31.371999899999999</v>
      </c>
      <c r="L14" s="10">
        <v>6.3368612340203523E-2</v>
      </c>
      <c r="M14" s="5">
        <v>28.276249925000005</v>
      </c>
      <c r="N14" s="10">
        <v>0.17978869505270834</v>
      </c>
      <c r="O14" s="5">
        <v>32.840000000000003</v>
      </c>
      <c r="P14" s="10">
        <v>1.5834348355663774E-2</v>
      </c>
      <c r="Q14" s="5">
        <v>20.129998999999998</v>
      </c>
      <c r="R14" s="10">
        <v>0.65722810021003997</v>
      </c>
    </row>
    <row r="15" spans="1:20">
      <c r="A15" s="2" t="s">
        <v>396</v>
      </c>
      <c r="B15" s="2" t="s">
        <v>418</v>
      </c>
      <c r="C15" s="6">
        <v>14.33</v>
      </c>
      <c r="D15" s="6">
        <v>-5.0000000000000711E-2</v>
      </c>
      <c r="E15" s="15">
        <v>-3.5000000000000001E-3</v>
      </c>
      <c r="F15" s="6">
        <v>14.38</v>
      </c>
      <c r="G15" s="6">
        <v>10</v>
      </c>
      <c r="H15" s="11">
        <v>0.43300000000000005</v>
      </c>
      <c r="I15" s="6">
        <v>15.25</v>
      </c>
      <c r="J15" s="11">
        <v>-6.0327868852458999E-2</v>
      </c>
      <c r="K15" s="6">
        <v>15.356500049999998</v>
      </c>
      <c r="L15" s="11">
        <v>-6.6844661651923598E-2</v>
      </c>
      <c r="M15" s="6">
        <v>14.19650001666667</v>
      </c>
      <c r="N15" s="11">
        <v>9.4037250855212307E-3</v>
      </c>
      <c r="O15" s="6">
        <v>16.23</v>
      </c>
      <c r="P15" s="11">
        <v>-0.11706715958102276</v>
      </c>
      <c r="Q15" s="6">
        <v>10.23</v>
      </c>
      <c r="R15" s="11">
        <v>0.40078201368523936</v>
      </c>
    </row>
    <row r="16" spans="1:20">
      <c r="A16" s="1" t="s">
        <v>397</v>
      </c>
      <c r="B16" s="1" t="s">
        <v>419</v>
      </c>
      <c r="C16" s="5">
        <v>37.21</v>
      </c>
      <c r="D16" s="5">
        <v>0.43999999999999773</v>
      </c>
      <c r="E16" s="14">
        <v>1.2E-2</v>
      </c>
      <c r="F16" s="5">
        <v>36.770000000000003</v>
      </c>
      <c r="G16" s="5">
        <v>10</v>
      </c>
      <c r="H16" s="10">
        <v>2.7210000000000001</v>
      </c>
      <c r="I16" s="5">
        <v>35.029000399999994</v>
      </c>
      <c r="J16" s="10">
        <v>6.2262684492704112E-2</v>
      </c>
      <c r="K16" s="5">
        <v>32.372500100000011</v>
      </c>
      <c r="L16" s="10">
        <v>0.14943238505079148</v>
      </c>
      <c r="M16" s="5">
        <v>25.433875066666662</v>
      </c>
      <c r="N16" s="10">
        <v>0.46300946680228794</v>
      </c>
      <c r="O16" s="5">
        <v>38.400002000000001</v>
      </c>
      <c r="P16" s="10">
        <v>-3.0989633802623207E-2</v>
      </c>
      <c r="Q16" s="5">
        <v>9.36</v>
      </c>
      <c r="R16" s="10">
        <v>2.975427350427351</v>
      </c>
    </row>
    <row r="17" spans="1:18">
      <c r="A17" s="2" t="s">
        <v>398</v>
      </c>
      <c r="B17" s="2" t="s">
        <v>420</v>
      </c>
      <c r="C17" s="6">
        <v>262.88</v>
      </c>
      <c r="D17" s="6">
        <v>-1.3200120000000197</v>
      </c>
      <c r="E17" s="15">
        <v>-5.0000000000000001E-3</v>
      </c>
      <c r="F17" s="6">
        <v>264.20001200000002</v>
      </c>
      <c r="G17" s="6">
        <v>20</v>
      </c>
      <c r="H17" s="11">
        <v>12.144</v>
      </c>
      <c r="I17" s="6">
        <v>278.11200094999998</v>
      </c>
      <c r="J17" s="11">
        <v>-5.4769304805147412E-2</v>
      </c>
      <c r="K17" s="6">
        <v>286.06074899999987</v>
      </c>
      <c r="L17" s="11">
        <v>-8.1034357495861409E-2</v>
      </c>
      <c r="M17" s="6">
        <v>254.8505832333334</v>
      </c>
      <c r="N17" s="11">
        <v>3.1506369986664451E-2</v>
      </c>
      <c r="O17" s="6">
        <v>305.05999800000001</v>
      </c>
      <c r="P17" s="11">
        <v>-0.13826787607859359</v>
      </c>
      <c r="Q17" s="6">
        <v>133.070007</v>
      </c>
      <c r="R17" s="11">
        <v>0.97550151177192013</v>
      </c>
    </row>
    <row r="18" spans="1:18">
      <c r="A18" s="1" t="s">
        <v>35</v>
      </c>
      <c r="B18" s="1" t="s">
        <v>75</v>
      </c>
      <c r="C18" s="5">
        <v>70.45</v>
      </c>
      <c r="D18" s="5">
        <v>-1.3599979999999903</v>
      </c>
      <c r="E18" s="14">
        <v>-1.89E-2</v>
      </c>
      <c r="F18" s="5">
        <v>71.809997999999993</v>
      </c>
      <c r="G18" s="5">
        <v>65</v>
      </c>
      <c r="H18" s="10">
        <v>8.3846153846153904E-2</v>
      </c>
      <c r="I18" s="5">
        <v>73.628499700000006</v>
      </c>
      <c r="J18" s="10">
        <v>-4.3169420984412676E-2</v>
      </c>
      <c r="K18" s="5">
        <v>74.597749949999965</v>
      </c>
      <c r="L18" s="10">
        <v>-5.5601542308984397E-2</v>
      </c>
      <c r="M18" s="5">
        <v>74.201333716666639</v>
      </c>
      <c r="N18" s="10">
        <v>-5.0556149448618859E-2</v>
      </c>
      <c r="O18" s="5">
        <v>81.360000999999997</v>
      </c>
      <c r="P18" s="10">
        <v>-0.1340953892072837</v>
      </c>
      <c r="Q18" s="5">
        <v>63.869999</v>
      </c>
      <c r="R18" s="10">
        <v>0.10302178022579911</v>
      </c>
    </row>
    <row r="19" spans="1:18">
      <c r="A19" s="2" t="s">
        <v>399</v>
      </c>
      <c r="B19" s="2" t="s">
        <v>421</v>
      </c>
      <c r="C19" s="6">
        <v>7.42</v>
      </c>
      <c r="D19" s="6">
        <v>-3.0000000000000249E-2</v>
      </c>
      <c r="E19" s="15">
        <v>-4.0000000000000001E-3</v>
      </c>
      <c r="F19" s="6">
        <v>7.45</v>
      </c>
      <c r="G19" s="6">
        <v>1.5</v>
      </c>
      <c r="H19" s="11">
        <v>3.9466666666666663</v>
      </c>
      <c r="I19" s="6">
        <v>7.6739999999999995</v>
      </c>
      <c r="J19" s="11">
        <v>-3.3098775084701493E-2</v>
      </c>
      <c r="K19" s="6">
        <v>7.8350000000000009</v>
      </c>
      <c r="L19" s="11">
        <v>-5.2967453733248404E-2</v>
      </c>
      <c r="M19" s="6">
        <v>4.3107500000000005</v>
      </c>
      <c r="N19" s="11">
        <v>0.72127819984921393</v>
      </c>
      <c r="O19" s="6">
        <v>8.5299999999999994</v>
      </c>
      <c r="P19" s="11">
        <v>-0.13012895662368107</v>
      </c>
      <c r="Q19" s="6">
        <v>1.52</v>
      </c>
      <c r="R19" s="11">
        <v>3.8815789473684212</v>
      </c>
    </row>
    <row r="20" spans="1:18">
      <c r="A20" s="1" t="s">
        <v>400</v>
      </c>
      <c r="B20" s="1" t="s">
        <v>422</v>
      </c>
      <c r="C20" s="5">
        <v>3.45</v>
      </c>
      <c r="D20" s="5">
        <v>0.11000000000000032</v>
      </c>
      <c r="E20" s="14">
        <v>3.2899999999999999E-2</v>
      </c>
      <c r="F20" s="5">
        <v>3.34</v>
      </c>
      <c r="G20" s="5">
        <v>2</v>
      </c>
      <c r="H20" s="10">
        <v>0.72500000000000009</v>
      </c>
      <c r="I20" s="5">
        <v>3.1375000000000006</v>
      </c>
      <c r="J20" s="10">
        <v>9.960159362549792E-2</v>
      </c>
      <c r="K20" s="5">
        <v>3.0665000000000004</v>
      </c>
      <c r="L20" s="10">
        <v>0.12506114462742524</v>
      </c>
      <c r="M20" s="5">
        <v>3.214833333333333</v>
      </c>
      <c r="N20" s="10">
        <v>7.3150500285136699E-2</v>
      </c>
      <c r="O20" s="5">
        <v>6.4</v>
      </c>
      <c r="P20" s="10">
        <v>-0.4609375</v>
      </c>
      <c r="Q20" s="5">
        <v>2.66</v>
      </c>
      <c r="R20" s="10">
        <v>0.29699248120300759</v>
      </c>
    </row>
    <row r="21" spans="1:18">
      <c r="A21" s="2" t="s">
        <v>401</v>
      </c>
      <c r="B21" s="2" t="s">
        <v>423</v>
      </c>
      <c r="C21" s="6">
        <v>57.52</v>
      </c>
      <c r="D21" s="6">
        <v>0.13999900000000309</v>
      </c>
      <c r="E21" s="15">
        <v>2.3999999999999998E-3</v>
      </c>
      <c r="F21" s="6">
        <v>57.380001</v>
      </c>
      <c r="G21" s="6">
        <v>20</v>
      </c>
      <c r="H21" s="11">
        <v>1.8760000000000003</v>
      </c>
      <c r="I21" s="6">
        <v>57.045999449999989</v>
      </c>
      <c r="J21" s="11">
        <v>8.309093618658947E-3</v>
      </c>
      <c r="K21" s="6">
        <v>58.208249750000007</v>
      </c>
      <c r="L21" s="11">
        <v>-1.1823921058543796E-2</v>
      </c>
      <c r="M21" s="6">
        <v>56.580999975000019</v>
      </c>
      <c r="N21" s="11">
        <v>1.6595677443220769E-2</v>
      </c>
      <c r="O21" s="6">
        <v>64.660004000000001</v>
      </c>
      <c r="P21" s="11">
        <v>-0.11042381005729596</v>
      </c>
      <c r="Q21" s="6">
        <v>42.869999</v>
      </c>
      <c r="R21" s="11">
        <v>0.34173084538677045</v>
      </c>
    </row>
    <row r="22" spans="1:18">
      <c r="A22" s="1" t="s">
        <v>10</v>
      </c>
      <c r="B22" s="1" t="s">
        <v>50</v>
      </c>
      <c r="C22" s="5">
        <v>68.989999999999995</v>
      </c>
      <c r="D22" s="5">
        <v>-7.9999999999998295E-2</v>
      </c>
      <c r="E22" s="14">
        <v>-1.1999999999999999E-3</v>
      </c>
      <c r="F22" s="5">
        <v>69.069999999999993</v>
      </c>
      <c r="G22" s="5">
        <v>40</v>
      </c>
      <c r="H22" s="10">
        <v>0.72474999999999978</v>
      </c>
      <c r="I22" s="5">
        <v>71.165500250000008</v>
      </c>
      <c r="J22" s="10">
        <v>-3.0569591197386559E-2</v>
      </c>
      <c r="K22" s="5">
        <v>71.230749900000006</v>
      </c>
      <c r="L22" s="10">
        <v>-3.1457620524082297E-2</v>
      </c>
      <c r="M22" s="5">
        <v>70.433499891666671</v>
      </c>
      <c r="N22" s="10">
        <v>-2.0494507498376668E-2</v>
      </c>
      <c r="O22" s="5">
        <v>84.150002000000001</v>
      </c>
      <c r="P22" s="10">
        <v>-0.1801545055221746</v>
      </c>
      <c r="Q22" s="5">
        <v>45.380001</v>
      </c>
      <c r="R22" s="10">
        <v>0.52027321462597587</v>
      </c>
    </row>
    <row r="23" spans="1:18">
      <c r="A23" s="2" t="s">
        <v>402</v>
      </c>
      <c r="B23" s="2" t="s">
        <v>424</v>
      </c>
      <c r="C23" s="6">
        <v>5.89</v>
      </c>
      <c r="D23" s="6">
        <v>-2.0000000000000462E-2</v>
      </c>
      <c r="E23" s="15">
        <v>-3.3999999999999998E-3</v>
      </c>
      <c r="F23" s="6">
        <v>5.91</v>
      </c>
      <c r="G23" s="6">
        <v>2</v>
      </c>
      <c r="H23" s="11">
        <v>1.9449999999999998</v>
      </c>
      <c r="I23" s="6">
        <v>6.3020000000000014</v>
      </c>
      <c r="J23" s="11">
        <v>-6.5376071088543597E-2</v>
      </c>
      <c r="K23" s="6">
        <v>6.4960000000000004</v>
      </c>
      <c r="L23" s="11">
        <v>-9.3288177339901579E-2</v>
      </c>
      <c r="M23" s="6">
        <v>6.717500000000002</v>
      </c>
      <c r="N23" s="11">
        <v>-0.12318570896911085</v>
      </c>
      <c r="O23" s="6">
        <v>7.62</v>
      </c>
      <c r="P23" s="11">
        <v>-0.22703412073490814</v>
      </c>
      <c r="Q23" s="6">
        <v>3.9</v>
      </c>
      <c r="R23" s="11">
        <v>0.51025641025641022</v>
      </c>
    </row>
    <row r="24" spans="1:18">
      <c r="A24" s="1" t="s">
        <v>403</v>
      </c>
      <c r="B24" s="1" t="s">
        <v>425</v>
      </c>
      <c r="C24" s="5">
        <v>79.290000000000006</v>
      </c>
      <c r="D24" s="5">
        <v>-1.8600019999999944</v>
      </c>
      <c r="E24" s="14">
        <v>-2.29E-2</v>
      </c>
      <c r="F24" s="5">
        <v>81.150002000000001</v>
      </c>
      <c r="G24" s="5">
        <v>68</v>
      </c>
      <c r="H24" s="10">
        <v>0.16602941176470587</v>
      </c>
      <c r="I24" s="5">
        <v>81.558999899999989</v>
      </c>
      <c r="J24" s="10">
        <v>-2.7820349719614224E-2</v>
      </c>
      <c r="K24" s="5">
        <v>79.372249974999988</v>
      </c>
      <c r="L24" s="10">
        <v>-1.036256059591234E-3</v>
      </c>
      <c r="M24" s="5">
        <v>76.007000174999988</v>
      </c>
      <c r="N24" s="10">
        <v>4.3193387680623863E-2</v>
      </c>
      <c r="O24" s="5">
        <v>84.5</v>
      </c>
      <c r="P24" s="10">
        <v>-6.1656804733727699E-2</v>
      </c>
      <c r="Q24" s="5">
        <v>64.860000999999997</v>
      </c>
      <c r="R24" s="10">
        <v>0.22247916709097826</v>
      </c>
    </row>
    <row r="25" spans="1:18">
      <c r="A25" s="2" t="s">
        <v>11</v>
      </c>
      <c r="B25" s="2" t="s">
        <v>51</v>
      </c>
      <c r="C25" s="6">
        <v>39.590000000000003</v>
      </c>
      <c r="D25" s="6">
        <v>4.0001000000003728E-2</v>
      </c>
      <c r="E25" s="15">
        <v>1E-3</v>
      </c>
      <c r="F25" s="6">
        <v>39.549999</v>
      </c>
      <c r="G25" s="6">
        <v>35</v>
      </c>
      <c r="H25" s="11">
        <v>0.13114285714285723</v>
      </c>
      <c r="I25" s="6">
        <v>39.896000199999989</v>
      </c>
      <c r="J25" s="11">
        <v>-7.6699468233907275E-3</v>
      </c>
      <c r="K25" s="6">
        <v>40.598000200000001</v>
      </c>
      <c r="L25" s="11">
        <v>-2.4828814104986385E-2</v>
      </c>
      <c r="M25" s="6">
        <v>38.249750041666658</v>
      </c>
      <c r="N25" s="11">
        <v>3.5039443574751861E-2</v>
      </c>
      <c r="O25" s="6">
        <v>48.369999</v>
      </c>
      <c r="P25" s="11">
        <v>-0.18151745258460716</v>
      </c>
      <c r="Q25" s="6">
        <v>32.979999999999997</v>
      </c>
      <c r="R25" s="11">
        <v>0.20042449969678611</v>
      </c>
    </row>
    <row r="26" spans="1:18">
      <c r="A26" s="1" t="s">
        <v>404</v>
      </c>
      <c r="B26" s="1" t="s">
        <v>426</v>
      </c>
      <c r="C26" s="5">
        <v>29.41</v>
      </c>
      <c r="D26" s="5">
        <v>3.0001000000002165E-2</v>
      </c>
      <c r="E26" s="14">
        <v>1.1999999999999999E-3</v>
      </c>
      <c r="F26" s="5">
        <v>29.379998999999998</v>
      </c>
      <c r="G26" s="5">
        <v>20</v>
      </c>
      <c r="H26" s="10">
        <v>0.47049999999999992</v>
      </c>
      <c r="I26" s="5">
        <v>29.241999849999992</v>
      </c>
      <c r="J26" s="10">
        <v>5.7451662287730798E-3</v>
      </c>
      <c r="K26" s="5">
        <v>28.338249925000003</v>
      </c>
      <c r="L26" s="10">
        <v>3.7819910468589013E-2</v>
      </c>
      <c r="M26" s="5">
        <v>26.375250075000007</v>
      </c>
      <c r="N26" s="10">
        <v>0.11506051758259939</v>
      </c>
      <c r="O26" s="5">
        <v>29.77</v>
      </c>
      <c r="P26" s="10">
        <v>-1.2092710782667049E-2</v>
      </c>
      <c r="Q26" s="5">
        <v>19.59</v>
      </c>
      <c r="R26" s="10">
        <v>0.50127616130678909</v>
      </c>
    </row>
    <row r="27" spans="1:18">
      <c r="A27" s="2" t="s">
        <v>12</v>
      </c>
      <c r="B27" s="2" t="s">
        <v>52</v>
      </c>
      <c r="C27" s="6">
        <v>50.56</v>
      </c>
      <c r="D27" s="6">
        <v>0.17000100000000629</v>
      </c>
      <c r="E27" s="15">
        <v>3.3999999999999998E-3</v>
      </c>
      <c r="F27" s="6">
        <v>50.389998999999996</v>
      </c>
      <c r="G27" s="6">
        <v>15</v>
      </c>
      <c r="H27" s="11">
        <v>2.3706666666666667</v>
      </c>
      <c r="I27" s="6">
        <v>50.545500200000006</v>
      </c>
      <c r="J27" s="11">
        <v>2.8686628765406397E-4</v>
      </c>
      <c r="K27" s="6">
        <v>50.711749875000002</v>
      </c>
      <c r="L27" s="11">
        <v>-2.9924006837478423E-3</v>
      </c>
      <c r="M27" s="6">
        <v>48.33883324166667</v>
      </c>
      <c r="N27" s="11">
        <v>4.594994561057697E-2</v>
      </c>
      <c r="O27" s="6">
        <v>58.209998999999996</v>
      </c>
      <c r="P27" s="11">
        <v>-0.1314207031681961</v>
      </c>
      <c r="Q27" s="6">
        <v>21.549999</v>
      </c>
      <c r="R27" s="11">
        <v>1.3461718026065803</v>
      </c>
    </row>
    <row r="28" spans="1:18">
      <c r="A28" s="1" t="s">
        <v>405</v>
      </c>
      <c r="B28" s="1" t="s">
        <v>427</v>
      </c>
      <c r="C28" s="5">
        <v>3.67</v>
      </c>
      <c r="D28" s="5">
        <v>0</v>
      </c>
      <c r="E28" s="14">
        <v>0</v>
      </c>
      <c r="F28" s="5">
        <v>3.67</v>
      </c>
      <c r="G28" s="5">
        <v>1</v>
      </c>
      <c r="H28" s="10">
        <v>2.67</v>
      </c>
      <c r="I28" s="5">
        <v>3.8280000000000007</v>
      </c>
      <c r="J28" s="10">
        <v>-4.1274817136886299E-2</v>
      </c>
      <c r="K28" s="5">
        <v>3.7852499999999991</v>
      </c>
      <c r="L28" s="10">
        <v>-3.0447130308433823E-2</v>
      </c>
      <c r="M28" s="5">
        <v>4.0516666666666659</v>
      </c>
      <c r="N28" s="10">
        <v>-9.4199917729329341E-2</v>
      </c>
      <c r="O28" s="5">
        <v>6.91</v>
      </c>
      <c r="P28" s="10">
        <v>-0.46888567293777139</v>
      </c>
      <c r="Q28" s="5">
        <v>3.56</v>
      </c>
      <c r="R28" s="10">
        <v>3.0898876404494402E-2</v>
      </c>
    </row>
    <row r="29" spans="1:18">
      <c r="A29" s="2" t="s">
        <v>406</v>
      </c>
      <c r="B29" s="2" t="s">
        <v>428</v>
      </c>
      <c r="C29" s="6">
        <v>33</v>
      </c>
      <c r="D29" s="6">
        <v>-0.90000200000000063</v>
      </c>
      <c r="E29" s="15">
        <v>-2.6499999999999999E-2</v>
      </c>
      <c r="F29" s="6">
        <v>33.900002000000001</v>
      </c>
      <c r="G29" s="6">
        <v>26.5</v>
      </c>
      <c r="H29" s="11">
        <v>0.24528301886792447</v>
      </c>
      <c r="I29" s="6">
        <v>34.789999900000005</v>
      </c>
      <c r="J29" s="11">
        <v>-5.1451563815612555E-2</v>
      </c>
      <c r="K29" s="6">
        <v>33.604499975000003</v>
      </c>
      <c r="L29" s="11">
        <v>-1.7988661502171377E-2</v>
      </c>
      <c r="M29" s="6">
        <v>29.984583366666662</v>
      </c>
      <c r="N29" s="11">
        <v>0.10056556719362408</v>
      </c>
      <c r="O29" s="6">
        <v>36.419998</v>
      </c>
      <c r="P29" s="11">
        <v>-9.3904398347303575E-2</v>
      </c>
      <c r="Q29" s="6">
        <v>25.709999</v>
      </c>
      <c r="R29" s="11">
        <v>0.28354730780036208</v>
      </c>
    </row>
    <row r="30" spans="1:18">
      <c r="E30" s="17"/>
    </row>
    <row r="31" spans="1:18">
      <c r="E31" s="17"/>
    </row>
    <row r="32" spans="1:18">
      <c r="E32" s="17"/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</sheetData>
  <phoneticPr fontId="5" type="noConversion"/>
  <conditionalFormatting sqref="J2:J29 L2:L29 N2:N29">
    <cfRule type="cellIs" dxfId="9" priority="5" operator="lessThan">
      <formula>-0.02</formula>
    </cfRule>
  </conditionalFormatting>
  <conditionalFormatting sqref="P2:P29">
    <cfRule type="cellIs" dxfId="8" priority="4" operator="between">
      <formula>-0.05</formula>
      <formula>0.05</formula>
    </cfRule>
  </conditionalFormatting>
  <conditionalFormatting sqref="H2:H29">
    <cfRule type="cellIs" dxfId="7" priority="2" operator="between">
      <formula>0</formula>
      <formula>0.05</formula>
    </cfRule>
    <cfRule type="cellIs" dxfId="6" priority="3" operator="between">
      <formula>-0.05</formula>
      <formula>0</formula>
    </cfRule>
  </conditionalFormatting>
  <conditionalFormatting sqref="R2:R29">
    <cfRule type="cellIs" dxfId="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T89"/>
  <sheetViews>
    <sheetView zoomScale="80" zoomScaleNormal="80" workbookViewId="0">
      <pane ySplit="1" topLeftCell="A2" activePane="bottomLeft" state="frozen"/>
      <selection activeCell="E2" sqref="E2:E46"/>
      <selection pane="bottomLeft" activeCell="N12" sqref="N12"/>
    </sheetView>
  </sheetViews>
  <sheetFormatPr defaultRowHeight="1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19" max="19" width="28.140625" bestFit="1" customWidth="1"/>
    <col min="20" max="20" width="10.28515625" bestFit="1" customWidth="1"/>
  </cols>
  <sheetData>
    <row r="1" spans="1:20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  <c r="S1" s="18" t="s">
        <v>624</v>
      </c>
    </row>
    <row r="2" spans="1:20">
      <c r="A2" s="1" t="s">
        <v>540</v>
      </c>
      <c r="B2" s="1" t="s">
        <v>453</v>
      </c>
      <c r="C2" s="5">
        <v>5.51</v>
      </c>
      <c r="D2" s="5">
        <v>-9.9999999999997868E-3</v>
      </c>
      <c r="E2" s="14">
        <v>-1.8E-3</v>
      </c>
      <c r="F2" s="5">
        <v>5.52</v>
      </c>
      <c r="G2" s="5">
        <v>7</v>
      </c>
      <c r="H2" s="10">
        <v>-0.21285714285714286</v>
      </c>
      <c r="I2" s="5">
        <v>5.5049999999999999</v>
      </c>
      <c r="J2" s="10">
        <v>9.0826521344222755E-4</v>
      </c>
      <c r="K2" s="5">
        <v>6.0325000000000006</v>
      </c>
      <c r="L2" s="10">
        <v>-8.6614173228346636E-2</v>
      </c>
      <c r="M2" s="5">
        <v>6.9272499999999999</v>
      </c>
      <c r="N2" s="10">
        <v>-0.20459056624201521</v>
      </c>
      <c r="O2" s="5">
        <v>20.93</v>
      </c>
      <c r="P2" s="10">
        <v>-0.73674151935021504</v>
      </c>
      <c r="Q2" s="5">
        <v>5.24</v>
      </c>
      <c r="R2" s="10">
        <v>5.15267175572518E-2</v>
      </c>
      <c r="S2" s="1" t="s">
        <v>606</v>
      </c>
    </row>
    <row r="3" spans="1:20">
      <c r="A3" s="2" t="s">
        <v>541</v>
      </c>
      <c r="B3" s="2" t="s">
        <v>454</v>
      </c>
      <c r="C3" s="6">
        <v>13.48</v>
      </c>
      <c r="D3" s="6">
        <v>5.0000000000000711E-2</v>
      </c>
      <c r="E3" s="15">
        <v>3.7000000000000002E-3</v>
      </c>
      <c r="F3" s="6">
        <v>13.43</v>
      </c>
      <c r="G3" s="6">
        <v>12</v>
      </c>
      <c r="H3" s="11">
        <v>0.12333333333333329</v>
      </c>
      <c r="I3" s="6">
        <v>13.593500000000001</v>
      </c>
      <c r="J3" s="11">
        <v>-8.349578842829275E-3</v>
      </c>
      <c r="K3" s="6">
        <v>13.179749999999995</v>
      </c>
      <c r="L3" s="11">
        <v>2.2781160492422403E-2</v>
      </c>
      <c r="M3" s="6">
        <v>13.769583350000003</v>
      </c>
      <c r="N3" s="11">
        <v>-2.1030654496891676E-2</v>
      </c>
      <c r="O3" s="6">
        <v>19.799999</v>
      </c>
      <c r="P3" s="11">
        <v>-0.31919188480767091</v>
      </c>
      <c r="Q3" s="6">
        <v>12.23</v>
      </c>
      <c r="R3" s="11">
        <v>0.10220768601798857</v>
      </c>
      <c r="S3" s="2" t="s">
        <v>604</v>
      </c>
      <c r="T3" t="s">
        <v>696</v>
      </c>
    </row>
    <row r="4" spans="1:20">
      <c r="A4" s="1" t="s">
        <v>542</v>
      </c>
      <c r="B4" s="1" t="s">
        <v>455</v>
      </c>
      <c r="C4" s="5">
        <v>39.64</v>
      </c>
      <c r="D4" s="5">
        <v>0.64000000000000057</v>
      </c>
      <c r="E4" s="14">
        <v>1.6400000000000001E-2</v>
      </c>
      <c r="F4" s="5">
        <v>39</v>
      </c>
      <c r="G4" s="5">
        <v>25</v>
      </c>
      <c r="H4" s="10">
        <v>0.58560000000000012</v>
      </c>
      <c r="I4" s="5">
        <v>37.871999700000011</v>
      </c>
      <c r="J4" s="10">
        <v>4.668357398619194E-2</v>
      </c>
      <c r="K4" s="5">
        <v>36.895999574999991</v>
      </c>
      <c r="L4" s="10">
        <v>7.4371217926273214E-2</v>
      </c>
      <c r="M4" s="5">
        <v>35.218333275000006</v>
      </c>
      <c r="N4" s="10">
        <v>0.1255501414696063</v>
      </c>
      <c r="O4" s="5">
        <v>40.520000000000003</v>
      </c>
      <c r="P4" s="10">
        <v>-2.1717670286278468E-2</v>
      </c>
      <c r="Q4" s="5">
        <v>28.17</v>
      </c>
      <c r="R4" s="10">
        <v>0.40717074902378414</v>
      </c>
      <c r="S4" s="1" t="s">
        <v>611</v>
      </c>
    </row>
    <row r="5" spans="1:20">
      <c r="A5" s="2" t="s">
        <v>543</v>
      </c>
      <c r="B5" s="2" t="s">
        <v>456</v>
      </c>
      <c r="C5" s="6">
        <v>37.119999999999997</v>
      </c>
      <c r="D5" s="6">
        <v>1.5900010000000009</v>
      </c>
      <c r="E5" s="15">
        <v>4.48E-2</v>
      </c>
      <c r="F5" s="6">
        <v>35.529998999999997</v>
      </c>
      <c r="G5" s="6">
        <v>20</v>
      </c>
      <c r="H5" s="11">
        <v>0.85599999999999987</v>
      </c>
      <c r="I5" s="6">
        <v>36.605499999999992</v>
      </c>
      <c r="J5" s="11">
        <v>1.4055264919206278E-2</v>
      </c>
      <c r="K5" s="6">
        <v>36.272999950000006</v>
      </c>
      <c r="L5" s="11">
        <v>2.3350703034420217E-2</v>
      </c>
      <c r="M5" s="6">
        <v>33.727166666666669</v>
      </c>
      <c r="N5" s="11">
        <v>0.10059645290888142</v>
      </c>
      <c r="O5" s="6">
        <v>56.700001</v>
      </c>
      <c r="P5" s="11">
        <v>-0.34532629020588557</v>
      </c>
      <c r="Q5" s="6">
        <v>27.940001000000002</v>
      </c>
      <c r="R5" s="11">
        <v>0.32856115502644379</v>
      </c>
      <c r="S5" s="2" t="s">
        <v>605</v>
      </c>
    </row>
    <row r="6" spans="1:20">
      <c r="A6" s="1" t="s">
        <v>544</v>
      </c>
      <c r="B6" s="1" t="s">
        <v>457</v>
      </c>
      <c r="C6" s="5">
        <v>9.6189999999999998</v>
      </c>
      <c r="D6" s="5">
        <v>0.35899999999999999</v>
      </c>
      <c r="E6" s="14">
        <v>3.8769999999999999E-2</v>
      </c>
      <c r="F6" s="5">
        <v>9.26</v>
      </c>
      <c r="G6" s="5">
        <v>5</v>
      </c>
      <c r="H6" s="10">
        <v>0.92379999999999995</v>
      </c>
      <c r="I6" s="5">
        <v>9.166500000000001</v>
      </c>
      <c r="J6" s="10">
        <v>4.9364533900616347E-2</v>
      </c>
      <c r="K6" s="5">
        <v>9.0604999999999993</v>
      </c>
      <c r="L6" s="10">
        <v>6.1641189779813477E-2</v>
      </c>
      <c r="M6" s="5">
        <v>8.5079999999999991</v>
      </c>
      <c r="N6" s="10">
        <v>0.13058298072402463</v>
      </c>
      <c r="O6" s="5">
        <v>11.71</v>
      </c>
      <c r="P6" s="10">
        <v>-0.17856532877882159</v>
      </c>
      <c r="Q6" s="5">
        <v>4.9800000000000004</v>
      </c>
      <c r="R6" s="10">
        <v>0.93152610441767036</v>
      </c>
      <c r="S6" s="1" t="s">
        <v>608</v>
      </c>
    </row>
    <row r="7" spans="1:20">
      <c r="A7" s="2" t="s">
        <v>545</v>
      </c>
      <c r="B7" s="2" t="s">
        <v>458</v>
      </c>
      <c r="C7" s="6">
        <v>2.7</v>
      </c>
      <c r="D7" s="6">
        <v>-8.9999999999999858E-2</v>
      </c>
      <c r="E7" s="15">
        <v>-3.2300000000000002E-2</v>
      </c>
      <c r="F7" s="6">
        <v>2.79</v>
      </c>
      <c r="G7" s="6">
        <v>2</v>
      </c>
      <c r="H7" s="11">
        <v>0.35000000000000009</v>
      </c>
      <c r="I7" s="6">
        <v>2.8014999999999999</v>
      </c>
      <c r="J7" s="11">
        <v>-3.6230590754952607E-2</v>
      </c>
      <c r="K7" s="6">
        <v>2.6535000000000006</v>
      </c>
      <c r="L7" s="11">
        <v>1.7524024872809241E-2</v>
      </c>
      <c r="M7" s="6">
        <v>2.6687500000000002</v>
      </c>
      <c r="N7" s="11">
        <v>1.1709601873536313E-2</v>
      </c>
      <c r="O7" s="6">
        <v>5.44</v>
      </c>
      <c r="P7" s="11">
        <v>-0.50367647058823528</v>
      </c>
      <c r="Q7" s="6">
        <v>2.4</v>
      </c>
      <c r="R7" s="11">
        <v>0.12500000000000022</v>
      </c>
      <c r="S7" s="2" t="s">
        <v>607</v>
      </c>
    </row>
    <row r="8" spans="1:20">
      <c r="A8" s="1" t="s">
        <v>9</v>
      </c>
      <c r="B8" s="1" t="s">
        <v>459</v>
      </c>
      <c r="C8" s="5">
        <v>110.76</v>
      </c>
      <c r="D8" s="5">
        <v>-0.47000299999999129</v>
      </c>
      <c r="E8" s="14">
        <v>-4.1999999999999997E-3</v>
      </c>
      <c r="F8" s="5">
        <v>111.230003</v>
      </c>
      <c r="G8" s="5">
        <v>60</v>
      </c>
      <c r="H8" s="10">
        <v>0.84600000000000009</v>
      </c>
      <c r="I8" s="5">
        <v>108.77949970000002</v>
      </c>
      <c r="J8" s="10">
        <v>1.8206558271199658E-2</v>
      </c>
      <c r="K8" s="5">
        <v>106.2689996</v>
      </c>
      <c r="L8" s="10">
        <v>4.2260682013609552E-2</v>
      </c>
      <c r="M8" s="5">
        <v>99.221499758333309</v>
      </c>
      <c r="N8" s="10">
        <v>0.11629032286117624</v>
      </c>
      <c r="O8" s="5">
        <v>111.760002</v>
      </c>
      <c r="P8" s="10">
        <v>-8.947762903583345E-3</v>
      </c>
      <c r="Q8" s="5">
        <v>74.230002999999996</v>
      </c>
      <c r="R8" s="10">
        <v>0.49211902901310678</v>
      </c>
      <c r="S8" s="1" t="s">
        <v>612</v>
      </c>
    </row>
    <row r="9" spans="1:20">
      <c r="A9" s="2" t="s">
        <v>385</v>
      </c>
      <c r="B9" s="2" t="s">
        <v>460</v>
      </c>
      <c r="C9" s="6">
        <v>13.16</v>
      </c>
      <c r="D9" s="6">
        <v>0.25999999999999979</v>
      </c>
      <c r="E9" s="15">
        <v>2.0199999999999999E-2</v>
      </c>
      <c r="F9" s="6">
        <v>12.9</v>
      </c>
      <c r="G9" s="6">
        <v>8</v>
      </c>
      <c r="H9" s="11">
        <v>0.64500000000000002</v>
      </c>
      <c r="I9" s="6">
        <v>12.459999999999997</v>
      </c>
      <c r="J9" s="11">
        <v>5.6179775280899014E-2</v>
      </c>
      <c r="K9" s="6">
        <v>12.69725</v>
      </c>
      <c r="L9" s="11">
        <v>3.6444899486109072E-2</v>
      </c>
      <c r="M9" s="6">
        <v>11.714249999999996</v>
      </c>
      <c r="N9" s="11">
        <v>0.12341805920140048</v>
      </c>
      <c r="O9" s="6">
        <v>13.8</v>
      </c>
      <c r="P9" s="11">
        <v>-4.6376811594202927E-2</v>
      </c>
      <c r="Q9" s="6">
        <v>7.22</v>
      </c>
      <c r="R9" s="11">
        <v>0.82271468144044335</v>
      </c>
      <c r="S9" s="2" t="s">
        <v>609</v>
      </c>
    </row>
    <row r="10" spans="1:20">
      <c r="A10" s="1" t="s">
        <v>386</v>
      </c>
      <c r="B10" s="1" t="s">
        <v>461</v>
      </c>
      <c r="C10" s="5">
        <v>3.66</v>
      </c>
      <c r="D10" s="5">
        <v>-2.0000000000000018E-2</v>
      </c>
      <c r="E10" s="14">
        <v>-5.4000000000000003E-3</v>
      </c>
      <c r="F10" s="5">
        <v>3.68</v>
      </c>
      <c r="G10" s="5">
        <v>2</v>
      </c>
      <c r="H10" s="10">
        <v>0.83000000000000007</v>
      </c>
      <c r="I10" s="5">
        <v>3.8205000000000005</v>
      </c>
      <c r="J10" s="10">
        <v>-4.2010208087946643E-2</v>
      </c>
      <c r="K10" s="5">
        <v>3.7802499999999997</v>
      </c>
      <c r="L10" s="10">
        <v>-3.1810065471860161E-2</v>
      </c>
      <c r="M10" s="5">
        <v>3.7123333333333326</v>
      </c>
      <c r="N10" s="10">
        <v>-1.4097153632037118E-2</v>
      </c>
      <c r="O10" s="5">
        <v>5.91</v>
      </c>
      <c r="P10" s="10">
        <v>-0.38071065989847719</v>
      </c>
      <c r="Q10" s="5">
        <v>2.97</v>
      </c>
      <c r="R10" s="10">
        <v>0.23232323232323226</v>
      </c>
      <c r="S10" s="1" t="s">
        <v>610</v>
      </c>
    </row>
    <row r="11" spans="1:20">
      <c r="A11" s="2" t="s">
        <v>546</v>
      </c>
      <c r="B11" s="2" t="s">
        <v>462</v>
      </c>
      <c r="C11" s="6">
        <v>30.82</v>
      </c>
      <c r="D11" s="6">
        <v>0.64999999999999858</v>
      </c>
      <c r="E11" s="15">
        <v>2.1499999999999998E-2</v>
      </c>
      <c r="F11" s="6">
        <v>30.17</v>
      </c>
      <c r="G11" s="6">
        <v>20</v>
      </c>
      <c r="H11" s="11">
        <v>0.54099999999999993</v>
      </c>
      <c r="I11" s="6">
        <v>31.231500199999999</v>
      </c>
      <c r="J11" s="11">
        <v>-1.3175806393059486E-2</v>
      </c>
      <c r="K11" s="6">
        <v>32.538000000000004</v>
      </c>
      <c r="L11" s="11">
        <v>-5.2799803306902815E-2</v>
      </c>
      <c r="M11" s="6">
        <v>29.361166799999999</v>
      </c>
      <c r="N11" s="11">
        <v>4.968580472081241E-2</v>
      </c>
      <c r="O11" s="6">
        <v>35.779998999999997</v>
      </c>
      <c r="P11" s="11">
        <v>-0.13862490605435729</v>
      </c>
      <c r="Q11" s="6">
        <v>19.5</v>
      </c>
      <c r="R11" s="11">
        <v>0.58051282051282049</v>
      </c>
      <c r="S11" s="2" t="s">
        <v>613</v>
      </c>
    </row>
    <row r="12" spans="1:20">
      <c r="A12" s="1" t="s">
        <v>387</v>
      </c>
      <c r="B12" s="1" t="s">
        <v>463</v>
      </c>
      <c r="C12" s="5">
        <v>177.81</v>
      </c>
      <c r="D12" s="5">
        <v>3.3399990000000059</v>
      </c>
      <c r="E12" s="14">
        <v>1.9099999999999999E-2</v>
      </c>
      <c r="F12" s="5">
        <v>174.470001</v>
      </c>
      <c r="G12" s="5">
        <v>100</v>
      </c>
      <c r="H12" s="10">
        <v>0.77810000000000001</v>
      </c>
      <c r="I12" s="5">
        <v>172.16299910000001</v>
      </c>
      <c r="J12" s="10">
        <v>3.2800316731935952E-2</v>
      </c>
      <c r="K12" s="5">
        <v>173.99549942499999</v>
      </c>
      <c r="L12" s="10">
        <v>2.1922984143875723E-2</v>
      </c>
      <c r="M12" s="5">
        <v>172.3887504333334</v>
      </c>
      <c r="N12" s="10">
        <v>3.1447815202785723E-2</v>
      </c>
      <c r="O12" s="5">
        <v>196.029999</v>
      </c>
      <c r="P12" s="10">
        <v>-9.2944952777355261E-2</v>
      </c>
      <c r="Q12" s="5">
        <v>156.91999799999999</v>
      </c>
      <c r="R12" s="10">
        <v>0.13312517375892408</v>
      </c>
      <c r="S12" s="1" t="s">
        <v>614</v>
      </c>
    </row>
    <row r="13" spans="1:20">
      <c r="A13" s="2" t="s">
        <v>547</v>
      </c>
      <c r="B13" s="2" t="s">
        <v>464</v>
      </c>
      <c r="C13" s="6">
        <v>15</v>
      </c>
      <c r="D13" s="6">
        <v>0.25999999999999979</v>
      </c>
      <c r="E13" s="15">
        <v>1.7600000000000001E-2</v>
      </c>
      <c r="F13" s="6">
        <v>14.74</v>
      </c>
      <c r="G13" s="6">
        <v>5</v>
      </c>
      <c r="H13" s="11">
        <v>2</v>
      </c>
      <c r="I13" s="6">
        <v>15.120500000000002</v>
      </c>
      <c r="J13" s="11">
        <v>-7.9693131840878895E-3</v>
      </c>
      <c r="K13" s="6">
        <v>15.029250000000001</v>
      </c>
      <c r="L13" s="11">
        <v>-1.9462049004441706E-3</v>
      </c>
      <c r="M13" s="6">
        <v>14.170041675</v>
      </c>
      <c r="N13" s="11">
        <v>5.8571339734609484E-2</v>
      </c>
      <c r="O13" s="6">
        <v>18.5</v>
      </c>
      <c r="P13" s="11">
        <v>-0.18918918918918914</v>
      </c>
      <c r="Q13" s="6">
        <v>5.42</v>
      </c>
      <c r="R13" s="11">
        <v>1.7675276752767526</v>
      </c>
      <c r="S13" s="2" t="s">
        <v>615</v>
      </c>
    </row>
    <row r="14" spans="1:20">
      <c r="A14" s="1" t="s">
        <v>548</v>
      </c>
      <c r="B14" s="1" t="s">
        <v>465</v>
      </c>
      <c r="C14" s="5">
        <v>36.83</v>
      </c>
      <c r="D14" s="5">
        <v>-3.0001000000005718E-2</v>
      </c>
      <c r="E14" s="14">
        <v>-8.0000000000000004E-4</v>
      </c>
      <c r="F14" s="5">
        <v>36.860001000000004</v>
      </c>
      <c r="G14" s="5">
        <v>25</v>
      </c>
      <c r="H14" s="10">
        <v>0.47319999999999984</v>
      </c>
      <c r="I14" s="5">
        <v>37.168250150000006</v>
      </c>
      <c r="J14" s="10">
        <v>-9.1005131701097364E-3</v>
      </c>
      <c r="K14" s="5">
        <v>38.333625150000003</v>
      </c>
      <c r="L14" s="10">
        <v>-3.9224705310710872E-2</v>
      </c>
      <c r="M14" s="5">
        <v>34.475208358333333</v>
      </c>
      <c r="N14" s="10">
        <v>6.8303913269822658E-2</v>
      </c>
      <c r="O14" s="5">
        <v>40.779998999999997</v>
      </c>
      <c r="P14" s="10">
        <v>-9.6861184327150185E-2</v>
      </c>
      <c r="Q14" s="5">
        <v>25.719998999999998</v>
      </c>
      <c r="R14" s="10">
        <v>0.43195962021615952</v>
      </c>
      <c r="S14" s="1" t="s">
        <v>616</v>
      </c>
    </row>
    <row r="15" spans="1:20">
      <c r="A15" s="2" t="s">
        <v>360</v>
      </c>
      <c r="B15" s="2" t="s">
        <v>466</v>
      </c>
      <c r="C15" s="6">
        <v>27.89</v>
      </c>
      <c r="D15" s="6">
        <v>0.59000100000000089</v>
      </c>
      <c r="E15" s="15">
        <v>2.1600000000000001E-2</v>
      </c>
      <c r="F15" s="6">
        <v>27.299999</v>
      </c>
      <c r="G15" s="6">
        <v>20</v>
      </c>
      <c r="H15" s="11">
        <v>0.39450000000000007</v>
      </c>
      <c r="I15" s="6">
        <v>27.906500000000001</v>
      </c>
      <c r="J15" s="11">
        <v>-5.9126010069343593E-4</v>
      </c>
      <c r="K15" s="6">
        <v>28.406249899999988</v>
      </c>
      <c r="L15" s="11">
        <v>-1.817381392536388E-2</v>
      </c>
      <c r="M15" s="6">
        <v>25.768749933333329</v>
      </c>
      <c r="N15" s="11">
        <v>8.2318702775826758E-2</v>
      </c>
      <c r="O15" s="6">
        <v>31.299999</v>
      </c>
      <c r="P15" s="11">
        <v>-0.1089456584327686</v>
      </c>
      <c r="Q15" s="6">
        <v>17.450001</v>
      </c>
      <c r="R15" s="11">
        <v>0.59828071070024591</v>
      </c>
      <c r="S15" s="2" t="s">
        <v>617</v>
      </c>
    </row>
    <row r="16" spans="1:20">
      <c r="A16" s="1" t="s">
        <v>549</v>
      </c>
      <c r="B16" s="1" t="s">
        <v>467</v>
      </c>
      <c r="C16" s="5">
        <v>10.37</v>
      </c>
      <c r="D16" s="5">
        <v>0.28999999999999915</v>
      </c>
      <c r="E16" s="14">
        <v>2.8799999999999999E-2</v>
      </c>
      <c r="F16" s="5">
        <v>10.08</v>
      </c>
      <c r="G16" s="5">
        <v>9</v>
      </c>
      <c r="H16" s="10">
        <v>0.15222222222222204</v>
      </c>
      <c r="I16" s="5">
        <v>10.708499999999999</v>
      </c>
      <c r="J16" s="10">
        <v>-3.1610402950926764E-2</v>
      </c>
      <c r="K16" s="5">
        <v>10.769499999999997</v>
      </c>
      <c r="L16" s="10">
        <v>-3.7095501183898816E-2</v>
      </c>
      <c r="M16" s="5">
        <v>10.26375</v>
      </c>
      <c r="N16" s="10">
        <v>1.0351966873705987E-2</v>
      </c>
      <c r="O16" s="5">
        <v>16.68</v>
      </c>
      <c r="P16" s="10">
        <v>-0.37829736211031184</v>
      </c>
      <c r="Q16" s="5">
        <v>8.8699999999999992</v>
      </c>
      <c r="R16" s="10">
        <v>0.16910935738444199</v>
      </c>
      <c r="S16" s="1" t="s">
        <v>618</v>
      </c>
    </row>
    <row r="17" spans="1:19">
      <c r="A17" s="2" t="s">
        <v>550</v>
      </c>
      <c r="B17" s="2" t="s">
        <v>468</v>
      </c>
      <c r="C17" s="6">
        <v>1.27</v>
      </c>
      <c r="D17" s="6">
        <v>0</v>
      </c>
      <c r="E17" s="15">
        <v>0</v>
      </c>
      <c r="F17" s="6">
        <v>1.27</v>
      </c>
      <c r="G17" s="6">
        <v>1.1000000000000001</v>
      </c>
      <c r="H17" s="11">
        <v>0.15454545454545454</v>
      </c>
      <c r="I17" s="6">
        <v>1.2835000000000001</v>
      </c>
      <c r="J17" s="11">
        <v>-1.0518114530580491E-2</v>
      </c>
      <c r="K17" s="6">
        <v>1.3187500000000005</v>
      </c>
      <c r="L17" s="11">
        <v>-3.6966824644550145E-2</v>
      </c>
      <c r="M17" s="6">
        <v>1.3597500000000007</v>
      </c>
      <c r="N17" s="11">
        <v>-6.6004780290495058E-2</v>
      </c>
      <c r="O17" s="6">
        <v>1.72</v>
      </c>
      <c r="P17" s="11">
        <v>-0.26162790697674421</v>
      </c>
      <c r="Q17" s="6">
        <v>1.1200000000000001</v>
      </c>
      <c r="R17" s="11">
        <v>0.1339285714285714</v>
      </c>
      <c r="S17" s="2" t="s">
        <v>619</v>
      </c>
    </row>
    <row r="18" spans="1:19">
      <c r="A18" s="1" t="s">
        <v>551</v>
      </c>
      <c r="B18" s="1" t="s">
        <v>469</v>
      </c>
      <c r="C18" s="5">
        <v>10.36</v>
      </c>
      <c r="D18" s="5">
        <v>-5.0000000000000711E-2</v>
      </c>
      <c r="E18" s="14">
        <v>-4.7999999999999996E-3</v>
      </c>
      <c r="F18" s="5">
        <v>10.41</v>
      </c>
      <c r="G18" s="5">
        <v>2.5</v>
      </c>
      <c r="H18" s="10">
        <v>3.1440000000000001</v>
      </c>
      <c r="I18" s="5">
        <v>10.379999999999999</v>
      </c>
      <c r="J18" s="10">
        <v>-1.9267822736029894E-3</v>
      </c>
      <c r="K18" s="5">
        <v>10.215750000000002</v>
      </c>
      <c r="L18" s="10">
        <v>1.4120353375914441E-2</v>
      </c>
      <c r="M18" s="5">
        <v>11.1305</v>
      </c>
      <c r="N18" s="10">
        <v>-6.9224203764431058E-2</v>
      </c>
      <c r="O18" s="5">
        <v>14.15</v>
      </c>
      <c r="P18" s="10">
        <v>-0.26784452296819794</v>
      </c>
      <c r="Q18" s="5">
        <v>9.02</v>
      </c>
      <c r="R18" s="10">
        <v>0.14855875831485577</v>
      </c>
      <c r="S18" s="1" t="s">
        <v>620</v>
      </c>
    </row>
    <row r="19" spans="1:19">
      <c r="A19" s="2" t="s">
        <v>552</v>
      </c>
      <c r="B19" s="2" t="s">
        <v>470</v>
      </c>
      <c r="C19" s="6">
        <v>26.97</v>
      </c>
      <c r="D19" s="6">
        <v>-1.0199999999999996</v>
      </c>
      <c r="E19" s="15">
        <v>-3.6400000000000002E-2</v>
      </c>
      <c r="F19" s="6">
        <v>27.99</v>
      </c>
      <c r="G19" s="6">
        <v>20</v>
      </c>
      <c r="H19" s="11">
        <v>0.34850000000000003</v>
      </c>
      <c r="I19" s="6">
        <v>29.050999900000004</v>
      </c>
      <c r="J19" s="11">
        <v>-7.163264284063442E-2</v>
      </c>
      <c r="K19" s="6">
        <v>28.358999899999997</v>
      </c>
      <c r="L19" s="11">
        <v>-4.8979156701502657E-2</v>
      </c>
      <c r="M19" s="6">
        <v>25.291083291666656</v>
      </c>
      <c r="N19" s="11">
        <v>6.6383740426276816E-2</v>
      </c>
      <c r="O19" s="6">
        <v>30.860001</v>
      </c>
      <c r="P19" s="11">
        <v>-0.12605317154720774</v>
      </c>
      <c r="Q19" s="6">
        <v>21.43</v>
      </c>
      <c r="R19" s="11">
        <v>0.2585160989267381</v>
      </c>
      <c r="S19" s="2" t="s">
        <v>621</v>
      </c>
    </row>
    <row r="20" spans="1:19">
      <c r="A20" s="1" t="s">
        <v>553</v>
      </c>
      <c r="B20" s="1" t="s">
        <v>471</v>
      </c>
      <c r="C20" s="5">
        <v>2.77</v>
      </c>
      <c r="D20" s="5">
        <v>-8.0000000000000071E-2</v>
      </c>
      <c r="E20" s="14">
        <v>-2.7699999999999999E-2</v>
      </c>
      <c r="F20" s="5">
        <v>2.85</v>
      </c>
      <c r="G20" s="5">
        <v>3</v>
      </c>
      <c r="H20" s="10">
        <v>-7.6666666666666661E-2</v>
      </c>
      <c r="I20" s="5">
        <v>3.1340000000000003</v>
      </c>
      <c r="J20" s="10">
        <v>-0.11614550095724319</v>
      </c>
      <c r="K20" s="5">
        <v>3.1492499999999999</v>
      </c>
      <c r="L20" s="10">
        <v>-0.12042549813447645</v>
      </c>
      <c r="M20" s="5">
        <v>3.4983333333333335</v>
      </c>
      <c r="N20" s="10">
        <v>-0.20819437827536924</v>
      </c>
      <c r="O20" s="5">
        <v>5.78</v>
      </c>
      <c r="P20" s="10">
        <v>-0.52076124567474058</v>
      </c>
      <c r="Q20" s="5">
        <v>2.85</v>
      </c>
      <c r="R20" s="10">
        <v>-2.8070175438596467E-2</v>
      </c>
      <c r="S20" s="1" t="s">
        <v>622</v>
      </c>
    </row>
    <row r="21" spans="1:19">
      <c r="A21" s="2" t="s">
        <v>396</v>
      </c>
      <c r="B21" s="2" t="s">
        <v>472</v>
      </c>
      <c r="C21" s="6">
        <v>14.33</v>
      </c>
      <c r="D21" s="6">
        <v>-5.0000000000000711E-2</v>
      </c>
      <c r="E21" s="15">
        <v>-3.5000000000000001E-3</v>
      </c>
      <c r="F21" s="6">
        <v>14.38</v>
      </c>
      <c r="G21" s="6">
        <v>12</v>
      </c>
      <c r="H21" s="11">
        <v>0.1941666666666666</v>
      </c>
      <c r="I21" s="6">
        <v>15.25</v>
      </c>
      <c r="J21" s="11">
        <v>-6.0327868852458999E-2</v>
      </c>
      <c r="K21" s="6">
        <v>15.356500049999998</v>
      </c>
      <c r="L21" s="11">
        <v>-6.6844661651923598E-2</v>
      </c>
      <c r="M21" s="6">
        <v>14.19650001666667</v>
      </c>
      <c r="N21" s="11">
        <v>9.4037250855212307E-3</v>
      </c>
      <c r="O21" s="6">
        <v>16.23</v>
      </c>
      <c r="P21" s="11">
        <v>-0.11706715958102276</v>
      </c>
      <c r="Q21" s="6">
        <v>10.23</v>
      </c>
      <c r="R21" s="11">
        <v>0.40078201368523936</v>
      </c>
      <c r="S21" s="2" t="s">
        <v>623</v>
      </c>
    </row>
    <row r="22" spans="1:19">
      <c r="A22" s="1" t="s">
        <v>554</v>
      </c>
      <c r="B22" s="1" t="s">
        <v>473</v>
      </c>
      <c r="C22" s="5">
        <v>63.6</v>
      </c>
      <c r="D22" s="5">
        <v>0.67000000000000171</v>
      </c>
      <c r="E22" s="14">
        <v>1.06E-2</v>
      </c>
      <c r="F22" s="5">
        <v>62.93</v>
      </c>
      <c r="G22" s="5">
        <v>20</v>
      </c>
      <c r="H22" s="10">
        <v>2.1800000000000002</v>
      </c>
      <c r="I22" s="5">
        <v>61.534500349999995</v>
      </c>
      <c r="J22" s="10">
        <v>3.3566529966957193E-2</v>
      </c>
      <c r="K22" s="5">
        <v>59.979000450000015</v>
      </c>
      <c r="L22" s="10">
        <v>6.0371121939895245E-2</v>
      </c>
      <c r="M22" s="5">
        <v>53.174416866666654</v>
      </c>
      <c r="N22" s="10">
        <v>0.19606389214338171</v>
      </c>
      <c r="O22" s="5">
        <v>64.040001000000004</v>
      </c>
      <c r="P22" s="10">
        <v>-6.8707213168219816E-3</v>
      </c>
      <c r="Q22" s="5">
        <v>32.799999</v>
      </c>
      <c r="R22" s="10">
        <v>0.93902444936050156</v>
      </c>
      <c r="S22" s="1" t="s">
        <v>625</v>
      </c>
    </row>
    <row r="23" spans="1:19">
      <c r="A23" s="2" t="s">
        <v>389</v>
      </c>
      <c r="B23" s="2" t="s">
        <v>474</v>
      </c>
      <c r="C23" s="6">
        <v>53.54</v>
      </c>
      <c r="D23" s="6">
        <v>-0.2700010000000006</v>
      </c>
      <c r="E23" s="15">
        <v>-5.0000000000000001E-3</v>
      </c>
      <c r="F23" s="6">
        <v>53.810001</v>
      </c>
      <c r="G23" s="6">
        <v>50</v>
      </c>
      <c r="H23" s="11">
        <v>7.0799999999999974E-2</v>
      </c>
      <c r="I23" s="6">
        <v>55.436000050000004</v>
      </c>
      <c r="J23" s="11">
        <v>-3.4201602718268331E-2</v>
      </c>
      <c r="K23" s="6">
        <v>55.464749949999998</v>
      </c>
      <c r="L23" s="11">
        <v>-3.470221990967437E-2</v>
      </c>
      <c r="M23" s="6">
        <v>55.219583324999967</v>
      </c>
      <c r="N23" s="11">
        <v>-3.0416443295390727E-2</v>
      </c>
      <c r="O23" s="6">
        <v>63.720001000000003</v>
      </c>
      <c r="P23" s="11">
        <v>-0.15976146955804349</v>
      </c>
      <c r="Q23" s="6">
        <v>51.919998</v>
      </c>
      <c r="R23" s="11">
        <v>3.1201888721182236E-2</v>
      </c>
      <c r="S23" s="2" t="s">
        <v>626</v>
      </c>
    </row>
    <row r="24" spans="1:19">
      <c r="A24" s="1" t="s">
        <v>36</v>
      </c>
      <c r="B24" s="1" t="s">
        <v>475</v>
      </c>
      <c r="C24" s="5">
        <v>115.64</v>
      </c>
      <c r="D24" s="5">
        <v>-2.1200019999999995</v>
      </c>
      <c r="E24" s="14">
        <v>-1.7999999999999999E-2</v>
      </c>
      <c r="F24" s="5">
        <v>117.760002</v>
      </c>
      <c r="G24" s="5">
        <v>124</v>
      </c>
      <c r="H24" s="10">
        <v>-6.7419354838709644E-2</v>
      </c>
      <c r="I24" s="5">
        <v>120.05199990000001</v>
      </c>
      <c r="J24" s="10">
        <v>-3.6750740543057048E-2</v>
      </c>
      <c r="K24" s="5">
        <v>118.81249990000001</v>
      </c>
      <c r="L24" s="10">
        <v>-2.6701735109270319E-2</v>
      </c>
      <c r="M24" s="5">
        <v>124.3801667</v>
      </c>
      <c r="N24" s="10">
        <v>-7.0269777987039816E-2</v>
      </c>
      <c r="O24" s="5">
        <v>138.11000100000001</v>
      </c>
      <c r="P24" s="10">
        <v>-0.16269640748174352</v>
      </c>
      <c r="Q24" s="5">
        <v>113.160004</v>
      </c>
      <c r="R24" s="10">
        <v>2.1915835209761925E-2</v>
      </c>
      <c r="S24" s="1" t="s">
        <v>627</v>
      </c>
    </row>
    <row r="25" spans="1:19">
      <c r="A25" s="2" t="s">
        <v>555</v>
      </c>
      <c r="B25" s="2" t="s">
        <v>476</v>
      </c>
      <c r="C25" s="6">
        <v>1.131</v>
      </c>
      <c r="D25" s="6">
        <v>1.0000000000001119E-3</v>
      </c>
      <c r="E25" s="15">
        <v>8.8000000000000003E-4</v>
      </c>
      <c r="F25" s="6">
        <v>1.1299999999999999</v>
      </c>
      <c r="G25" s="6">
        <v>1</v>
      </c>
      <c r="H25" s="11">
        <v>0.13100000000000001</v>
      </c>
      <c r="I25" s="6">
        <v>1.1404999999999998</v>
      </c>
      <c r="J25" s="11">
        <v>-8.3296799649275055E-3</v>
      </c>
      <c r="K25" s="6">
        <v>1.1679999999999999</v>
      </c>
      <c r="L25" s="11">
        <v>-3.167808219178081E-2</v>
      </c>
      <c r="M25" s="6">
        <v>1.2808333333333326</v>
      </c>
      <c r="N25" s="11">
        <v>-0.11698113207547123</v>
      </c>
      <c r="O25" s="6">
        <v>1.7</v>
      </c>
      <c r="P25" s="11">
        <v>-0.33470588235294119</v>
      </c>
      <c r="Q25" s="6">
        <v>1.05</v>
      </c>
      <c r="R25" s="11">
        <v>7.714285714285718E-2</v>
      </c>
      <c r="S25" s="2" t="s">
        <v>628</v>
      </c>
    </row>
    <row r="26" spans="1:19">
      <c r="A26" s="1" t="s">
        <v>556</v>
      </c>
      <c r="B26" s="1" t="s">
        <v>477</v>
      </c>
      <c r="C26" s="5">
        <v>17.29</v>
      </c>
      <c r="D26" s="5">
        <v>0.23000100000000145</v>
      </c>
      <c r="E26" s="14">
        <v>1.35E-2</v>
      </c>
      <c r="F26" s="5">
        <v>17.059998999999998</v>
      </c>
      <c r="G26" s="5">
        <v>1</v>
      </c>
      <c r="H26" s="10">
        <v>16.29</v>
      </c>
      <c r="I26" s="5">
        <v>18.550999950000001</v>
      </c>
      <c r="J26" s="10">
        <v>-6.7974769737412566E-2</v>
      </c>
      <c r="K26" s="5">
        <v>16.577499999999993</v>
      </c>
      <c r="L26" s="10">
        <v>4.29799426934101E-2</v>
      </c>
      <c r="M26" s="5">
        <v>15.271700016666669</v>
      </c>
      <c r="N26" s="10">
        <v>0.13215948330118277</v>
      </c>
      <c r="O26" s="5">
        <v>23.950001</v>
      </c>
      <c r="P26" s="10">
        <v>-0.27807936208436901</v>
      </c>
      <c r="Q26" s="5">
        <v>12.65</v>
      </c>
      <c r="R26" s="10">
        <v>0.3667984189723319</v>
      </c>
      <c r="S26" s="1" t="s">
        <v>629</v>
      </c>
    </row>
    <row r="27" spans="1:19">
      <c r="A27" s="2" t="s">
        <v>403</v>
      </c>
      <c r="B27" s="2" t="s">
        <v>478</v>
      </c>
      <c r="C27" s="6">
        <v>79.290000000000006</v>
      </c>
      <c r="D27" s="6">
        <v>-1.8600019999999944</v>
      </c>
      <c r="E27" s="15">
        <v>-2.29E-2</v>
      </c>
      <c r="F27" s="6">
        <v>81.150002000000001</v>
      </c>
      <c r="G27" s="6">
        <v>70</v>
      </c>
      <c r="H27" s="11">
        <v>0.13271428571428578</v>
      </c>
      <c r="I27" s="6">
        <v>81.558999899999989</v>
      </c>
      <c r="J27" s="11">
        <v>-2.7820349719614224E-2</v>
      </c>
      <c r="K27" s="6">
        <v>79.372249974999988</v>
      </c>
      <c r="L27" s="11">
        <v>-1.036256059591234E-3</v>
      </c>
      <c r="M27" s="6">
        <v>76.007000174999988</v>
      </c>
      <c r="N27" s="11">
        <v>4.3193387680623863E-2</v>
      </c>
      <c r="O27" s="6">
        <v>84.5</v>
      </c>
      <c r="P27" s="11">
        <v>-6.1656804733727699E-2</v>
      </c>
      <c r="Q27" s="6">
        <v>64.860000999999997</v>
      </c>
      <c r="R27" s="11">
        <v>0.22247916709097826</v>
      </c>
      <c r="S27" s="2" t="s">
        <v>630</v>
      </c>
    </row>
    <row r="28" spans="1:19">
      <c r="A28" s="1" t="s">
        <v>406</v>
      </c>
      <c r="B28" s="1" t="s">
        <v>479</v>
      </c>
      <c r="C28" s="5">
        <v>33</v>
      </c>
      <c r="D28" s="5">
        <v>-0.90000200000000063</v>
      </c>
      <c r="E28" s="14">
        <v>-2.6499999999999999E-2</v>
      </c>
      <c r="F28" s="5">
        <v>33.900002000000001</v>
      </c>
      <c r="G28" s="5">
        <v>26</v>
      </c>
      <c r="H28" s="10">
        <v>0.26923076923076916</v>
      </c>
      <c r="I28" s="5">
        <v>34.789999900000005</v>
      </c>
      <c r="J28" s="10">
        <v>-5.1451563815612555E-2</v>
      </c>
      <c r="K28" s="5">
        <v>33.604499975000003</v>
      </c>
      <c r="L28" s="10">
        <v>-1.7988661502171377E-2</v>
      </c>
      <c r="M28" s="5">
        <v>29.984583366666662</v>
      </c>
      <c r="N28" s="10">
        <v>0.10056556719362408</v>
      </c>
      <c r="O28" s="5">
        <v>36.419998</v>
      </c>
      <c r="P28" s="10">
        <v>-9.3904398347303575E-2</v>
      </c>
      <c r="Q28" s="5">
        <v>25.709999</v>
      </c>
      <c r="R28" s="10">
        <v>0.28354730780036208</v>
      </c>
      <c r="S28" s="1" t="s">
        <v>631</v>
      </c>
    </row>
    <row r="29" spans="1:19">
      <c r="A29" s="2" t="s">
        <v>557</v>
      </c>
      <c r="B29" s="2" t="s">
        <v>480</v>
      </c>
      <c r="C29" s="6">
        <v>2.4900000000000002</v>
      </c>
      <c r="D29" s="6">
        <v>3.0000000000000249E-2</v>
      </c>
      <c r="E29" s="15">
        <v>1.2200000000000001E-2</v>
      </c>
      <c r="F29" s="6">
        <v>2.46</v>
      </c>
      <c r="G29" s="6">
        <v>0.5</v>
      </c>
      <c r="H29" s="11">
        <v>3.9800000000000004</v>
      </c>
      <c r="I29" s="6">
        <v>2.0595000000000003</v>
      </c>
      <c r="J29" s="11">
        <v>0.20903131828113608</v>
      </c>
      <c r="K29" s="6">
        <v>1.9347499999999997</v>
      </c>
      <c r="L29" s="11">
        <v>0.28698798294353312</v>
      </c>
      <c r="M29" s="6">
        <v>1.9903333333333344</v>
      </c>
      <c r="N29" s="11">
        <v>0.25104672584156695</v>
      </c>
      <c r="O29" s="6">
        <v>4.16</v>
      </c>
      <c r="P29" s="11">
        <v>-0.40144230769230771</v>
      </c>
      <c r="Q29" s="6">
        <v>1.54</v>
      </c>
      <c r="R29" s="11">
        <v>0.61688311688311703</v>
      </c>
      <c r="S29" s="2" t="s">
        <v>632</v>
      </c>
    </row>
    <row r="30" spans="1:19">
      <c r="A30" s="1" t="s">
        <v>388</v>
      </c>
      <c r="B30" s="1" t="s">
        <v>481</v>
      </c>
      <c r="C30" s="5">
        <v>49.01</v>
      </c>
      <c r="D30" s="5">
        <v>-0.67999900000000224</v>
      </c>
      <c r="E30" s="14">
        <v>-1.37E-2</v>
      </c>
      <c r="F30" s="5">
        <v>49.689999</v>
      </c>
      <c r="G30" s="5">
        <v>42.5</v>
      </c>
      <c r="H30" s="10">
        <v>0.15317647058823525</v>
      </c>
      <c r="I30" s="5">
        <v>49.130999400000007</v>
      </c>
      <c r="J30" s="10">
        <v>-2.4627913430966819E-3</v>
      </c>
      <c r="K30" s="5">
        <v>48.168499775000001</v>
      </c>
      <c r="L30" s="10">
        <v>1.7469928042823213E-2</v>
      </c>
      <c r="M30" s="5">
        <v>48.269833224999985</v>
      </c>
      <c r="N30" s="10">
        <v>1.5333941005138296E-2</v>
      </c>
      <c r="O30" s="5">
        <v>53.869999</v>
      </c>
      <c r="P30" s="10">
        <v>-9.0217172641863241E-2</v>
      </c>
      <c r="Q30" s="5">
        <v>42.669998</v>
      </c>
      <c r="R30" s="10">
        <v>0.14858219585573917</v>
      </c>
      <c r="S30" s="1" t="s">
        <v>633</v>
      </c>
    </row>
    <row r="31" spans="1:19">
      <c r="A31" s="2" t="s">
        <v>390</v>
      </c>
      <c r="B31" s="2" t="s">
        <v>482</v>
      </c>
      <c r="C31" s="6">
        <v>13.03</v>
      </c>
      <c r="D31" s="6">
        <v>-0.19000000000000128</v>
      </c>
      <c r="E31" s="15">
        <v>-1.44E-2</v>
      </c>
      <c r="F31" s="6">
        <v>13.22</v>
      </c>
      <c r="G31" s="6">
        <v>10</v>
      </c>
      <c r="H31" s="11">
        <v>0.30299999999999994</v>
      </c>
      <c r="I31" s="6">
        <v>13.551000000000002</v>
      </c>
      <c r="J31" s="11">
        <v>-3.8447347059257786E-2</v>
      </c>
      <c r="K31" s="6">
        <v>12.94875</v>
      </c>
      <c r="L31" s="11">
        <v>6.2747369437203826E-3</v>
      </c>
      <c r="M31" s="6">
        <v>12.128833333333326</v>
      </c>
      <c r="N31" s="11">
        <v>7.4299534167892478E-2</v>
      </c>
      <c r="O31" s="6">
        <v>14.3</v>
      </c>
      <c r="P31" s="11">
        <v>-8.8811188811188879E-2</v>
      </c>
      <c r="Q31" s="6">
        <v>9.98</v>
      </c>
      <c r="R31" s="11">
        <v>0.3056112224448897</v>
      </c>
      <c r="S31" s="2" t="s">
        <v>634</v>
      </c>
    </row>
    <row r="32" spans="1:19">
      <c r="A32" s="1" t="s">
        <v>558</v>
      </c>
      <c r="B32" s="1" t="s">
        <v>483</v>
      </c>
      <c r="C32" s="5">
        <v>1.54</v>
      </c>
      <c r="D32" s="5">
        <v>4.0000000000000036E-2</v>
      </c>
      <c r="E32" s="14">
        <v>2.6700000000000002E-2</v>
      </c>
      <c r="F32" s="5">
        <v>1.5</v>
      </c>
      <c r="G32" s="5">
        <v>1</v>
      </c>
      <c r="H32" s="10">
        <v>0.54</v>
      </c>
      <c r="I32" s="5">
        <v>1.5014999999999998</v>
      </c>
      <c r="J32" s="10">
        <v>2.5641025641025772E-2</v>
      </c>
      <c r="K32" s="5">
        <v>1.462</v>
      </c>
      <c r="L32" s="10">
        <v>5.3351573187414569E-2</v>
      </c>
      <c r="M32" s="5">
        <v>1.4160833333333338</v>
      </c>
      <c r="N32" s="10">
        <v>8.7506620373094535E-2</v>
      </c>
      <c r="O32" s="5">
        <v>2.06</v>
      </c>
      <c r="P32" s="10">
        <v>-0.25242718446601942</v>
      </c>
      <c r="Q32" s="5">
        <v>1</v>
      </c>
      <c r="R32" s="10">
        <v>0.54</v>
      </c>
      <c r="S32" s="1" t="s">
        <v>635</v>
      </c>
    </row>
    <row r="33" spans="1:19">
      <c r="A33" s="2" t="s">
        <v>559</v>
      </c>
      <c r="B33" s="2" t="s">
        <v>484</v>
      </c>
      <c r="C33" s="6">
        <v>1.6</v>
      </c>
      <c r="D33" s="6">
        <v>0</v>
      </c>
      <c r="E33" s="15">
        <v>-1E-4</v>
      </c>
      <c r="F33" s="6">
        <v>1.6</v>
      </c>
      <c r="G33" s="6">
        <v>0.5</v>
      </c>
      <c r="H33" s="11">
        <v>2.2000000000000002</v>
      </c>
      <c r="I33" s="6">
        <v>1.5685</v>
      </c>
      <c r="J33" s="11">
        <v>2.0082881734140967E-2</v>
      </c>
      <c r="K33" s="6">
        <v>1.5592500000000005</v>
      </c>
      <c r="L33" s="11">
        <v>2.6134359467692603E-2</v>
      </c>
      <c r="M33" s="6">
        <v>1.3627499999999997</v>
      </c>
      <c r="N33" s="11">
        <v>0.17409649605576982</v>
      </c>
      <c r="O33" s="6">
        <v>1.73</v>
      </c>
      <c r="P33" s="11">
        <v>-7.5144508670520138E-2</v>
      </c>
      <c r="Q33" s="6">
        <v>0.73</v>
      </c>
      <c r="R33" s="11">
        <v>1.1917808219178085</v>
      </c>
      <c r="S33" s="2" t="s">
        <v>636</v>
      </c>
    </row>
    <row r="34" spans="1:19">
      <c r="A34" s="1" t="s">
        <v>560</v>
      </c>
      <c r="B34" s="1" t="s">
        <v>485</v>
      </c>
      <c r="C34" s="5">
        <v>1.32</v>
      </c>
      <c r="D34" s="5">
        <v>-0.11999999999999988</v>
      </c>
      <c r="E34" s="14">
        <v>-8.3299999999999999E-2</v>
      </c>
      <c r="F34" s="5">
        <v>1.44</v>
      </c>
      <c r="G34" s="5">
        <v>1</v>
      </c>
      <c r="H34" s="10">
        <v>0.32000000000000006</v>
      </c>
      <c r="I34" s="5">
        <v>1.5545</v>
      </c>
      <c r="J34" s="10">
        <v>-0.15085236410421354</v>
      </c>
      <c r="K34" s="5">
        <v>1.7925000000000004</v>
      </c>
      <c r="L34" s="10">
        <v>-0.26359832635983282</v>
      </c>
      <c r="M34" s="5">
        <v>2.4765833333333331</v>
      </c>
      <c r="N34" s="10">
        <v>-0.46700763821124525</v>
      </c>
      <c r="O34" s="5">
        <v>9.1300000000000008</v>
      </c>
      <c r="P34" s="10">
        <v>-0.85542168674698793</v>
      </c>
      <c r="Q34" s="5">
        <v>1.44</v>
      </c>
      <c r="R34" s="10">
        <v>-8.3333333333333259E-2</v>
      </c>
      <c r="S34" s="1" t="s">
        <v>637</v>
      </c>
    </row>
    <row r="35" spans="1:19">
      <c r="A35" s="2" t="s">
        <v>602</v>
      </c>
      <c r="B35" s="2" t="s">
        <v>601</v>
      </c>
      <c r="C35" s="6">
        <v>8.69</v>
      </c>
      <c r="D35" s="6">
        <v>-2.000000000000135E-2</v>
      </c>
      <c r="E35" s="15">
        <v>-2.3E-3</v>
      </c>
      <c r="F35" s="6">
        <v>8.7100000000000009</v>
      </c>
      <c r="G35" s="6">
        <v>7</v>
      </c>
      <c r="H35" s="11">
        <v>0.24142857142857133</v>
      </c>
      <c r="I35" s="6">
        <v>8.7959999999999994</v>
      </c>
      <c r="J35" s="11">
        <v>-1.2050932241928103E-2</v>
      </c>
      <c r="K35" s="6">
        <v>8.8774999999999995</v>
      </c>
      <c r="L35" s="11">
        <v>-2.1120811039143872E-2</v>
      </c>
      <c r="M35" s="6">
        <v>8.7138333333333318</v>
      </c>
      <c r="N35" s="11">
        <v>-2.7351146644223334E-3</v>
      </c>
      <c r="O35" s="6">
        <v>10.15</v>
      </c>
      <c r="P35" s="11">
        <v>-0.14384236453201982</v>
      </c>
      <c r="Q35" s="6">
        <v>6.51</v>
      </c>
      <c r="R35" s="11">
        <v>0.33486943164362515</v>
      </c>
      <c r="S35" s="2" t="s">
        <v>638</v>
      </c>
    </row>
    <row r="36" spans="1:19">
      <c r="A36" s="1" t="s">
        <v>561</v>
      </c>
      <c r="B36" s="1" t="s">
        <v>486</v>
      </c>
      <c r="C36" s="5">
        <v>4.5999999999999996</v>
      </c>
      <c r="D36" s="5">
        <v>-7.0000000000000284E-2</v>
      </c>
      <c r="E36" s="14">
        <v>-1.4999999999999999E-2</v>
      </c>
      <c r="F36" s="5">
        <v>4.67</v>
      </c>
      <c r="G36" s="5">
        <v>4</v>
      </c>
      <c r="H36" s="10">
        <v>0.14999999999999991</v>
      </c>
      <c r="I36" s="5">
        <v>4.7014999999999993</v>
      </c>
      <c r="J36" s="10">
        <v>-2.1588854620865572E-2</v>
      </c>
      <c r="K36" s="5">
        <v>4.7569999999999997</v>
      </c>
      <c r="L36" s="10">
        <v>-3.3003994113937396E-2</v>
      </c>
      <c r="M36" s="5">
        <v>4.5936666666666648</v>
      </c>
      <c r="N36" s="10">
        <v>1.3787098178654755E-3</v>
      </c>
      <c r="O36" s="5">
        <v>4.95</v>
      </c>
      <c r="P36" s="10">
        <v>-7.0707070707070829E-2</v>
      </c>
      <c r="Q36" s="5">
        <v>3.52</v>
      </c>
      <c r="R36" s="10">
        <v>0.30681818181818166</v>
      </c>
      <c r="S36" s="1" t="s">
        <v>639</v>
      </c>
    </row>
    <row r="37" spans="1:19">
      <c r="A37" s="2" t="s">
        <v>391</v>
      </c>
      <c r="B37" s="2" t="s">
        <v>487</v>
      </c>
      <c r="C37" s="6">
        <v>47.15</v>
      </c>
      <c r="D37" s="6">
        <v>-1.8299999999999983</v>
      </c>
      <c r="E37" s="15">
        <v>-3.7400000000000003E-2</v>
      </c>
      <c r="F37" s="6">
        <v>48.98</v>
      </c>
      <c r="G37" s="6">
        <v>40</v>
      </c>
      <c r="H37" s="11">
        <v>0.17874999999999996</v>
      </c>
      <c r="I37" s="6">
        <v>49.08650025</v>
      </c>
      <c r="J37" s="11">
        <v>-3.9450770377543964E-2</v>
      </c>
      <c r="K37" s="6">
        <v>48.621749900000005</v>
      </c>
      <c r="L37" s="11">
        <v>-3.0269373336561212E-2</v>
      </c>
      <c r="M37" s="6">
        <v>44.860666800000011</v>
      </c>
      <c r="N37" s="11">
        <v>5.1032081404549956E-2</v>
      </c>
      <c r="O37" s="6">
        <v>50.09</v>
      </c>
      <c r="P37" s="11">
        <v>-5.8694350169694598E-2</v>
      </c>
      <c r="Q37" s="6">
        <v>37.900002000000001</v>
      </c>
      <c r="R37" s="11">
        <v>0.24406325888848235</v>
      </c>
      <c r="S37" s="2" t="s">
        <v>640</v>
      </c>
    </row>
    <row r="38" spans="1:19">
      <c r="A38" s="1" t="s">
        <v>562</v>
      </c>
      <c r="B38" s="1" t="s">
        <v>488</v>
      </c>
      <c r="C38" s="5">
        <v>18.88</v>
      </c>
      <c r="D38" s="5">
        <v>0.10999999999999943</v>
      </c>
      <c r="E38" s="14">
        <v>5.8999999999999999E-3</v>
      </c>
      <c r="F38" s="5">
        <v>18.77</v>
      </c>
      <c r="G38" s="5">
        <v>15</v>
      </c>
      <c r="H38" s="10">
        <v>0.2586666666666666</v>
      </c>
      <c r="I38" s="5">
        <v>19.824500050000001</v>
      </c>
      <c r="J38" s="10">
        <v>-4.7643070322976544E-2</v>
      </c>
      <c r="K38" s="5">
        <v>21.970750099999997</v>
      </c>
      <c r="L38" s="10">
        <v>-0.14067567497388256</v>
      </c>
      <c r="M38" s="5">
        <v>22.066250008333331</v>
      </c>
      <c r="N38" s="10">
        <v>-0.14439472076723692</v>
      </c>
      <c r="O38" s="5">
        <v>26.950001</v>
      </c>
      <c r="P38" s="10">
        <v>-0.2994434397238056</v>
      </c>
      <c r="Q38" s="5">
        <v>18.350000000000001</v>
      </c>
      <c r="R38" s="10">
        <v>2.8882833787465811E-2</v>
      </c>
      <c r="S38" s="1" t="s">
        <v>641</v>
      </c>
    </row>
    <row r="39" spans="1:19">
      <c r="A39" s="2" t="s">
        <v>563</v>
      </c>
      <c r="B39" s="2" t="s">
        <v>489</v>
      </c>
      <c r="C39" s="6">
        <v>10.06</v>
      </c>
      <c r="D39" s="6">
        <v>0.11000000000000121</v>
      </c>
      <c r="E39" s="15">
        <v>1.11E-2</v>
      </c>
      <c r="F39" s="6">
        <v>9.9499999999999993</v>
      </c>
      <c r="G39" s="6">
        <v>8</v>
      </c>
      <c r="H39" s="11">
        <v>0.25750000000000006</v>
      </c>
      <c r="I39" s="6">
        <v>10.076499999999999</v>
      </c>
      <c r="J39" s="11">
        <v>-1.6374733290327459E-3</v>
      </c>
      <c r="K39" s="6">
        <v>10.164749999999996</v>
      </c>
      <c r="L39" s="11">
        <v>-1.0305221476179516E-2</v>
      </c>
      <c r="M39" s="6">
        <v>10.056491666666664</v>
      </c>
      <c r="N39" s="11">
        <v>3.4886255064137117E-4</v>
      </c>
      <c r="O39" s="6">
        <v>11.72</v>
      </c>
      <c r="P39" s="11">
        <v>-0.14163822525597269</v>
      </c>
      <c r="Q39" s="6">
        <v>8.32</v>
      </c>
      <c r="R39" s="11">
        <v>0.20913461538461542</v>
      </c>
      <c r="S39" s="2" t="s">
        <v>642</v>
      </c>
    </row>
    <row r="40" spans="1:19">
      <c r="A40" s="1" t="s">
        <v>564</v>
      </c>
      <c r="B40" s="1" t="s">
        <v>490</v>
      </c>
      <c r="C40" s="5">
        <v>8.16</v>
      </c>
      <c r="D40" s="5">
        <v>6.0000000000000497E-2</v>
      </c>
      <c r="E40" s="14">
        <v>7.4000000000000003E-3</v>
      </c>
      <c r="F40" s="5">
        <v>8.1</v>
      </c>
      <c r="G40" s="5">
        <v>7.5</v>
      </c>
      <c r="H40" s="10">
        <v>8.8000000000000078E-2</v>
      </c>
      <c r="I40" s="5">
        <v>8.2380000000000013</v>
      </c>
      <c r="J40" s="10">
        <v>-9.4683175528041952E-3</v>
      </c>
      <c r="K40" s="5">
        <v>8.1397499999999994</v>
      </c>
      <c r="L40" s="10">
        <v>2.4877913940846152E-3</v>
      </c>
      <c r="M40" s="5">
        <v>8.6448684210526316</v>
      </c>
      <c r="N40" s="10">
        <v>-5.608742637098374E-2</v>
      </c>
      <c r="O40" s="5">
        <v>10.41</v>
      </c>
      <c r="P40" s="10">
        <v>-0.21613832853025938</v>
      </c>
      <c r="Q40" s="5">
        <v>7.65</v>
      </c>
      <c r="R40" s="10">
        <v>6.6666666666666652E-2</v>
      </c>
      <c r="S40" s="1" t="s">
        <v>643</v>
      </c>
    </row>
    <row r="41" spans="1:19">
      <c r="A41" s="2" t="s">
        <v>565</v>
      </c>
      <c r="B41" s="2" t="s">
        <v>491</v>
      </c>
      <c r="C41" s="6">
        <v>12.78</v>
      </c>
      <c r="D41" s="6">
        <v>-0.13000000000000078</v>
      </c>
      <c r="E41" s="15">
        <v>-1.01E-2</v>
      </c>
      <c r="F41" s="6">
        <v>12.91</v>
      </c>
      <c r="G41" s="6">
        <v>5</v>
      </c>
      <c r="H41" s="11">
        <v>1.556</v>
      </c>
      <c r="I41" s="6">
        <v>12.7715</v>
      </c>
      <c r="J41" s="11">
        <v>6.6554437615007345E-4</v>
      </c>
      <c r="K41" s="6">
        <v>12.455250000000003</v>
      </c>
      <c r="L41" s="11">
        <v>2.607334256638727E-2</v>
      </c>
      <c r="M41" s="6">
        <v>12.758291683333335</v>
      </c>
      <c r="N41" s="11">
        <v>1.7015065343759517E-3</v>
      </c>
      <c r="O41" s="6">
        <v>17.860001</v>
      </c>
      <c r="P41" s="11">
        <v>-0.28443453054677881</v>
      </c>
      <c r="Q41" s="6">
        <v>10.08</v>
      </c>
      <c r="R41" s="11">
        <v>0.26785714285714279</v>
      </c>
      <c r="S41" s="2" t="s">
        <v>644</v>
      </c>
    </row>
    <row r="42" spans="1:19">
      <c r="A42" s="1" t="s">
        <v>393</v>
      </c>
      <c r="B42" s="1" t="s">
        <v>492</v>
      </c>
      <c r="C42" s="5">
        <v>30.51</v>
      </c>
      <c r="D42" s="5">
        <v>-0.38999999999999702</v>
      </c>
      <c r="E42" s="14">
        <v>-1.26E-2</v>
      </c>
      <c r="F42" s="5">
        <v>30.9</v>
      </c>
      <c r="G42" s="5">
        <v>20</v>
      </c>
      <c r="H42" s="10">
        <v>0.52550000000000008</v>
      </c>
      <c r="I42" s="5">
        <v>31.301499999999997</v>
      </c>
      <c r="J42" s="10">
        <v>-2.5286328131239544E-2</v>
      </c>
      <c r="K42" s="5">
        <v>31.358249975</v>
      </c>
      <c r="L42" s="10">
        <v>-2.7050296992856881E-2</v>
      </c>
      <c r="M42" s="5">
        <v>30.035833283333343</v>
      </c>
      <c r="N42" s="10">
        <v>1.5786700911333496E-2</v>
      </c>
      <c r="O42" s="5">
        <v>33.18</v>
      </c>
      <c r="P42" s="10">
        <v>-8.0470162748643714E-2</v>
      </c>
      <c r="Q42" s="5">
        <v>22.049999</v>
      </c>
      <c r="R42" s="10">
        <v>0.38367353213938937</v>
      </c>
      <c r="S42" s="1" t="s">
        <v>645</v>
      </c>
    </row>
    <row r="43" spans="1:19">
      <c r="A43" s="2" t="s">
        <v>566</v>
      </c>
      <c r="B43" s="2" t="s">
        <v>493</v>
      </c>
      <c r="C43" s="6">
        <v>9.0500000000000007</v>
      </c>
      <c r="D43" s="6">
        <v>-0.19999999999999929</v>
      </c>
      <c r="E43" s="15">
        <v>-2.1600000000000001E-2</v>
      </c>
      <c r="F43" s="6">
        <v>9.25</v>
      </c>
      <c r="G43" s="6">
        <v>7</v>
      </c>
      <c r="H43" s="11">
        <v>0.29285714285714293</v>
      </c>
      <c r="I43" s="6">
        <v>8.9290000000000003</v>
      </c>
      <c r="J43" s="11">
        <v>1.3551349535222412E-2</v>
      </c>
      <c r="K43" s="6">
        <v>8.7019500000000001</v>
      </c>
      <c r="L43" s="11">
        <v>3.9996782330397274E-2</v>
      </c>
      <c r="M43" s="6">
        <v>8.3638083333333331</v>
      </c>
      <c r="N43" s="11">
        <v>8.2042968862868548E-2</v>
      </c>
      <c r="O43" s="6">
        <v>9.3699999999999992</v>
      </c>
      <c r="P43" s="11">
        <v>-3.415154749199556E-2</v>
      </c>
      <c r="Q43" s="6">
        <v>7.35</v>
      </c>
      <c r="R43" s="11">
        <v>0.23129251700680298</v>
      </c>
      <c r="S43" s="2" t="s">
        <v>646</v>
      </c>
    </row>
    <row r="44" spans="1:19">
      <c r="A44" s="1" t="s">
        <v>567</v>
      </c>
      <c r="B44" s="1" t="s">
        <v>494</v>
      </c>
      <c r="C44" s="5">
        <v>6.68</v>
      </c>
      <c r="D44" s="5">
        <v>-4.0000000000000036E-2</v>
      </c>
      <c r="E44" s="14">
        <v>-6.0000000000000001E-3</v>
      </c>
      <c r="F44" s="5">
        <v>6.72</v>
      </c>
      <c r="G44" s="5">
        <v>8</v>
      </c>
      <c r="H44" s="10">
        <v>-0.16500000000000004</v>
      </c>
      <c r="I44" s="5">
        <v>7.0125000000000002</v>
      </c>
      <c r="J44" s="10">
        <v>-4.7415329768271008E-2</v>
      </c>
      <c r="K44" s="5">
        <v>7.681499999999998</v>
      </c>
      <c r="L44" s="10">
        <v>-0.13037818134478929</v>
      </c>
      <c r="M44" s="5">
        <v>8.4176666666666673</v>
      </c>
      <c r="N44" s="10">
        <v>-0.20643091909872102</v>
      </c>
      <c r="O44" s="5">
        <v>15.18</v>
      </c>
      <c r="P44" s="10">
        <v>-0.55994729907773388</v>
      </c>
      <c r="Q44" s="5">
        <v>6.7</v>
      </c>
      <c r="R44" s="10">
        <v>-2.9850746268657025E-3</v>
      </c>
      <c r="S44" s="1" t="s">
        <v>647</v>
      </c>
    </row>
    <row r="45" spans="1:19">
      <c r="A45" s="2" t="s">
        <v>394</v>
      </c>
      <c r="B45" s="2" t="s">
        <v>495</v>
      </c>
      <c r="C45" s="6">
        <v>26.71</v>
      </c>
      <c r="D45" s="6">
        <v>-0.64000000000000057</v>
      </c>
      <c r="E45" s="15">
        <v>-2.3400000000000001E-2</v>
      </c>
      <c r="F45" s="6">
        <v>27.35</v>
      </c>
      <c r="G45" s="6">
        <v>16</v>
      </c>
      <c r="H45" s="11">
        <v>0.66937500000000005</v>
      </c>
      <c r="I45" s="6">
        <v>27.332999799999993</v>
      </c>
      <c r="J45" s="11">
        <v>-2.2792953739383948E-2</v>
      </c>
      <c r="K45" s="6">
        <v>27.624749799999989</v>
      </c>
      <c r="L45" s="11">
        <v>-3.3113414840774014E-2</v>
      </c>
      <c r="M45" s="6">
        <v>26.153749841666659</v>
      </c>
      <c r="N45" s="11">
        <v>2.1268466728513014E-2</v>
      </c>
      <c r="O45" s="6">
        <v>32.919998</v>
      </c>
      <c r="P45" s="11">
        <v>-0.18863907585899609</v>
      </c>
      <c r="Q45" s="6">
        <v>22.860001</v>
      </c>
      <c r="R45" s="11">
        <v>0.16841639683217857</v>
      </c>
      <c r="S45" s="2" t="s">
        <v>648</v>
      </c>
    </row>
    <row r="46" spans="1:19">
      <c r="A46" s="1" t="s">
        <v>568</v>
      </c>
      <c r="B46" s="1" t="s">
        <v>496</v>
      </c>
      <c r="C46" s="5">
        <v>19.21</v>
      </c>
      <c r="D46" s="5">
        <v>0.19999999999999929</v>
      </c>
      <c r="E46" s="14">
        <v>1.0500000000000001E-2</v>
      </c>
      <c r="F46" s="5">
        <v>19.010000000000002</v>
      </c>
      <c r="G46" s="5">
        <v>10</v>
      </c>
      <c r="H46" s="10">
        <v>0.92100000000000004</v>
      </c>
      <c r="I46" s="5">
        <v>19.721499949999998</v>
      </c>
      <c r="J46" s="10">
        <v>-2.5936158572968826E-2</v>
      </c>
      <c r="K46" s="5">
        <v>17.350749999999998</v>
      </c>
      <c r="L46" s="10">
        <v>0.10715675114908585</v>
      </c>
      <c r="M46" s="5">
        <v>14.734341666666669</v>
      </c>
      <c r="N46" s="10">
        <v>0.30375692613797334</v>
      </c>
      <c r="O46" s="5">
        <v>20.57</v>
      </c>
      <c r="P46" s="10">
        <v>-6.6115702479338845E-2</v>
      </c>
      <c r="Q46" s="5">
        <v>11.26</v>
      </c>
      <c r="R46" s="10">
        <v>0.70603907637655428</v>
      </c>
      <c r="S46" s="1" t="s">
        <v>649</v>
      </c>
    </row>
    <row r="47" spans="1:19">
      <c r="A47" s="2" t="s">
        <v>569</v>
      </c>
      <c r="B47" s="2" t="s">
        <v>497</v>
      </c>
      <c r="C47" s="6">
        <v>14.4</v>
      </c>
      <c r="D47" s="6">
        <v>8.0000000000000071E-2</v>
      </c>
      <c r="E47" s="15">
        <v>5.5999999999999999E-3</v>
      </c>
      <c r="F47" s="6">
        <v>14.32</v>
      </c>
      <c r="G47" s="6">
        <v>15</v>
      </c>
      <c r="H47" s="11">
        <v>-3.9999999999999925E-2</v>
      </c>
      <c r="I47" s="6">
        <v>14.562000000000001</v>
      </c>
      <c r="J47" s="11">
        <v>-1.1124845488257207E-2</v>
      </c>
      <c r="K47" s="6">
        <v>15.195999950000006</v>
      </c>
      <c r="L47" s="11">
        <v>-5.2382202725659077E-2</v>
      </c>
      <c r="M47" s="6">
        <v>16.265416716666667</v>
      </c>
      <c r="N47" s="11">
        <v>-0.11468606978604079</v>
      </c>
      <c r="O47" s="6">
        <v>22.040001</v>
      </c>
      <c r="P47" s="11">
        <v>-0.34664249788373425</v>
      </c>
      <c r="Q47" s="6">
        <v>13.83</v>
      </c>
      <c r="R47" s="11">
        <v>4.1214750542299283E-2</v>
      </c>
      <c r="S47" s="2" t="s">
        <v>650</v>
      </c>
    </row>
    <row r="48" spans="1:19">
      <c r="A48" s="1" t="s">
        <v>570</v>
      </c>
      <c r="B48" s="1" t="s">
        <v>498</v>
      </c>
      <c r="C48" s="5">
        <v>6.54</v>
      </c>
      <c r="D48" s="5">
        <v>-0.17999999999999972</v>
      </c>
      <c r="E48" s="14">
        <v>-2.6800000000000001E-2</v>
      </c>
      <c r="F48" s="5">
        <v>6.72</v>
      </c>
      <c r="G48" s="5">
        <v>3</v>
      </c>
      <c r="H48" s="10">
        <v>1.1800000000000002</v>
      </c>
      <c r="I48" s="5">
        <v>6.3659999999999997</v>
      </c>
      <c r="J48" s="10">
        <v>2.7332704995287616E-2</v>
      </c>
      <c r="K48" s="5">
        <v>5.7082499999999996</v>
      </c>
      <c r="L48" s="10">
        <v>0.1457101563526475</v>
      </c>
      <c r="M48" s="5">
        <v>5.3401666666666667</v>
      </c>
      <c r="N48" s="10">
        <v>0.22468087762554223</v>
      </c>
      <c r="O48" s="5">
        <v>9.0399999999999991</v>
      </c>
      <c r="P48" s="10">
        <v>-0.27654867256637161</v>
      </c>
      <c r="Q48" s="5">
        <v>4.51</v>
      </c>
      <c r="R48" s="10">
        <v>0.45011086474501116</v>
      </c>
      <c r="S48" s="1" t="s">
        <v>651</v>
      </c>
    </row>
    <row r="49" spans="1:19">
      <c r="A49" s="2" t="s">
        <v>395</v>
      </c>
      <c r="B49" s="2" t="s">
        <v>499</v>
      </c>
      <c r="C49" s="6">
        <v>33.36</v>
      </c>
      <c r="D49" s="6">
        <v>0.51999999999999602</v>
      </c>
      <c r="E49" s="15">
        <v>1.5800000000000002E-2</v>
      </c>
      <c r="F49" s="6">
        <v>32.840000000000003</v>
      </c>
      <c r="G49" s="6">
        <v>20</v>
      </c>
      <c r="H49" s="11">
        <v>0.66799999999999993</v>
      </c>
      <c r="I49" s="6">
        <v>31.768999850000011</v>
      </c>
      <c r="J49" s="11">
        <v>5.0080271884920258E-2</v>
      </c>
      <c r="K49" s="6">
        <v>31.371999899999999</v>
      </c>
      <c r="L49" s="11">
        <v>6.3368612340203523E-2</v>
      </c>
      <c r="M49" s="6">
        <v>28.276249925000005</v>
      </c>
      <c r="N49" s="11">
        <v>0.17978869505270834</v>
      </c>
      <c r="O49" s="6">
        <v>32.840000000000003</v>
      </c>
      <c r="P49" s="11">
        <v>1.5834348355663774E-2</v>
      </c>
      <c r="Q49" s="6">
        <v>20.129998999999998</v>
      </c>
      <c r="R49" s="11">
        <v>0.65722810021003997</v>
      </c>
      <c r="S49" s="2" t="s">
        <v>652</v>
      </c>
    </row>
    <row r="50" spans="1:19">
      <c r="A50" s="1" t="s">
        <v>571</v>
      </c>
      <c r="B50" s="1" t="s">
        <v>500</v>
      </c>
      <c r="C50" s="5">
        <v>16.95</v>
      </c>
      <c r="D50" s="5">
        <v>-0.58000100000000288</v>
      </c>
      <c r="E50" s="14">
        <v>-3.3099999999999997E-2</v>
      </c>
      <c r="F50" s="5">
        <v>17.530001000000002</v>
      </c>
      <c r="G50" s="5">
        <v>10</v>
      </c>
      <c r="H50" s="10">
        <v>0.69499999999999984</v>
      </c>
      <c r="I50" s="5">
        <v>16.651500200000001</v>
      </c>
      <c r="J50" s="10">
        <v>1.792630071853818E-2</v>
      </c>
      <c r="K50" s="5">
        <v>16.595000074999998</v>
      </c>
      <c r="L50" s="10">
        <v>2.1391980921699583E-2</v>
      </c>
      <c r="M50" s="5">
        <v>15.589416691666669</v>
      </c>
      <c r="N50" s="10">
        <v>8.7276088338868352E-2</v>
      </c>
      <c r="O50" s="5">
        <v>23.75</v>
      </c>
      <c r="P50" s="10">
        <v>-0.28631578947368419</v>
      </c>
      <c r="Q50" s="5">
        <v>12.87</v>
      </c>
      <c r="R50" s="10">
        <v>0.31701631701631694</v>
      </c>
      <c r="S50" s="1" t="s">
        <v>653</v>
      </c>
    </row>
    <row r="51" spans="1:19">
      <c r="A51" s="2" t="s">
        <v>572</v>
      </c>
      <c r="B51" s="2" t="s">
        <v>501</v>
      </c>
      <c r="C51" s="6">
        <v>3.71</v>
      </c>
      <c r="D51" s="6">
        <v>2.0000000000000018E-2</v>
      </c>
      <c r="E51" s="15">
        <v>5.4000000000000003E-3</v>
      </c>
      <c r="F51" s="6">
        <v>3.69</v>
      </c>
      <c r="G51" s="6">
        <v>1</v>
      </c>
      <c r="H51" s="11">
        <v>2.71</v>
      </c>
      <c r="I51" s="6">
        <v>3.6240000000000001</v>
      </c>
      <c r="J51" s="11">
        <v>2.3730684326710882E-2</v>
      </c>
      <c r="K51" s="6">
        <v>3.7985000000000007</v>
      </c>
      <c r="L51" s="11">
        <v>-2.3298670527840071E-2</v>
      </c>
      <c r="M51" s="6">
        <v>4.3415833333333342</v>
      </c>
      <c r="N51" s="11">
        <v>-0.14547304170905406</v>
      </c>
      <c r="O51" s="6">
        <v>6.38</v>
      </c>
      <c r="P51" s="11">
        <v>-0.41849529780564265</v>
      </c>
      <c r="Q51" s="6">
        <v>3.46</v>
      </c>
      <c r="R51" s="11">
        <v>7.225433526011571E-2</v>
      </c>
      <c r="S51" s="2" t="s">
        <v>654</v>
      </c>
    </row>
    <row r="52" spans="1:19">
      <c r="A52" s="1" t="s">
        <v>573</v>
      </c>
      <c r="B52" s="1" t="s">
        <v>502</v>
      </c>
      <c r="C52" s="5">
        <v>9.01</v>
      </c>
      <c r="D52" s="5">
        <v>9.9999999999999645E-2</v>
      </c>
      <c r="E52" s="14">
        <v>1.12E-2</v>
      </c>
      <c r="F52" s="5">
        <v>8.91</v>
      </c>
      <c r="G52" s="5">
        <v>8</v>
      </c>
      <c r="H52" s="10">
        <v>0.12624999999999997</v>
      </c>
      <c r="I52" s="5">
        <v>8.9854999999999983</v>
      </c>
      <c r="J52" s="10">
        <v>2.7266151021090312E-3</v>
      </c>
      <c r="K52" s="5">
        <v>9.0703499999999995</v>
      </c>
      <c r="L52" s="10">
        <v>-6.6535469965326444E-3</v>
      </c>
      <c r="M52" s="5">
        <v>8.8633416666666651</v>
      </c>
      <c r="N52" s="10">
        <v>1.65466185157781E-2</v>
      </c>
      <c r="O52" s="5">
        <v>9.9</v>
      </c>
      <c r="P52" s="10">
        <v>-8.9898989898989923E-2</v>
      </c>
      <c r="Q52" s="5">
        <v>7.67</v>
      </c>
      <c r="R52" s="10">
        <v>0.17470664928292035</v>
      </c>
      <c r="S52" s="1" t="s">
        <v>655</v>
      </c>
    </row>
    <row r="53" spans="1:19">
      <c r="A53" s="2" t="s">
        <v>574</v>
      </c>
      <c r="B53" s="2" t="s">
        <v>503</v>
      </c>
      <c r="C53" s="6">
        <v>3.69</v>
      </c>
      <c r="D53" s="6">
        <v>4.0000000000000036E-2</v>
      </c>
      <c r="E53" s="15">
        <v>1.0999999999999999E-2</v>
      </c>
      <c r="F53" s="6">
        <v>3.65</v>
      </c>
      <c r="G53" s="6">
        <v>1</v>
      </c>
      <c r="H53" s="11">
        <v>2.69</v>
      </c>
      <c r="I53" s="6">
        <v>3.5744999999999996</v>
      </c>
      <c r="J53" s="11">
        <v>3.2312211498111809E-2</v>
      </c>
      <c r="K53" s="6">
        <v>3.4014999999999995</v>
      </c>
      <c r="L53" s="11">
        <v>8.4815522563574941E-2</v>
      </c>
      <c r="M53" s="6">
        <v>4.2316666666666647</v>
      </c>
      <c r="N53" s="11">
        <v>-0.1280031508467897</v>
      </c>
      <c r="O53" s="6">
        <v>10.199999999999999</v>
      </c>
      <c r="P53" s="11">
        <v>-0.63823529411764701</v>
      </c>
      <c r="Q53" s="6">
        <v>1.62</v>
      </c>
      <c r="R53" s="11">
        <v>1.2777777777777777</v>
      </c>
      <c r="S53" s="2" t="s">
        <v>656</v>
      </c>
    </row>
    <row r="54" spans="1:19">
      <c r="A54" s="1" t="s">
        <v>575</v>
      </c>
      <c r="B54" s="1" t="s">
        <v>504</v>
      </c>
      <c r="C54" s="5">
        <v>7.4950000000000001</v>
      </c>
      <c r="D54" s="5"/>
      <c r="E54" s="14">
        <v>0</v>
      </c>
      <c r="F54" s="5"/>
      <c r="G54" s="5">
        <v>5</v>
      </c>
      <c r="H54" s="10">
        <v>0.49900000000000011</v>
      </c>
      <c r="I54" s="5">
        <v>7.4255555555555572</v>
      </c>
      <c r="J54" s="10">
        <v>9.3520873859043174E-3</v>
      </c>
      <c r="K54" s="5">
        <v>7.3265789473684206</v>
      </c>
      <c r="L54" s="10">
        <v>2.2987680040228442E-2</v>
      </c>
      <c r="M54" s="5">
        <v>7.0194915254237236</v>
      </c>
      <c r="N54" s="10">
        <v>6.7741156585778839E-2</v>
      </c>
      <c r="O54" s="5">
        <v>7.5</v>
      </c>
      <c r="P54" s="10">
        <v>-6.6666666666670427E-4</v>
      </c>
      <c r="Q54" s="5">
        <v>4.7</v>
      </c>
      <c r="R54" s="10">
        <v>0.59468085106382973</v>
      </c>
      <c r="S54" s="1" t="s">
        <v>657</v>
      </c>
    </row>
    <row r="55" spans="1:19">
      <c r="A55" s="2" t="s">
        <v>576</v>
      </c>
      <c r="B55" s="2" t="s">
        <v>505</v>
      </c>
      <c r="C55" s="6">
        <v>3.24</v>
      </c>
      <c r="D55" s="6">
        <v>0.12000000000000011</v>
      </c>
      <c r="E55" s="15">
        <v>3.85E-2</v>
      </c>
      <c r="F55" s="6">
        <v>3.12</v>
      </c>
      <c r="G55" s="6">
        <v>3</v>
      </c>
      <c r="H55" s="11">
        <v>8.0000000000000071E-2</v>
      </c>
      <c r="I55" s="6">
        <v>3.2295000000000003</v>
      </c>
      <c r="J55" s="11">
        <v>3.2512772875057383E-3</v>
      </c>
      <c r="K55" s="6">
        <v>3.4929750000000004</v>
      </c>
      <c r="L55" s="11">
        <v>-7.2423936615635731E-2</v>
      </c>
      <c r="M55" s="6">
        <v>3.8653250000000003</v>
      </c>
      <c r="N55" s="11">
        <v>-0.16177811697593347</v>
      </c>
      <c r="O55" s="6">
        <v>5.5</v>
      </c>
      <c r="P55" s="11">
        <v>-0.41090909090909089</v>
      </c>
      <c r="Q55" s="6">
        <v>3.11</v>
      </c>
      <c r="R55" s="11">
        <v>4.1800643086816747E-2</v>
      </c>
      <c r="S55" s="2" t="s">
        <v>658</v>
      </c>
    </row>
    <row r="56" spans="1:19">
      <c r="A56" s="1" t="s">
        <v>577</v>
      </c>
      <c r="B56" s="1" t="s">
        <v>506</v>
      </c>
      <c r="C56" s="5">
        <v>2.8</v>
      </c>
      <c r="D56" s="5">
        <v>-7.0000000000000284E-2</v>
      </c>
      <c r="E56" s="14">
        <v>-2.47E-2</v>
      </c>
      <c r="F56" s="5">
        <v>2.87</v>
      </c>
      <c r="G56" s="5">
        <v>2</v>
      </c>
      <c r="H56" s="10">
        <v>0.39999999999999991</v>
      </c>
      <c r="I56" s="5">
        <v>2.8249999999999997</v>
      </c>
      <c r="J56" s="10">
        <v>-8.8495575221239076E-3</v>
      </c>
      <c r="K56" s="5">
        <v>2.8464999999999998</v>
      </c>
      <c r="L56" s="10">
        <v>-1.6335851045143124E-2</v>
      </c>
      <c r="M56" s="5">
        <v>2.8447499999999981</v>
      </c>
      <c r="N56" s="10">
        <v>-1.5730732050267426E-2</v>
      </c>
      <c r="O56" s="5">
        <v>3.52</v>
      </c>
      <c r="P56" s="10">
        <v>-0.20454545454545459</v>
      </c>
      <c r="Q56" s="5">
        <v>2.4500000000000002</v>
      </c>
      <c r="R56" s="10">
        <v>0.14285714285714279</v>
      </c>
      <c r="S56" s="1" t="s">
        <v>659</v>
      </c>
    </row>
    <row r="57" spans="1:19">
      <c r="A57" s="2" t="s">
        <v>397</v>
      </c>
      <c r="B57" s="2" t="s">
        <v>507</v>
      </c>
      <c r="C57" s="6">
        <v>37.21</v>
      </c>
      <c r="D57" s="6">
        <v>0.43999999999999773</v>
      </c>
      <c r="E57" s="15">
        <v>1.2E-2</v>
      </c>
      <c r="F57" s="6">
        <v>36.770000000000003</v>
      </c>
      <c r="G57" s="6">
        <v>10</v>
      </c>
      <c r="H57" s="11">
        <v>2.7210000000000001</v>
      </c>
      <c r="I57" s="6">
        <v>35.029000399999994</v>
      </c>
      <c r="J57" s="11">
        <v>6.2262684492704112E-2</v>
      </c>
      <c r="K57" s="6">
        <v>32.372500100000011</v>
      </c>
      <c r="L57" s="11">
        <v>0.14943238505079148</v>
      </c>
      <c r="M57" s="6">
        <v>25.433875066666662</v>
      </c>
      <c r="N57" s="11">
        <v>0.46300946680228794</v>
      </c>
      <c r="O57" s="6">
        <v>38.400002000000001</v>
      </c>
      <c r="P57" s="11">
        <v>-3.0989633802623207E-2</v>
      </c>
      <c r="Q57" s="6">
        <v>9.36</v>
      </c>
      <c r="R57" s="11">
        <v>2.975427350427351</v>
      </c>
      <c r="S57" s="2" t="s">
        <v>397</v>
      </c>
    </row>
    <row r="58" spans="1:19">
      <c r="A58" s="1" t="s">
        <v>398</v>
      </c>
      <c r="B58" s="1" t="s">
        <v>508</v>
      </c>
      <c r="C58" s="5">
        <v>262.88</v>
      </c>
      <c r="D58" s="5">
        <v>-1.3200120000000197</v>
      </c>
      <c r="E58" s="14">
        <v>-5.0000000000000001E-3</v>
      </c>
      <c r="F58" s="5">
        <v>264.20001200000002</v>
      </c>
      <c r="G58" s="5">
        <v>40</v>
      </c>
      <c r="H58" s="10">
        <v>5.5720000000000001</v>
      </c>
      <c r="I58" s="5">
        <v>278.11200094999998</v>
      </c>
      <c r="J58" s="10">
        <v>-5.4769304805147412E-2</v>
      </c>
      <c r="K58" s="5">
        <v>286.06074899999987</v>
      </c>
      <c r="L58" s="10">
        <v>-8.1034357495861409E-2</v>
      </c>
      <c r="M58" s="5">
        <v>254.8505832333334</v>
      </c>
      <c r="N58" s="10">
        <v>3.1506369986664451E-2</v>
      </c>
      <c r="O58" s="5">
        <v>305.05999800000001</v>
      </c>
      <c r="P58" s="10">
        <v>-0.13826787607859359</v>
      </c>
      <c r="Q58" s="5">
        <v>133.070007</v>
      </c>
      <c r="R58" s="10">
        <v>0.97550151177192013</v>
      </c>
      <c r="S58" s="1" t="s">
        <v>660</v>
      </c>
    </row>
    <row r="59" spans="1:19">
      <c r="A59" s="2" t="s">
        <v>392</v>
      </c>
      <c r="B59" s="2" t="s">
        <v>509</v>
      </c>
      <c r="C59" s="6">
        <v>62.4</v>
      </c>
      <c r="D59" s="6">
        <v>2.0699979999999982</v>
      </c>
      <c r="E59" s="15">
        <v>3.4299999999999997E-2</v>
      </c>
      <c r="F59" s="6">
        <v>60.330002</v>
      </c>
      <c r="G59" s="6">
        <v>20</v>
      </c>
      <c r="H59" s="11">
        <v>2.12</v>
      </c>
      <c r="I59" s="6">
        <v>59.664500099999998</v>
      </c>
      <c r="J59" s="11">
        <v>4.5848031834930358E-2</v>
      </c>
      <c r="K59" s="6">
        <v>55.454750199999999</v>
      </c>
      <c r="L59" s="11">
        <v>0.1252417470992413</v>
      </c>
      <c r="M59" s="6">
        <v>50.272500049999991</v>
      </c>
      <c r="N59" s="11">
        <v>0.24123526655603444</v>
      </c>
      <c r="O59" s="6">
        <v>61.450001</v>
      </c>
      <c r="P59" s="11">
        <v>1.54597068273441E-2</v>
      </c>
      <c r="Q59" s="6">
        <v>38.459998999999996</v>
      </c>
      <c r="R59" s="11">
        <v>0.62246494078171977</v>
      </c>
      <c r="S59" s="2" t="s">
        <v>661</v>
      </c>
    </row>
    <row r="60" spans="1:19">
      <c r="A60" s="1" t="s">
        <v>578</v>
      </c>
      <c r="B60" s="1" t="s">
        <v>510</v>
      </c>
      <c r="C60" s="5">
        <v>25.89</v>
      </c>
      <c r="D60" s="5">
        <v>1.0001000000002591E-2</v>
      </c>
      <c r="E60" s="14">
        <v>4.0000000000000002E-4</v>
      </c>
      <c r="F60" s="5">
        <v>25.879998999999998</v>
      </c>
      <c r="G60" s="5">
        <v>12</v>
      </c>
      <c r="H60" s="10">
        <v>1.1575000000000002</v>
      </c>
      <c r="I60" s="5">
        <v>26.373500049999997</v>
      </c>
      <c r="J60" s="10">
        <v>-1.8332798039067844E-2</v>
      </c>
      <c r="K60" s="5">
        <v>26.770750124999999</v>
      </c>
      <c r="L60" s="10">
        <v>-3.2899717822157948E-2</v>
      </c>
      <c r="M60" s="5">
        <v>24.528083416666671</v>
      </c>
      <c r="N60" s="10">
        <v>5.5524786025797468E-2</v>
      </c>
      <c r="O60" s="5">
        <v>28.85</v>
      </c>
      <c r="P60" s="10">
        <v>-0.10259965337954946</v>
      </c>
      <c r="Q60" s="5">
        <v>21.74</v>
      </c>
      <c r="R60" s="10">
        <v>0.19089236430542789</v>
      </c>
      <c r="S60" s="1" t="s">
        <v>662</v>
      </c>
    </row>
    <row r="61" spans="1:19">
      <c r="A61" s="2" t="s">
        <v>579</v>
      </c>
      <c r="B61" s="2" t="s">
        <v>511</v>
      </c>
      <c r="C61" s="6">
        <v>3.6</v>
      </c>
      <c r="D61" s="6">
        <v>-9.9999999999997868E-3</v>
      </c>
      <c r="E61" s="15">
        <v>-2.8E-3</v>
      </c>
      <c r="F61" s="6">
        <v>3.61</v>
      </c>
      <c r="G61" s="6">
        <v>3</v>
      </c>
      <c r="H61" s="11">
        <v>0.19999999999999996</v>
      </c>
      <c r="I61" s="6">
        <v>3.8544999999999994</v>
      </c>
      <c r="J61" s="11">
        <v>-6.6026722013231121E-2</v>
      </c>
      <c r="K61" s="6">
        <v>3.8327499999999999</v>
      </c>
      <c r="L61" s="11">
        <v>-6.0726632313612861E-2</v>
      </c>
      <c r="M61" s="6">
        <v>3.605416666666668</v>
      </c>
      <c r="N61" s="11">
        <v>-1.5023691205365841E-3</v>
      </c>
      <c r="O61" s="6">
        <v>5.22</v>
      </c>
      <c r="P61" s="11">
        <v>-0.31034482758620685</v>
      </c>
      <c r="Q61" s="6">
        <v>3.17</v>
      </c>
      <c r="R61" s="11">
        <v>0.13564668769716093</v>
      </c>
      <c r="S61" s="2" t="s">
        <v>663</v>
      </c>
    </row>
    <row r="62" spans="1:19">
      <c r="A62" s="1" t="s">
        <v>580</v>
      </c>
      <c r="B62" s="1" t="s">
        <v>512</v>
      </c>
      <c r="C62" s="5">
        <v>2.097</v>
      </c>
      <c r="D62" s="5">
        <v>7.6999999999999957E-2</v>
      </c>
      <c r="E62" s="14">
        <v>3.8120000000000001E-2</v>
      </c>
      <c r="F62" s="5">
        <v>2.02</v>
      </c>
      <c r="G62" s="5">
        <v>1</v>
      </c>
      <c r="H62" s="10">
        <v>1.097</v>
      </c>
      <c r="I62" s="5">
        <v>2.0825000000000005</v>
      </c>
      <c r="J62" s="10">
        <v>6.9627851140454666E-3</v>
      </c>
      <c r="K62" s="5">
        <v>2.1197500000000002</v>
      </c>
      <c r="L62" s="10">
        <v>-1.0732397688406725E-2</v>
      </c>
      <c r="M62" s="5">
        <v>2.1550833333333332</v>
      </c>
      <c r="N62" s="10">
        <v>-2.6951780673601156E-2</v>
      </c>
      <c r="O62" s="5">
        <v>2.76</v>
      </c>
      <c r="P62" s="10">
        <v>-0.24021739130434783</v>
      </c>
      <c r="Q62" s="5">
        <v>0.64999899999999999</v>
      </c>
      <c r="R62" s="10">
        <v>2.2261588094750917</v>
      </c>
      <c r="S62" s="1" t="s">
        <v>664</v>
      </c>
    </row>
    <row r="63" spans="1:19">
      <c r="A63" s="2" t="s">
        <v>35</v>
      </c>
      <c r="B63" s="2" t="s">
        <v>513</v>
      </c>
      <c r="C63" s="6">
        <v>70.45</v>
      </c>
      <c r="D63" s="6">
        <v>-1.3599979999999903</v>
      </c>
      <c r="E63" s="15">
        <v>-1.89E-2</v>
      </c>
      <c r="F63" s="6">
        <v>71.809997999999993</v>
      </c>
      <c r="G63" s="6">
        <v>65</v>
      </c>
      <c r="H63" s="11">
        <v>8.3846153846153904E-2</v>
      </c>
      <c r="I63" s="6">
        <v>73.628499700000006</v>
      </c>
      <c r="J63" s="11">
        <v>-4.3169420984412676E-2</v>
      </c>
      <c r="K63" s="6">
        <v>74.597749949999965</v>
      </c>
      <c r="L63" s="11">
        <v>-5.5601542308984397E-2</v>
      </c>
      <c r="M63" s="6">
        <v>74.201333716666639</v>
      </c>
      <c r="N63" s="11">
        <v>-5.0556149448618859E-2</v>
      </c>
      <c r="O63" s="6">
        <v>81.360000999999997</v>
      </c>
      <c r="P63" s="11">
        <v>-0.1340953892072837</v>
      </c>
      <c r="Q63" s="6">
        <v>63.869999</v>
      </c>
      <c r="R63" s="11">
        <v>0.10302178022579911</v>
      </c>
      <c r="S63" s="2" t="s">
        <v>665</v>
      </c>
    </row>
    <row r="64" spans="1:19">
      <c r="A64" s="1" t="s">
        <v>581</v>
      </c>
      <c r="B64" s="1" t="s">
        <v>514</v>
      </c>
      <c r="C64" s="5">
        <v>3.56</v>
      </c>
      <c r="D64" s="5">
        <v>0</v>
      </c>
      <c r="E64" s="14">
        <v>0</v>
      </c>
      <c r="F64" s="5">
        <v>3.56</v>
      </c>
      <c r="G64" s="5">
        <v>3</v>
      </c>
      <c r="H64" s="10">
        <v>0.18666666666666676</v>
      </c>
      <c r="I64" s="5">
        <v>3.5354999999999999</v>
      </c>
      <c r="J64" s="10">
        <v>6.929712911893704E-3</v>
      </c>
      <c r="K64" s="5">
        <v>3.6472500000000005</v>
      </c>
      <c r="L64" s="10">
        <v>-2.3922133113990163E-2</v>
      </c>
      <c r="M64" s="5">
        <v>3.5953333333333339</v>
      </c>
      <c r="N64" s="10">
        <v>-9.8275542369740121E-3</v>
      </c>
      <c r="O64" s="5">
        <v>4.33</v>
      </c>
      <c r="P64" s="10">
        <v>-0.1778290993071594</v>
      </c>
      <c r="Q64" s="5">
        <v>3.14</v>
      </c>
      <c r="R64" s="10">
        <v>0.13375796178343946</v>
      </c>
      <c r="S64" s="1" t="s">
        <v>666</v>
      </c>
    </row>
    <row r="65" spans="1:19">
      <c r="A65" s="2" t="s">
        <v>582</v>
      </c>
      <c r="B65" s="2" t="s">
        <v>515</v>
      </c>
      <c r="C65" s="6">
        <v>30.41</v>
      </c>
      <c r="D65" s="6"/>
      <c r="E65" s="15">
        <v>0</v>
      </c>
      <c r="F65" s="6"/>
      <c r="G65" s="6">
        <v>25</v>
      </c>
      <c r="H65" s="11">
        <v>0.21639999999999993</v>
      </c>
      <c r="I65" s="6"/>
      <c r="J65" s="11"/>
      <c r="K65" s="6">
        <v>30.476666833333329</v>
      </c>
      <c r="L65" s="11">
        <v>-2.1874712775483696E-3</v>
      </c>
      <c r="M65" s="6">
        <v>30.224999860465115</v>
      </c>
      <c r="N65" s="11">
        <v>6.1207656042661096E-3</v>
      </c>
      <c r="O65" s="6">
        <v>42.970001000000003</v>
      </c>
      <c r="P65" s="11">
        <v>-0.29229696783111558</v>
      </c>
      <c r="Q65" s="6">
        <v>26.42</v>
      </c>
      <c r="R65" s="11">
        <v>0.15102195306585919</v>
      </c>
      <c r="S65" s="2" t="s">
        <v>667</v>
      </c>
    </row>
    <row r="66" spans="1:19">
      <c r="A66" s="1" t="s">
        <v>583</v>
      </c>
      <c r="B66" s="1" t="s">
        <v>516</v>
      </c>
      <c r="C66" s="5">
        <v>2.41</v>
      </c>
      <c r="D66" s="5">
        <v>-2.0000000000000018E-2</v>
      </c>
      <c r="E66" s="14">
        <v>-8.2000000000000007E-3</v>
      </c>
      <c r="F66" s="5">
        <v>2.4300000000000002</v>
      </c>
      <c r="G66" s="5">
        <v>0.1</v>
      </c>
      <c r="H66" s="10">
        <v>23.1</v>
      </c>
      <c r="I66" s="5">
        <v>2.4724999999999997</v>
      </c>
      <c r="J66" s="10">
        <v>-2.5278058645095913E-2</v>
      </c>
      <c r="K66" s="5">
        <v>2.5797500000000002</v>
      </c>
      <c r="L66" s="10">
        <v>-6.5800949704428735E-2</v>
      </c>
      <c r="M66" s="5">
        <v>1.4610833333333333</v>
      </c>
      <c r="N66" s="10">
        <v>0.64946101636913256</v>
      </c>
      <c r="O66" s="5">
        <v>3.33</v>
      </c>
      <c r="P66" s="10">
        <v>-0.27627627627627627</v>
      </c>
      <c r="Q66" s="5">
        <v>0.59</v>
      </c>
      <c r="R66" s="10">
        <v>3.0847457627118651</v>
      </c>
      <c r="S66" s="1" t="s">
        <v>668</v>
      </c>
    </row>
    <row r="67" spans="1:19">
      <c r="A67" s="2" t="s">
        <v>399</v>
      </c>
      <c r="B67" s="2" t="s">
        <v>517</v>
      </c>
      <c r="C67" s="6">
        <v>7.42</v>
      </c>
      <c r="D67" s="6">
        <v>-3.0000000000000249E-2</v>
      </c>
      <c r="E67" s="15">
        <v>-4.0000000000000001E-3</v>
      </c>
      <c r="F67" s="6">
        <v>7.45</v>
      </c>
      <c r="G67" s="6">
        <v>0.5</v>
      </c>
      <c r="H67" s="11">
        <v>13.84</v>
      </c>
      <c r="I67" s="6">
        <v>7.6739999999999995</v>
      </c>
      <c r="J67" s="11">
        <v>-3.3098775084701493E-2</v>
      </c>
      <c r="K67" s="6">
        <v>7.8350000000000009</v>
      </c>
      <c r="L67" s="11">
        <v>-5.2967453733248404E-2</v>
      </c>
      <c r="M67" s="6">
        <v>4.3107500000000005</v>
      </c>
      <c r="N67" s="11">
        <v>0.72127819984921393</v>
      </c>
      <c r="O67" s="6">
        <v>8.5299999999999994</v>
      </c>
      <c r="P67" s="11">
        <v>-0.13012895662368107</v>
      </c>
      <c r="Q67" s="6">
        <v>1.52</v>
      </c>
      <c r="R67" s="11">
        <v>3.8815789473684212</v>
      </c>
      <c r="S67" s="2" t="s">
        <v>669</v>
      </c>
    </row>
    <row r="68" spans="1:19">
      <c r="A68" s="1" t="s">
        <v>401</v>
      </c>
      <c r="B68" s="1" t="s">
        <v>518</v>
      </c>
      <c r="C68" s="5">
        <v>57.52</v>
      </c>
      <c r="D68" s="5">
        <v>0.13999900000000309</v>
      </c>
      <c r="E68" s="14">
        <v>2.3999999999999998E-3</v>
      </c>
      <c r="F68" s="5">
        <v>57.380001</v>
      </c>
      <c r="G68" s="5">
        <v>35</v>
      </c>
      <c r="H68" s="10">
        <v>0.64342857142857146</v>
      </c>
      <c r="I68" s="5">
        <v>57.045999449999989</v>
      </c>
      <c r="J68" s="10">
        <v>8.309093618658947E-3</v>
      </c>
      <c r="K68" s="5">
        <v>58.208249750000007</v>
      </c>
      <c r="L68" s="10">
        <v>-1.1823921058543796E-2</v>
      </c>
      <c r="M68" s="5">
        <v>56.580999975000019</v>
      </c>
      <c r="N68" s="10">
        <v>1.6595677443220769E-2</v>
      </c>
      <c r="O68" s="5">
        <v>64.660004000000001</v>
      </c>
      <c r="P68" s="10">
        <v>-0.11042381005729596</v>
      </c>
      <c r="Q68" s="5">
        <v>42.869999</v>
      </c>
      <c r="R68" s="10">
        <v>0.34173084538677045</v>
      </c>
      <c r="S68" s="1" t="s">
        <v>670</v>
      </c>
    </row>
    <row r="69" spans="1:19">
      <c r="A69" s="2" t="s">
        <v>584</v>
      </c>
      <c r="B69" s="2" t="s">
        <v>519</v>
      </c>
      <c r="C69" s="6">
        <v>2</v>
      </c>
      <c r="D69" s="6">
        <v>2.0000000000000018E-2</v>
      </c>
      <c r="E69" s="15">
        <v>1.01E-2</v>
      </c>
      <c r="F69" s="6">
        <v>1.98</v>
      </c>
      <c r="G69" s="6">
        <v>1</v>
      </c>
      <c r="H69" s="11">
        <v>1</v>
      </c>
      <c r="I69" s="6">
        <v>2.0157500000000002</v>
      </c>
      <c r="J69" s="11">
        <v>-7.8134689321592843E-3</v>
      </c>
      <c r="K69" s="6">
        <v>2.0238750000000003</v>
      </c>
      <c r="L69" s="11">
        <v>-1.1796677166327152E-2</v>
      </c>
      <c r="M69" s="6">
        <v>2.1969166666666666</v>
      </c>
      <c r="N69" s="11">
        <v>-8.9633198042711415E-2</v>
      </c>
      <c r="O69" s="6">
        <v>3.86</v>
      </c>
      <c r="P69" s="11">
        <v>-0.4818652849740932</v>
      </c>
      <c r="Q69" s="6">
        <v>1.74</v>
      </c>
      <c r="R69" s="11">
        <v>0.14942528735632177</v>
      </c>
      <c r="S69" s="2" t="s">
        <v>671</v>
      </c>
    </row>
    <row r="70" spans="1:19">
      <c r="A70" s="1" t="s">
        <v>400</v>
      </c>
      <c r="B70" s="1" t="s">
        <v>520</v>
      </c>
      <c r="C70" s="5">
        <v>3.45</v>
      </c>
      <c r="D70" s="5">
        <v>0.11000000000000032</v>
      </c>
      <c r="E70" s="14">
        <v>3.2899999999999999E-2</v>
      </c>
      <c r="F70" s="5">
        <v>3.34</v>
      </c>
      <c r="G70" s="5">
        <v>3</v>
      </c>
      <c r="H70" s="10">
        <v>0.15000000000000013</v>
      </c>
      <c r="I70" s="5">
        <v>3.1375000000000006</v>
      </c>
      <c r="J70" s="10">
        <v>9.960159362549792E-2</v>
      </c>
      <c r="K70" s="5">
        <v>3.0665000000000004</v>
      </c>
      <c r="L70" s="10">
        <v>0.12506114462742524</v>
      </c>
      <c r="M70" s="5">
        <v>3.214833333333333</v>
      </c>
      <c r="N70" s="10">
        <v>7.3150500285136699E-2</v>
      </c>
      <c r="O70" s="5">
        <v>6.4</v>
      </c>
      <c r="P70" s="10">
        <v>-0.4609375</v>
      </c>
      <c r="Q70" s="5">
        <v>2.66</v>
      </c>
      <c r="R70" s="10">
        <v>0.29699248120300759</v>
      </c>
      <c r="S70" s="1" t="s">
        <v>672</v>
      </c>
    </row>
    <row r="71" spans="1:19">
      <c r="A71" s="2" t="s">
        <v>585</v>
      </c>
      <c r="B71" s="2" t="s">
        <v>521</v>
      </c>
      <c r="C71" s="6">
        <v>0.51</v>
      </c>
      <c r="D71" s="6">
        <v>-2.0000000000000018E-2</v>
      </c>
      <c r="E71" s="15">
        <v>-3.7600000000000001E-2</v>
      </c>
      <c r="F71" s="6">
        <v>0.53</v>
      </c>
      <c r="G71" s="6">
        <v>1</v>
      </c>
      <c r="H71" s="11">
        <v>-0.49</v>
      </c>
      <c r="I71" s="6">
        <v>1.0241500000000001</v>
      </c>
      <c r="J71" s="11">
        <v>-0.50202607039984382</v>
      </c>
      <c r="K71" s="6">
        <v>1.1218499999999998</v>
      </c>
      <c r="L71" s="11">
        <v>-0.54539376922048399</v>
      </c>
      <c r="M71" s="6">
        <v>1.6142083333333337</v>
      </c>
      <c r="N71" s="11">
        <v>-0.68405565163521853</v>
      </c>
      <c r="O71" s="6">
        <v>9.3000000000000007</v>
      </c>
      <c r="P71" s="11">
        <v>-0.94516129032258067</v>
      </c>
      <c r="Q71" s="6">
        <v>0.53</v>
      </c>
      <c r="R71" s="11">
        <v>-3.7735849056603765E-2</v>
      </c>
      <c r="S71" s="2" t="s">
        <v>673</v>
      </c>
    </row>
    <row r="72" spans="1:19">
      <c r="A72" s="1" t="s">
        <v>603</v>
      </c>
      <c r="B72" s="1" t="s">
        <v>522</v>
      </c>
      <c r="C72" s="5">
        <v>107.74</v>
      </c>
      <c r="D72" s="5">
        <v>2.1700000000000017</v>
      </c>
      <c r="E72" s="14">
        <v>2.06E-2</v>
      </c>
      <c r="F72" s="5">
        <v>105.57</v>
      </c>
      <c r="G72" s="5">
        <v>65</v>
      </c>
      <c r="H72" s="10">
        <v>0.65753846153846141</v>
      </c>
      <c r="I72" s="5">
        <v>104.53699994999999</v>
      </c>
      <c r="J72" s="10">
        <v>3.0639869630197936E-2</v>
      </c>
      <c r="K72" s="5">
        <v>97.615000150000014</v>
      </c>
      <c r="L72" s="10">
        <v>0.10372381124254892</v>
      </c>
      <c r="M72" s="5">
        <v>83.556500066666644</v>
      </c>
      <c r="N72" s="10">
        <v>0.28942691369358742</v>
      </c>
      <c r="O72" s="5">
        <v>107.83000200000001</v>
      </c>
      <c r="P72" s="10">
        <v>-8.3466566197420988E-4</v>
      </c>
      <c r="Q72" s="5">
        <v>52.650002000000001</v>
      </c>
      <c r="R72" s="10">
        <v>1.0463437019432589</v>
      </c>
      <c r="S72" s="1" t="s">
        <v>674</v>
      </c>
    </row>
    <row r="73" spans="1:19">
      <c r="A73" s="2" t="s">
        <v>586</v>
      </c>
      <c r="B73" s="2" t="s">
        <v>523</v>
      </c>
      <c r="C73" s="6">
        <v>18.71</v>
      </c>
      <c r="D73" s="6">
        <v>-3.9999999999999147E-2</v>
      </c>
      <c r="E73" s="15">
        <v>-2.0999999999999999E-3</v>
      </c>
      <c r="F73" s="6">
        <v>18.75</v>
      </c>
      <c r="G73" s="6">
        <v>10</v>
      </c>
      <c r="H73" s="11">
        <v>0.871</v>
      </c>
      <c r="I73" s="6">
        <v>18.830999950000002</v>
      </c>
      <c r="J73" s="11">
        <v>-6.4255722118464753E-3</v>
      </c>
      <c r="K73" s="6">
        <v>17.777499850000002</v>
      </c>
      <c r="L73" s="11">
        <v>5.2453953473103221E-2</v>
      </c>
      <c r="M73" s="6">
        <v>16.16033328333333</v>
      </c>
      <c r="N73" s="11">
        <v>0.15777315182578722</v>
      </c>
      <c r="O73" s="6">
        <v>19.57</v>
      </c>
      <c r="P73" s="11">
        <v>-4.3944813490035761E-2</v>
      </c>
      <c r="Q73" s="6">
        <v>9.7200000000000006</v>
      </c>
      <c r="R73" s="11">
        <v>0.92489711934156382</v>
      </c>
      <c r="S73" s="2" t="s">
        <v>675</v>
      </c>
    </row>
    <row r="74" spans="1:19">
      <c r="A74" s="1" t="s">
        <v>587</v>
      </c>
      <c r="B74" s="1" t="s">
        <v>524</v>
      </c>
      <c r="C74" s="5">
        <v>1.1060000000000001</v>
      </c>
      <c r="D74" s="5">
        <v>2.6000000000000023E-2</v>
      </c>
      <c r="E74" s="14">
        <v>2.4070000000000001E-2</v>
      </c>
      <c r="F74" s="5">
        <v>1.08</v>
      </c>
      <c r="G74" s="5">
        <v>1</v>
      </c>
      <c r="H74" s="10">
        <v>0.10600000000000009</v>
      </c>
      <c r="I74" s="5">
        <v>1.0634999999999999</v>
      </c>
      <c r="J74" s="10">
        <v>3.9962388340385679E-2</v>
      </c>
      <c r="K74" s="5">
        <v>1.0532500000000002</v>
      </c>
      <c r="L74" s="10">
        <v>5.0083076192736664E-2</v>
      </c>
      <c r="M74" s="5">
        <v>1.1924166666666673</v>
      </c>
      <c r="N74" s="10">
        <v>-7.2471870850514097E-2</v>
      </c>
      <c r="O74" s="5">
        <v>2.38</v>
      </c>
      <c r="P74" s="10">
        <v>-0.5352941176470587</v>
      </c>
      <c r="Q74" s="5">
        <v>0.95</v>
      </c>
      <c r="R74" s="10">
        <v>0.16421052631578958</v>
      </c>
      <c r="S74" s="1" t="s">
        <v>676</v>
      </c>
    </row>
    <row r="75" spans="1:19">
      <c r="A75" s="2" t="s">
        <v>588</v>
      </c>
      <c r="B75" s="2" t="s">
        <v>525</v>
      </c>
      <c r="C75" s="6">
        <v>11.54</v>
      </c>
      <c r="D75" s="6"/>
      <c r="E75" s="15">
        <v>0</v>
      </c>
      <c r="F75" s="6"/>
      <c r="G75" s="6">
        <v>7</v>
      </c>
      <c r="H75" s="11">
        <v>0.64857142857142835</v>
      </c>
      <c r="I75" s="6"/>
      <c r="J75" s="11"/>
      <c r="K75" s="6">
        <v>10.825333333333333</v>
      </c>
      <c r="L75" s="11">
        <v>6.6017982510161222E-2</v>
      </c>
      <c r="M75" s="6">
        <v>10.059263157894742</v>
      </c>
      <c r="N75" s="11">
        <v>0.14720132268765029</v>
      </c>
      <c r="O75" s="6">
        <v>11.54</v>
      </c>
      <c r="P75" s="11">
        <v>0</v>
      </c>
      <c r="Q75" s="6">
        <v>6.96</v>
      </c>
      <c r="R75" s="11">
        <v>0.65804597701149414</v>
      </c>
      <c r="S75" s="2" t="s">
        <v>677</v>
      </c>
    </row>
    <row r="76" spans="1:19">
      <c r="A76" s="1" t="s">
        <v>589</v>
      </c>
      <c r="B76" s="1" t="s">
        <v>526</v>
      </c>
      <c r="C76" s="5">
        <v>8.27</v>
      </c>
      <c r="D76" s="5">
        <v>9.9999999999999645E-2</v>
      </c>
      <c r="E76" s="14">
        <v>1.2200000000000001E-2</v>
      </c>
      <c r="F76" s="5">
        <v>8.17</v>
      </c>
      <c r="G76" s="5">
        <v>8</v>
      </c>
      <c r="H76" s="10">
        <v>3.3749999999999947E-2</v>
      </c>
      <c r="I76" s="5">
        <v>8.3997500000000009</v>
      </c>
      <c r="J76" s="10">
        <v>-1.5446888300247208E-2</v>
      </c>
      <c r="K76" s="5">
        <v>8.405125</v>
      </c>
      <c r="L76" s="10">
        <v>-1.6076500944364303E-2</v>
      </c>
      <c r="M76" s="5">
        <v>8.7554999999999943</v>
      </c>
      <c r="N76" s="10">
        <v>-5.5450859459767576E-2</v>
      </c>
      <c r="O76" s="5">
        <v>11.7</v>
      </c>
      <c r="P76" s="10">
        <v>-0.29316239316239312</v>
      </c>
      <c r="Q76" s="5">
        <v>7.79</v>
      </c>
      <c r="R76" s="10">
        <v>6.1617458279845883E-2</v>
      </c>
      <c r="S76" s="1" t="s">
        <v>678</v>
      </c>
    </row>
    <row r="77" spans="1:19">
      <c r="A77" s="2" t="s">
        <v>590</v>
      </c>
      <c r="B77" s="2" t="s">
        <v>527</v>
      </c>
      <c r="C77" s="6">
        <v>13.42</v>
      </c>
      <c r="D77" s="6">
        <v>0</v>
      </c>
      <c r="E77" s="15">
        <v>0</v>
      </c>
      <c r="F77" s="6">
        <v>13.42</v>
      </c>
      <c r="G77" s="6">
        <v>10</v>
      </c>
      <c r="H77" s="11">
        <v>0.34200000000000008</v>
      </c>
      <c r="I77" s="6">
        <v>13.453500000000002</v>
      </c>
      <c r="J77" s="11">
        <v>-2.4900583491286321E-3</v>
      </c>
      <c r="K77" s="6">
        <v>13.38325</v>
      </c>
      <c r="L77" s="11">
        <v>2.7459697756524459E-3</v>
      </c>
      <c r="M77" s="6">
        <v>12.434499999999996</v>
      </c>
      <c r="N77" s="11">
        <v>7.9255297760264076E-2</v>
      </c>
      <c r="O77" s="6">
        <v>16.25</v>
      </c>
      <c r="P77" s="11">
        <v>-0.1741538461538461</v>
      </c>
      <c r="Q77" s="6">
        <v>10.35</v>
      </c>
      <c r="R77" s="11">
        <v>0.29661835748792265</v>
      </c>
      <c r="S77" s="2" t="s">
        <v>679</v>
      </c>
    </row>
    <row r="78" spans="1:19">
      <c r="A78" s="1" t="s">
        <v>591</v>
      </c>
      <c r="B78" s="1" t="s">
        <v>528</v>
      </c>
      <c r="C78" s="5">
        <v>2.2400000000000002</v>
      </c>
      <c r="D78" s="5"/>
      <c r="E78" s="14">
        <v>0</v>
      </c>
      <c r="F78" s="5"/>
      <c r="G78" s="5">
        <v>2</v>
      </c>
      <c r="H78" s="10">
        <v>0.12000000000000011</v>
      </c>
      <c r="I78" s="5"/>
      <c r="J78" s="10"/>
      <c r="K78" s="5">
        <v>2.9775</v>
      </c>
      <c r="L78" s="10">
        <v>-0.2476910159529806</v>
      </c>
      <c r="M78" s="5">
        <v>4.4751136363636368</v>
      </c>
      <c r="N78" s="10">
        <v>-0.49945405144612887</v>
      </c>
      <c r="O78" s="5">
        <v>9.2899999999999991</v>
      </c>
      <c r="P78" s="10">
        <v>-0.7588805166846071</v>
      </c>
      <c r="Q78" s="5">
        <v>2.72</v>
      </c>
      <c r="R78" s="10">
        <v>-0.17647058823529405</v>
      </c>
      <c r="S78" s="1" t="s">
        <v>680</v>
      </c>
    </row>
    <row r="79" spans="1:19">
      <c r="A79" s="2" t="s">
        <v>12</v>
      </c>
      <c r="B79" s="2" t="s">
        <v>529</v>
      </c>
      <c r="C79" s="6">
        <v>50.56</v>
      </c>
      <c r="D79" s="6">
        <v>0.17000100000000629</v>
      </c>
      <c r="E79" s="15">
        <v>3.3999999999999998E-3</v>
      </c>
      <c r="F79" s="6">
        <v>50.389998999999996</v>
      </c>
      <c r="G79" s="6">
        <v>20</v>
      </c>
      <c r="H79" s="11">
        <v>1.528</v>
      </c>
      <c r="I79" s="6">
        <v>50.545500200000006</v>
      </c>
      <c r="J79" s="11">
        <v>2.8686628765406397E-4</v>
      </c>
      <c r="K79" s="6">
        <v>50.711749875000002</v>
      </c>
      <c r="L79" s="11">
        <v>-2.9924006837478423E-3</v>
      </c>
      <c r="M79" s="6">
        <v>48.33883324166667</v>
      </c>
      <c r="N79" s="11">
        <v>4.594994561057697E-2</v>
      </c>
      <c r="O79" s="6">
        <v>58.209998999999996</v>
      </c>
      <c r="P79" s="11">
        <v>-0.1314207031681961</v>
      </c>
      <c r="Q79" s="6">
        <v>21.549999</v>
      </c>
      <c r="R79" s="11">
        <v>1.3461718026065803</v>
      </c>
      <c r="S79" s="2" t="s">
        <v>681</v>
      </c>
    </row>
    <row r="80" spans="1:19">
      <c r="A80" s="1" t="s">
        <v>592</v>
      </c>
      <c r="B80" s="1" t="s">
        <v>530</v>
      </c>
      <c r="C80" s="5">
        <v>2.23</v>
      </c>
      <c r="D80" s="5">
        <v>6.6999999999999726E-2</v>
      </c>
      <c r="E80" s="14">
        <v>3.0800000000000001E-2</v>
      </c>
      <c r="F80" s="5">
        <v>2.1630000000000003</v>
      </c>
      <c r="G80" s="5">
        <v>3</v>
      </c>
      <c r="H80" s="10">
        <v>-0.25666666666666671</v>
      </c>
      <c r="I80" s="5">
        <v>2.6027500000000003</v>
      </c>
      <c r="J80" s="10">
        <v>-0.14321390836615133</v>
      </c>
      <c r="K80" s="5">
        <v>2.7965249999999999</v>
      </c>
      <c r="L80" s="10">
        <v>-0.20258177559649926</v>
      </c>
      <c r="M80" s="5">
        <v>3.2246333333333341</v>
      </c>
      <c r="N80" s="10">
        <v>-0.30844850577326643</v>
      </c>
      <c r="O80" s="5">
        <v>5.99</v>
      </c>
      <c r="P80" s="10">
        <v>-0.62771285475792982</v>
      </c>
      <c r="Q80" s="5">
        <v>2.1630000000000003</v>
      </c>
      <c r="R80" s="10">
        <v>3.0975496994914309E-2</v>
      </c>
      <c r="S80" s="1" t="s">
        <v>682</v>
      </c>
    </row>
    <row r="81" spans="1:19">
      <c r="A81" s="2" t="s">
        <v>593</v>
      </c>
      <c r="B81" s="2" t="s">
        <v>531</v>
      </c>
      <c r="C81" s="6">
        <v>4.68</v>
      </c>
      <c r="D81" s="6">
        <v>-3.0000000000000249E-2</v>
      </c>
      <c r="E81" s="15">
        <v>-6.4000000000000003E-3</v>
      </c>
      <c r="F81" s="6">
        <v>4.71</v>
      </c>
      <c r="G81" s="6">
        <v>4</v>
      </c>
      <c r="H81" s="11">
        <v>0.16999999999999993</v>
      </c>
      <c r="I81" s="6">
        <v>4.4359999999999991</v>
      </c>
      <c r="J81" s="11">
        <v>5.5004508566276034E-2</v>
      </c>
      <c r="K81" s="6">
        <v>4.6139999999999999</v>
      </c>
      <c r="L81" s="11">
        <v>1.4304291287386084E-2</v>
      </c>
      <c r="M81" s="6">
        <v>5.0689166666666656</v>
      </c>
      <c r="N81" s="11">
        <v>-7.6725796110279854E-2</v>
      </c>
      <c r="O81" s="6">
        <v>7.04</v>
      </c>
      <c r="P81" s="11">
        <v>-0.33522727272727282</v>
      </c>
      <c r="Q81" s="6">
        <v>4.28</v>
      </c>
      <c r="R81" s="11">
        <v>9.3457943925233433E-2</v>
      </c>
      <c r="S81" s="2" t="s">
        <v>683</v>
      </c>
    </row>
    <row r="82" spans="1:19">
      <c r="A82" s="1" t="s">
        <v>405</v>
      </c>
      <c r="B82" s="1" t="s">
        <v>532</v>
      </c>
      <c r="C82" s="5">
        <v>3.67</v>
      </c>
      <c r="D82" s="5">
        <v>0</v>
      </c>
      <c r="E82" s="14">
        <v>0</v>
      </c>
      <c r="F82" s="5">
        <v>3.67</v>
      </c>
      <c r="G82" s="5">
        <v>1</v>
      </c>
      <c r="H82" s="10">
        <v>2.67</v>
      </c>
      <c r="I82" s="5">
        <v>3.8280000000000007</v>
      </c>
      <c r="J82" s="10">
        <v>-4.1274817136886299E-2</v>
      </c>
      <c r="K82" s="5">
        <v>3.7852499999999991</v>
      </c>
      <c r="L82" s="10">
        <v>-3.0447130308433823E-2</v>
      </c>
      <c r="M82" s="5">
        <v>4.0516666666666659</v>
      </c>
      <c r="N82" s="10">
        <v>-9.4199917729329341E-2</v>
      </c>
      <c r="O82" s="5">
        <v>6.91</v>
      </c>
      <c r="P82" s="10">
        <v>-0.46888567293777139</v>
      </c>
      <c r="Q82" s="5">
        <v>3.56</v>
      </c>
      <c r="R82" s="10">
        <v>3.0898876404494402E-2</v>
      </c>
      <c r="S82" s="1" t="s">
        <v>684</v>
      </c>
    </row>
    <row r="83" spans="1:19">
      <c r="A83" s="2" t="s">
        <v>594</v>
      </c>
      <c r="B83" s="2" t="s">
        <v>533</v>
      </c>
      <c r="C83" s="6">
        <v>8.17</v>
      </c>
      <c r="D83" s="6">
        <v>0</v>
      </c>
      <c r="E83" s="15">
        <v>0</v>
      </c>
      <c r="F83" s="6">
        <v>8.17</v>
      </c>
      <c r="G83" s="6">
        <v>6</v>
      </c>
      <c r="H83" s="11">
        <v>0.36166666666666658</v>
      </c>
      <c r="I83" s="6">
        <v>8.1699999999999982</v>
      </c>
      <c r="J83" s="11">
        <v>2.2204460492503131E-16</v>
      </c>
      <c r="K83" s="6">
        <v>8.1699999999999982</v>
      </c>
      <c r="L83" s="11">
        <v>2.2204460492503131E-16</v>
      </c>
      <c r="M83" s="6">
        <v>7.6096666666666506</v>
      </c>
      <c r="N83" s="11">
        <v>7.3634412370233049E-2</v>
      </c>
      <c r="O83" s="6">
        <v>8.17</v>
      </c>
      <c r="P83" s="11">
        <v>0</v>
      </c>
      <c r="Q83" s="6">
        <v>4.9000000000000004</v>
      </c>
      <c r="R83" s="11">
        <v>0.66734693877550999</v>
      </c>
      <c r="S83" s="2" t="s">
        <v>685</v>
      </c>
    </row>
    <row r="84" spans="1:19">
      <c r="A84" s="1" t="s">
        <v>595</v>
      </c>
      <c r="B84" s="1" t="s">
        <v>534</v>
      </c>
      <c r="C84" s="5">
        <v>2.76</v>
      </c>
      <c r="D84" s="5">
        <v>4.9999999999999822E-2</v>
      </c>
      <c r="E84" s="14">
        <v>1.8499999999999999E-2</v>
      </c>
      <c r="F84" s="5">
        <v>2.71</v>
      </c>
      <c r="G84" s="5">
        <v>1</v>
      </c>
      <c r="H84" s="10">
        <v>1.7599999999999998</v>
      </c>
      <c r="I84" s="5">
        <v>2.5235000000000003</v>
      </c>
      <c r="J84" s="10">
        <v>9.3719041014463933E-2</v>
      </c>
      <c r="K84" s="5">
        <v>2.4682500000000003</v>
      </c>
      <c r="L84" s="10">
        <v>0.11820115466423564</v>
      </c>
      <c r="M84" s="5">
        <v>2.8722500000000002</v>
      </c>
      <c r="N84" s="10">
        <v>-3.9080859952998703E-2</v>
      </c>
      <c r="O84" s="5">
        <v>5.2</v>
      </c>
      <c r="P84" s="10">
        <v>-0.46923076923076934</v>
      </c>
      <c r="Q84" s="5">
        <v>1.88</v>
      </c>
      <c r="R84" s="10">
        <v>0.46808510638297873</v>
      </c>
      <c r="S84" s="1" t="s">
        <v>686</v>
      </c>
    </row>
    <row r="85" spans="1:19">
      <c r="A85" s="2" t="s">
        <v>596</v>
      </c>
      <c r="B85" s="2" t="s">
        <v>535</v>
      </c>
      <c r="C85" s="6">
        <v>19.57</v>
      </c>
      <c r="D85" s="6">
        <v>-1.9999999999999574E-2</v>
      </c>
      <c r="E85" s="15">
        <v>-1E-3</v>
      </c>
      <c r="F85" s="6">
        <v>19.59</v>
      </c>
      <c r="G85" s="6">
        <v>12</v>
      </c>
      <c r="H85" s="11">
        <v>0.63083333333333336</v>
      </c>
      <c r="I85" s="6">
        <v>20.318000099999999</v>
      </c>
      <c r="J85" s="11">
        <v>-3.6814651851488023E-2</v>
      </c>
      <c r="K85" s="6">
        <v>19.554750074999998</v>
      </c>
      <c r="L85" s="11">
        <v>7.7985783206191428E-4</v>
      </c>
      <c r="M85" s="6">
        <v>18.078583308333332</v>
      </c>
      <c r="N85" s="11">
        <v>8.2496325416118177E-2</v>
      </c>
      <c r="O85" s="6">
        <v>22.780001000000002</v>
      </c>
      <c r="P85" s="11">
        <v>-0.14091311936290085</v>
      </c>
      <c r="Q85" s="6">
        <v>11.15</v>
      </c>
      <c r="R85" s="11">
        <v>0.75515695067264565</v>
      </c>
      <c r="S85" s="2" t="s">
        <v>687</v>
      </c>
    </row>
    <row r="86" spans="1:19">
      <c r="A86" s="1" t="s">
        <v>597</v>
      </c>
      <c r="B86" s="1" t="s">
        <v>536</v>
      </c>
      <c r="C86" s="5">
        <v>23.37</v>
      </c>
      <c r="D86" s="5">
        <v>-9.999899999999684E-2</v>
      </c>
      <c r="E86" s="14">
        <v>-4.3E-3</v>
      </c>
      <c r="F86" s="5">
        <v>23.469998999999998</v>
      </c>
      <c r="G86" s="5">
        <v>1</v>
      </c>
      <c r="H86" s="10">
        <v>22.37</v>
      </c>
      <c r="I86" s="5">
        <v>24.66950005</v>
      </c>
      <c r="J86" s="10">
        <v>-5.2676383686989237E-2</v>
      </c>
      <c r="K86" s="5">
        <v>25.506249999999994</v>
      </c>
      <c r="L86" s="10">
        <v>-8.3753981867189187E-2</v>
      </c>
      <c r="M86" s="5">
        <v>25.214833266666677</v>
      </c>
      <c r="N86" s="10">
        <v>-7.3164603039651888E-2</v>
      </c>
      <c r="O86" s="5">
        <v>37.5</v>
      </c>
      <c r="P86" s="10">
        <v>-0.37680000000000002</v>
      </c>
      <c r="Q86" s="5">
        <v>10.210000000000001</v>
      </c>
      <c r="R86" s="10">
        <v>1.2889324191968656</v>
      </c>
      <c r="S86" s="1" t="s">
        <v>688</v>
      </c>
    </row>
    <row r="87" spans="1:19">
      <c r="A87" s="2" t="s">
        <v>598</v>
      </c>
      <c r="B87" s="2" t="s">
        <v>537</v>
      </c>
      <c r="C87" s="6">
        <v>44.81</v>
      </c>
      <c r="D87" s="6">
        <v>1.0500020000000063</v>
      </c>
      <c r="E87" s="15">
        <v>2.4E-2</v>
      </c>
      <c r="F87" s="6">
        <v>43.759997999999996</v>
      </c>
      <c r="G87" s="6">
        <v>20</v>
      </c>
      <c r="H87" s="11">
        <v>1.2404999999999999</v>
      </c>
      <c r="I87" s="6">
        <v>45.96450025</v>
      </c>
      <c r="J87" s="11">
        <v>-2.5117215323144926E-2</v>
      </c>
      <c r="K87" s="6">
        <v>46.216250250000002</v>
      </c>
      <c r="L87" s="11">
        <v>-3.0427614581301943E-2</v>
      </c>
      <c r="M87" s="6">
        <v>44.584250041666685</v>
      </c>
      <c r="N87" s="11">
        <v>5.0634463543144381E-3</v>
      </c>
      <c r="O87" s="6">
        <v>63.529998999999997</v>
      </c>
      <c r="P87" s="11">
        <v>-0.29466392719445811</v>
      </c>
      <c r="Q87" s="6">
        <v>32.07</v>
      </c>
      <c r="R87" s="11">
        <v>0.39725600249454329</v>
      </c>
      <c r="S87" s="2" t="s">
        <v>689</v>
      </c>
    </row>
    <row r="88" spans="1:19">
      <c r="A88" s="1" t="s">
        <v>599</v>
      </c>
      <c r="B88" s="1" t="s">
        <v>538</v>
      </c>
      <c r="C88" s="5">
        <v>17.989999999999998</v>
      </c>
      <c r="D88" s="5">
        <v>-1.0000000000001563E-2</v>
      </c>
      <c r="E88" s="14">
        <v>-5.9999999999999995E-4</v>
      </c>
      <c r="F88" s="5">
        <v>18</v>
      </c>
      <c r="G88" s="5">
        <v>12</v>
      </c>
      <c r="H88" s="10">
        <v>0.49916666666666654</v>
      </c>
      <c r="I88" s="5">
        <v>17.415500149999996</v>
      </c>
      <c r="J88" s="10">
        <v>3.2987846748690819E-2</v>
      </c>
      <c r="K88" s="5">
        <v>17.402999925000003</v>
      </c>
      <c r="L88" s="10">
        <v>3.3729821153233974E-2</v>
      </c>
      <c r="M88" s="5">
        <v>15.958999958333333</v>
      </c>
      <c r="N88" s="10">
        <v>0.12726361595145796</v>
      </c>
      <c r="O88" s="5">
        <v>18</v>
      </c>
      <c r="P88" s="10">
        <v>-5.555555555556424E-4</v>
      </c>
      <c r="Q88" s="5">
        <v>14</v>
      </c>
      <c r="R88" s="10">
        <v>0.28499999999999992</v>
      </c>
      <c r="S88" s="1" t="s">
        <v>690</v>
      </c>
    </row>
    <row r="89" spans="1:19">
      <c r="A89" s="2" t="s">
        <v>600</v>
      </c>
      <c r="B89" s="2" t="s">
        <v>539</v>
      </c>
      <c r="C89" s="6">
        <v>12.76</v>
      </c>
      <c r="D89" s="6">
        <v>0.10999999999999943</v>
      </c>
      <c r="E89" s="15">
        <v>8.6999999999999994E-3</v>
      </c>
      <c r="F89" s="6">
        <v>12.65</v>
      </c>
      <c r="G89" s="6">
        <v>12</v>
      </c>
      <c r="H89" s="11">
        <v>6.3333333333333242E-2</v>
      </c>
      <c r="I89" s="6">
        <v>12.601000000000003</v>
      </c>
      <c r="J89" s="11">
        <v>1.2618046186810394E-2</v>
      </c>
      <c r="K89" s="6">
        <v>12.790499999999998</v>
      </c>
      <c r="L89" s="11">
        <v>-2.3845823071809713E-3</v>
      </c>
      <c r="M89" s="6">
        <v>13.452288127118649</v>
      </c>
      <c r="N89" s="11">
        <v>-5.1462481369474733E-2</v>
      </c>
      <c r="O89" s="6">
        <v>16.989999999999998</v>
      </c>
      <c r="P89" s="11">
        <v>-0.24896998234255441</v>
      </c>
      <c r="Q89" s="6">
        <v>11.23</v>
      </c>
      <c r="R89" s="11">
        <v>0.13624220837043621</v>
      </c>
      <c r="S89" s="2" t="s">
        <v>691</v>
      </c>
    </row>
  </sheetData>
  <phoneticPr fontId="5" type="noConversion"/>
  <conditionalFormatting sqref="J2:J89 L2:L89 N2:N89">
    <cfRule type="cellIs" dxfId="4" priority="5" operator="lessThan">
      <formula>-0.02</formula>
    </cfRule>
  </conditionalFormatting>
  <conditionalFormatting sqref="P2:P89">
    <cfRule type="cellIs" dxfId="3" priority="4" operator="between">
      <formula>-0.05</formula>
      <formula>0.05</formula>
    </cfRule>
  </conditionalFormatting>
  <conditionalFormatting sqref="H2:H89">
    <cfRule type="cellIs" dxfId="2" priority="2" operator="between">
      <formula>0</formula>
      <formula>0.05</formula>
    </cfRule>
    <cfRule type="cellIs" dxfId="1" priority="3" operator="between">
      <formula>-0.05</formula>
      <formula>0</formula>
    </cfRule>
  </conditionalFormatting>
  <conditionalFormatting sqref="R2:R89">
    <cfRule type="cellIs" dxfId="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CurrentSheet">
                <anchor moveWithCells="1" sizeWithCells="1">
                  <from>
                    <xdr:col>21</xdr:col>
                    <xdr:colOff>219075</xdr:colOff>
                    <xdr:row>4</xdr:row>
                    <xdr:rowOff>57150</xdr:rowOff>
                  </from>
                  <to>
                    <xdr:col>23</xdr:col>
                    <xdr:colOff>371475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Plot</vt:lpstr>
      <vt:lpstr>OptionsHouse</vt:lpstr>
      <vt:lpstr>TDAmeritrade</vt:lpstr>
      <vt:lpstr>401k</vt:lpstr>
      <vt:lpstr>WellsFargo</vt:lpstr>
      <vt:lpstr>Fidelity</vt:lpstr>
      <vt:lpstr>Watchlist</vt:lpstr>
      <vt:lpstr>CNStock</vt:lpstr>
      <vt:lpstr>China</vt:lpstr>
    </vt:vector>
  </TitlesOfParts>
  <Company>Dimensional Fund Advisors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Samuel.Wang@dimensional.com</dc:creator>
  <cp:lastModifiedBy>Samuel.Wang@dimensional.com</cp:lastModifiedBy>
  <dcterms:created xsi:type="dcterms:W3CDTF">2016-11-07T15:03:21Z</dcterms:created>
  <dcterms:modified xsi:type="dcterms:W3CDTF">2017-07-07T21:12:22Z</dcterms:modified>
</cp:coreProperties>
</file>