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275" yWindow="60" windowWidth="24810" windowHeight="11295" tabRatio="800" activeTab="2"/>
  </bookViews>
  <sheets>
    <sheet name="Plot" sheetId="11" r:id="rId1"/>
    <sheet name="MyHoldings" sheetId="15" r:id="rId2"/>
    <sheet name="Optimum" sheetId="4" r:id="rId3"/>
  </sheets>
  <functionGroups builtInGroupCount="17">
    <functionGroup name="xlwings"/>
  </functionGroups>
  <definedNames>
    <definedName name="_xlnm._FilterDatabase" localSheetId="1" hidden="1">MyHoldings!$A$1:$A$43</definedName>
    <definedName name="_xlnm._FilterDatabase" localSheetId="2" hidden="1">Optimum!$A$1:$A$41</definedName>
  </definedNames>
  <calcPr calcId="145621"/>
  <extLst>
    <ext xmlns:x14="http://schemas.microsoft.com/office/spreadsheetml/2009/9/main" uri="{8193D73E-4604-4355-AFF4-8A2333D13BE4}">
      <x14:definedNames>
        <x14:definedName name="my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_candlesti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U3" i="15" l="1"/>
  <c r="U4" i="15"/>
  <c r="U5" i="15"/>
  <c r="U6" i="15"/>
  <c r="U7" i="15"/>
  <c r="U2" i="15"/>
  <c r="B3" i="11"/>
  <c r="V7" i="15" l="1"/>
  <c r="V6" i="15"/>
  <c r="V3" i="15"/>
  <c r="V4" i="15"/>
  <c r="V5" i="15"/>
  <c r="V2" i="15"/>
</calcChain>
</file>

<file path=xl/sharedStrings.xml><?xml version="1.0" encoding="utf-8"?>
<sst xmlns="http://schemas.openxmlformats.org/spreadsheetml/2006/main" count="255" uniqueCount="166">
  <si>
    <t>CEO</t>
  </si>
  <si>
    <t>Ticker</t>
  </si>
  <si>
    <t>Name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</si>
  <si>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</si>
  <si>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</si>
  <si>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</si>
  <si>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</si>
  <si>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</si>
  <si>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</si>
  <si>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</si>
  <si>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</si>
  <si>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</si>
  <si>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</si>
  <si>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</si>
  <si>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</si>
  <si>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</si>
  <si>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</si>
  <si>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</si>
  <si>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</si>
  <si>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</si>
  <si>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Weeks =</t>
  </si>
  <si>
    <t>Ticker =</t>
  </si>
  <si>
    <t>Plot</t>
  </si>
  <si>
    <t>Complete!</t>
  </si>
  <si>
    <t xml:space="preserve">Pull Data: </t>
  </si>
  <si>
    <t>Shares</t>
  </si>
  <si>
    <t>Total Cost</t>
  </si>
  <si>
    <t>Cost Per Share</t>
  </si>
  <si>
    <t>Ret ex Div</t>
  </si>
  <si>
    <t>Expense Ratio</t>
  </si>
  <si>
    <t>Category</t>
  </si>
  <si>
    <t>Large Growth</t>
  </si>
  <si>
    <t>SCIU</t>
  </si>
  <si>
    <t>WGIFX</t>
  </si>
  <si>
    <t>ODVIX</t>
  </si>
  <si>
    <t>WFIEX</t>
  </si>
  <si>
    <t>VFIAX</t>
  </si>
  <si>
    <t>VITSX</t>
  </si>
  <si>
    <t>WFIOX</t>
  </si>
  <si>
    <t>MKDVX</t>
  </si>
  <si>
    <t>JLVIX</t>
  </si>
  <si>
    <t>TBCIX</t>
  </si>
  <si>
    <t>VEIRX</t>
  </si>
  <si>
    <t>AAGPX</t>
  </si>
  <si>
    <t>STDFX</t>
  </si>
  <si>
    <t>SGRKX</t>
  </si>
  <si>
    <t>NVDEX</t>
  </si>
  <si>
    <t>VMCIX</t>
  </si>
  <si>
    <t>NTIAX</t>
  </si>
  <si>
    <t>WFDDX</t>
  </si>
  <si>
    <t>FLPSX</t>
  </si>
  <si>
    <t>SMVTX</t>
  </si>
  <si>
    <t>VGSNX</t>
  </si>
  <si>
    <t>VGHAX</t>
  </si>
  <si>
    <t>VSCIX</t>
  </si>
  <si>
    <t>DISSX</t>
  </si>
  <si>
    <t>NBGIX</t>
  </si>
  <si>
    <t>GSSIX</t>
  </si>
  <si>
    <t>NVSCX</t>
  </si>
  <si>
    <t>DEVIX</t>
  </si>
  <si>
    <t>VIEIX</t>
  </si>
  <si>
    <t>VHGEX</t>
  </si>
  <si>
    <t>EKGYX</t>
  </si>
  <si>
    <t>LHYFX</t>
  </si>
  <si>
    <t>VBTIX</t>
  </si>
  <si>
    <t>EKHYX</t>
  </si>
  <si>
    <t>VIPIX</t>
  </si>
  <si>
    <t>DODIX</t>
  </si>
  <si>
    <t>MNTRX</t>
  </si>
  <si>
    <t>NWGXX</t>
  </si>
  <si>
    <t>VSGDX</t>
  </si>
  <si>
    <t>VFSIX</t>
  </si>
  <si>
    <t>NVMBX</t>
  </si>
  <si>
    <t>VASGX</t>
  </si>
  <si>
    <t>VWENX</t>
  </si>
  <si>
    <t>NVGBX</t>
  </si>
  <si>
    <t>VSCGX</t>
  </si>
  <si>
    <t>VSMGX</t>
  </si>
  <si>
    <t>SWYLX</t>
  </si>
  <si>
    <t>SWYEX</t>
  </si>
  <si>
    <t>SWYGX</t>
  </si>
  <si>
    <t>SWYMX</t>
  </si>
  <si>
    <t>SWYNX</t>
  </si>
  <si>
    <t>WFLGX</t>
  </si>
  <si>
    <t>WFLPX</t>
  </si>
  <si>
    <t>WFLIX</t>
  </si>
  <si>
    <t>WFLWX</t>
  </si>
  <si>
    <t>WFQDX</t>
  </si>
  <si>
    <t>WFLOX</t>
  </si>
  <si>
    <t>American Funds Capital World Gr&amp;Inc F2*</t>
  </si>
  <si>
    <t>Oppenheimer Developing Markets Inst</t>
  </si>
  <si>
    <t>WF Diversified International*</t>
  </si>
  <si>
    <t>Vanguard 500 Index - A*</t>
  </si>
  <si>
    <t>Vanguard Total Stock Market Inst*</t>
  </si>
  <si>
    <t>WF Index*</t>
  </si>
  <si>
    <t>BlackRock Equity Dividend K</t>
  </si>
  <si>
    <t>John Hancock Fdmlt Large Cap Core</t>
  </si>
  <si>
    <t>T. Rowe Price Blue Chip - I*</t>
  </si>
  <si>
    <t>Vanguard Equity-Income - A*</t>
  </si>
  <si>
    <t>American Beacon Large Cap Value</t>
  </si>
  <si>
    <t>WF Large Cap Growth*</t>
  </si>
  <si>
    <t>WF Growth *</t>
  </si>
  <si>
    <t>WF Diversified Equity*</t>
  </si>
  <si>
    <t>Vanguard Mid Cap Index Inst*</t>
  </si>
  <si>
    <t>Columbia Mid Cap Index</t>
  </si>
  <si>
    <t>WF Discovery *</t>
  </si>
  <si>
    <t>Fidelity Low-Priced Stock</t>
  </si>
  <si>
    <t>Virtus Ceredex Mid-Cap Value Equity</t>
  </si>
  <si>
    <t>Vanguard REIT Index Inst*</t>
  </si>
  <si>
    <t>Vanguard Healthcare*</t>
  </si>
  <si>
    <t>Vanguard Small Cap Index Inst*</t>
  </si>
  <si>
    <t>Dreyfus Small Cap Stock Index</t>
  </si>
  <si>
    <t>Neuberger Berman Genesis Fund - INST</t>
  </si>
  <si>
    <t>Goldman Sachs Small Cap Value</t>
  </si>
  <si>
    <t>WF Small Company Growth*</t>
  </si>
  <si>
    <t>Delaware Small Cap Value</t>
  </si>
  <si>
    <t>Vanguard Extended Market Index Inst*</t>
  </si>
  <si>
    <t>Vanguard Global Equity *</t>
  </si>
  <si>
    <t>WF Global Opportunities*</t>
  </si>
  <si>
    <t>Lord Abbett High Yield - I*</t>
  </si>
  <si>
    <t>Vanguard Total Bond Mkt Port*</t>
  </si>
  <si>
    <t>WF High Yield Bond*</t>
  </si>
  <si>
    <t>Vanguard Inflation-Protected Inst*</t>
  </si>
  <si>
    <t>Dodge &amp; Cox Income</t>
  </si>
  <si>
    <t>WF Core Bond Fund*</t>
  </si>
  <si>
    <t>WF Government Money Market</t>
  </si>
  <si>
    <t>Vanguard Short-Term Federal Adm</t>
  </si>
  <si>
    <t>Vanguard Short-Term Investment Grade Inst</t>
  </si>
  <si>
    <t>WF Moderate Balanced*</t>
  </si>
  <si>
    <t>Vanguard Life Strategy-Growth*</t>
  </si>
  <si>
    <t>Vanguard Wellington - A*</t>
  </si>
  <si>
    <t>WF Growth Balanced*</t>
  </si>
  <si>
    <t>Vanguard LifeStrategy-Conservative Growth*</t>
  </si>
  <si>
    <t>Vanguard LifeStrategy-Moderate Growth*</t>
  </si>
  <si>
    <t>Schwab Target 2020 Index Fund I</t>
  </si>
  <si>
    <t>Schwab Target 2030 Index Fund I</t>
  </si>
  <si>
    <t>Schwab Target 2040 Index Fund I</t>
  </si>
  <si>
    <t>Schwab Target 2050 Index Fund I</t>
  </si>
  <si>
    <t>Schwab Target 2060 Index Fund I</t>
  </si>
  <si>
    <t>WF Dow Jones Target 2010*</t>
  </si>
  <si>
    <t>WF Dow Jones Target 2020*</t>
  </si>
  <si>
    <t>WF Dow Jones Target 2030*</t>
  </si>
  <si>
    <t>WF Dow Jones Target 2040*</t>
  </si>
  <si>
    <t>WF Dow Jones Target 2050*</t>
  </si>
  <si>
    <t>WF Dow Jones Target Today*</t>
  </si>
  <si>
    <t>International Large</t>
  </si>
  <si>
    <t>Large Cap Blend</t>
  </si>
  <si>
    <t>Large Cap Growth Stock</t>
  </si>
  <si>
    <t>Large Cap Value</t>
  </si>
  <si>
    <t>Mid Cap Blend</t>
  </si>
  <si>
    <t>Mid Cap Growth</t>
  </si>
  <si>
    <t>Mid Cap Value</t>
  </si>
  <si>
    <t>Sector</t>
  </si>
  <si>
    <t>Small Cap Blend</t>
  </si>
  <si>
    <t>Small Cap Growth</t>
  </si>
  <si>
    <t>Small Cap Value</t>
  </si>
  <si>
    <t>SMID Blend</t>
  </si>
  <si>
    <t>World Stock - Large Active</t>
  </si>
  <si>
    <t>World Stock - Small Blend</t>
  </si>
  <si>
    <t>High Yield</t>
  </si>
  <si>
    <t>Fixed Income</t>
  </si>
  <si>
    <t>Inflation-protected Bond</t>
  </si>
  <si>
    <t>Intermediate Term Bond</t>
  </si>
  <si>
    <t>Money Market</t>
  </si>
  <si>
    <t>Short Term Bond</t>
  </si>
  <si>
    <t>Target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</si>
</sst>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7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28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0" fontId="4" fillId="3" borderId="0" xfId="2"/>
    <xf numFmtId="10" fontId="3" fillId="2" borderId="0" xfId="1" applyNumberFormat="1" applyFont="1" applyFill="1"/>
    <xf numFmtId="10" fontId="3" fillId="0" borderId="0" xfId="1" applyNumberFormat="1" applyFont="1"/>
    <xf numFmtId="10" fontId="3" fillId="0" borderId="0" xfId="1" applyNumberFormat="1" applyFont="1" applyBorder="1"/>
    <xf numFmtId="0" fontId="2" fillId="0" borderId="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wrapText="1"/>
    </xf>
    <xf numFmtId="2" fontId="0" fillId="0" borderId="0" xfId="0" applyNumberFormat="1"/>
    <xf numFmtId="10" fontId="0" fillId="0" borderId="0" xfId="1" applyNumberFormat="1" applyFont="1"/>
    <xf numFmtId="0" fontId="2" fillId="0" borderId="6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</cellXfs>
  <cellStyles count="3">
    <cellStyle name="Good" xfId="2" builtinId="26"/>
    <cellStyle name="Normal" xfId="0" builtinId="0"/>
    <cellStyle name="Percent" xfId="1" builtinId="5"/>
  </cellStyles>
  <dxfs count="65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3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47625</xdr:rowOff>
        </xdr:from>
        <xdr:to>
          <xdr:col>25</xdr:col>
          <xdr:colOff>285750</xdr:colOff>
          <xdr:row>0</xdr:row>
          <xdr:rowOff>323850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P15" sqref="P15"/>
    </sheetView>
  </sheetViews>
  <sheetFormatPr defaultRowHeight="15"/>
  <sheetData>
    <row r="1" spans="1:2">
      <c r="A1" t="s">
        <v>21</v>
      </c>
      <c r="B1" s="16" t="s">
        <v>32</v>
      </c>
    </row>
    <row r="2" spans="1:2">
      <c r="A2" t="s">
        <v>20</v>
      </c>
      <c r="B2" s="13">
        <v>520</v>
      </c>
    </row>
    <row r="3" spans="1:2">
      <c r="A3" t="s">
        <v>22</v>
      </c>
      <c r="B3" t="str">
        <f>myplot_candlestick(B1, B2)</f>
        <v>Bad DLL calling convention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9"/>
  <sheetViews>
    <sheetView zoomScale="80" zoomScaleNormal="80" workbookViewId="0">
      <pane ySplit="1" topLeftCell="A2" activePane="bottomLeft" state="frozen"/>
      <selection activeCell="E2" sqref="E2:E46"/>
      <selection pane="bottomLeft" activeCell="B50" sqref="B50"/>
    </sheetView>
  </sheetViews>
  <sheetFormatPr defaultRowHeight="15"/>
  <cols>
    <col min="1" max="1" width="10.28515625" bestFit="1" customWidth="1"/>
    <col min="2" max="2" width="37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  <col min="22" max="22" width="11.28515625" bestFit="1" customWidth="1"/>
    <col min="24" max="24" width="11.140625" customWidth="1"/>
  </cols>
  <sheetData>
    <row r="1" spans="1:25" ht="30.75" thickBot="1">
      <c r="A1" s="3" t="s">
        <v>1</v>
      </c>
      <c r="B1" s="4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12</v>
      </c>
      <c r="H1" s="7" t="s">
        <v>13</v>
      </c>
      <c r="I1" s="3" t="s">
        <v>7</v>
      </c>
      <c r="J1" s="3" t="s">
        <v>14</v>
      </c>
      <c r="K1" s="3" t="s">
        <v>8</v>
      </c>
      <c r="L1" s="3" t="s">
        <v>15</v>
      </c>
      <c r="M1" s="3" t="s">
        <v>9</v>
      </c>
      <c r="N1" s="3" t="s">
        <v>16</v>
      </c>
      <c r="O1" s="3" t="s">
        <v>10</v>
      </c>
      <c r="P1" s="3" t="s">
        <v>17</v>
      </c>
      <c r="Q1" s="3" t="s">
        <v>11</v>
      </c>
      <c r="R1" s="3" t="s">
        <v>18</v>
      </c>
      <c r="S1" s="20" t="s">
        <v>25</v>
      </c>
      <c r="T1" s="21" t="s">
        <v>26</v>
      </c>
      <c r="U1" s="22" t="s">
        <v>27</v>
      </c>
      <c r="V1" s="22" t="s">
        <v>28</v>
      </c>
    </row>
    <row r="2" spans="1:25">
      <c r="A2" s="1"/>
      <c r="B2" s="1"/>
      <c r="C2" s="5"/>
      <c r="D2" s="5"/>
      <c r="E2" s="17"/>
      <c r="F2" s="5"/>
      <c r="G2" s="5"/>
      <c r="H2" s="10"/>
      <c r="I2" s="5"/>
      <c r="J2" s="10"/>
      <c r="K2" s="5"/>
      <c r="L2" s="10"/>
      <c r="M2" s="5"/>
      <c r="N2" s="10"/>
      <c r="O2" s="5"/>
      <c r="P2" s="10"/>
      <c r="Q2" s="5"/>
      <c r="R2" s="10"/>
      <c r="T2" s="23"/>
      <c r="U2" s="23" t="e">
        <f>T2/S2</f>
        <v>#DIV/0!</v>
      </c>
      <c r="V2" s="24" t="e">
        <f>C2/U2-1</f>
        <v>#DIV/0!</v>
      </c>
    </row>
    <row r="3" spans="1:25">
      <c r="A3" s="2"/>
      <c r="B3" s="2"/>
      <c r="C3" s="6"/>
      <c r="D3" s="6"/>
      <c r="E3" s="18"/>
      <c r="F3" s="6"/>
      <c r="G3" s="6"/>
      <c r="H3" s="11"/>
      <c r="I3" s="6"/>
      <c r="J3" s="11"/>
      <c r="K3" s="6"/>
      <c r="L3" s="11"/>
      <c r="M3" s="6"/>
      <c r="N3" s="11"/>
      <c r="O3" s="6"/>
      <c r="P3" s="11"/>
      <c r="Q3" s="6"/>
      <c r="R3" s="11"/>
      <c r="T3" s="23"/>
      <c r="U3" s="23" t="e">
        <f t="shared" ref="U3:U7" si="0">T3/S3</f>
        <v>#DIV/0!</v>
      </c>
      <c r="V3" s="24" t="e">
        <f t="shared" ref="V3:V5" si="1">C3/U3-1</f>
        <v>#DIV/0!</v>
      </c>
      <c r="X3" t="s">
        <v>24</v>
      </c>
      <c r="Y3" t="s">
        <v>0</v>
      </c>
    </row>
    <row r="4" spans="1:25">
      <c r="A4" s="1"/>
      <c r="B4" s="1"/>
      <c r="C4" s="5"/>
      <c r="D4" s="5"/>
      <c r="E4" s="17"/>
      <c r="F4" s="5"/>
      <c r="G4" s="5"/>
      <c r="H4" s="10"/>
      <c r="I4" s="5"/>
      <c r="J4" s="10"/>
      <c r="K4" s="5"/>
      <c r="L4" s="10"/>
      <c r="M4" s="5"/>
      <c r="N4" s="10"/>
      <c r="O4" s="5"/>
      <c r="P4" s="10"/>
      <c r="Q4" s="5"/>
      <c r="R4" s="10"/>
      <c r="T4" s="23"/>
      <c r="U4" s="23" t="e">
        <f t="shared" si="0"/>
        <v>#DIV/0!</v>
      </c>
      <c r="V4" s="24" t="e">
        <f t="shared" si="1"/>
        <v>#DIV/0!</v>
      </c>
      <c r="X4" t="s">
        <v>23</v>
      </c>
    </row>
    <row r="5" spans="1:25">
      <c r="A5" s="2"/>
      <c r="B5" s="2"/>
      <c r="C5" s="6"/>
      <c r="D5" s="6"/>
      <c r="E5" s="18"/>
      <c r="F5" s="6"/>
      <c r="G5" s="6"/>
      <c r="H5" s="11"/>
      <c r="I5" s="6"/>
      <c r="J5" s="11"/>
      <c r="K5" s="6"/>
      <c r="L5" s="11"/>
      <c r="M5" s="6"/>
      <c r="N5" s="11"/>
      <c r="O5" s="6"/>
      <c r="P5" s="11"/>
      <c r="Q5" s="6"/>
      <c r="R5" s="11"/>
      <c r="T5" s="23"/>
      <c r="U5" s="23" t="e">
        <f t="shared" si="0"/>
        <v>#DIV/0!</v>
      </c>
      <c r="V5" s="24" t="e">
        <f t="shared" si="1"/>
        <v>#DIV/0!</v>
      </c>
    </row>
    <row r="6" spans="1:25">
      <c r="A6" s="1"/>
      <c r="B6" s="1"/>
      <c r="C6" s="5"/>
      <c r="D6" s="5"/>
      <c r="E6" s="17"/>
      <c r="F6" s="5"/>
      <c r="G6" s="5"/>
      <c r="H6" s="10"/>
      <c r="I6" s="5"/>
      <c r="J6" s="10"/>
      <c r="K6" s="5"/>
      <c r="L6" s="10"/>
      <c r="M6" s="5"/>
      <c r="N6" s="10"/>
      <c r="O6" s="5"/>
      <c r="P6" s="10"/>
      <c r="Q6" s="5"/>
      <c r="R6" s="10"/>
      <c r="T6" s="23"/>
      <c r="U6" s="23" t="e">
        <f t="shared" si="0"/>
        <v>#DIV/0!</v>
      </c>
      <c r="V6" s="24" t="e">
        <f t="shared" ref="V6" si="2">C6/U6-1</f>
        <v>#DIV/0!</v>
      </c>
    </row>
    <row r="7" spans="1:25">
      <c r="A7" s="2"/>
      <c r="B7" s="2"/>
      <c r="C7" s="6"/>
      <c r="D7" s="6"/>
      <c r="E7" s="18"/>
      <c r="F7" s="6"/>
      <c r="G7" s="6"/>
      <c r="H7" s="11"/>
      <c r="I7" s="6"/>
      <c r="J7" s="11"/>
      <c r="K7" s="6"/>
      <c r="L7" s="11"/>
      <c r="M7" s="6"/>
      <c r="N7" s="11"/>
      <c r="O7" s="6"/>
      <c r="P7" s="11"/>
      <c r="Q7" s="6"/>
      <c r="R7" s="11"/>
      <c r="T7" s="23"/>
      <c r="U7" s="23" t="e">
        <f t="shared" si="0"/>
        <v>#DIV/0!</v>
      </c>
      <c r="V7" s="24" t="e">
        <f t="shared" ref="V7" si="3">C7/U7-1</f>
        <v>#DIV/0!</v>
      </c>
    </row>
    <row r="8" spans="1:25">
      <c r="A8" s="1"/>
      <c r="B8" s="1"/>
      <c r="C8" s="5"/>
      <c r="D8" s="5"/>
      <c r="E8" s="17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</row>
    <row r="9" spans="1:25">
      <c r="A9" s="2"/>
      <c r="B9" s="2"/>
      <c r="C9" s="6"/>
      <c r="D9" s="6"/>
      <c r="E9" s="18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</row>
    <row r="10" spans="1:25">
      <c r="A10" s="1"/>
      <c r="B10" s="1"/>
      <c r="C10" s="5"/>
      <c r="D10" s="5"/>
      <c r="E10" s="17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</row>
    <row r="11" spans="1:25">
      <c r="A11" s="2"/>
      <c r="B11" s="2"/>
      <c r="C11" s="6"/>
      <c r="D11" s="6"/>
      <c r="E11" s="18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</row>
    <row r="12" spans="1:25">
      <c r="A12" s="1"/>
      <c r="B12" s="1"/>
      <c r="C12" s="5"/>
      <c r="D12" s="5"/>
      <c r="E12" s="17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</row>
    <row r="13" spans="1:25">
      <c r="A13" s="2"/>
      <c r="B13" s="2"/>
      <c r="C13" s="6"/>
      <c r="D13" s="6"/>
      <c r="E13" s="18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</row>
    <row r="14" spans="1:25">
      <c r="A14" s="1"/>
      <c r="B14" s="1"/>
      <c r="C14" s="5"/>
      <c r="D14" s="5"/>
      <c r="E14" s="17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</row>
    <row r="15" spans="1:25">
      <c r="A15" s="2"/>
      <c r="B15" s="2"/>
      <c r="C15" s="6"/>
      <c r="D15" s="6"/>
      <c r="E15" s="18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</row>
    <row r="16" spans="1:25">
      <c r="A16" s="1"/>
      <c r="B16" s="1"/>
      <c r="C16" s="5"/>
      <c r="D16" s="5"/>
      <c r="E16" s="17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</row>
    <row r="17" spans="1:18">
      <c r="A17" s="2"/>
      <c r="B17" s="2"/>
      <c r="C17" s="6"/>
      <c r="D17" s="6"/>
      <c r="E17" s="18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</row>
    <row r="18" spans="1:18">
      <c r="A18" s="1"/>
      <c r="B18" s="1"/>
      <c r="C18" s="5"/>
      <c r="D18" s="5"/>
      <c r="E18" s="17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</row>
    <row r="19" spans="1:18">
      <c r="A19" s="2"/>
      <c r="B19" s="2"/>
      <c r="C19" s="6"/>
      <c r="D19" s="6"/>
      <c r="E19" s="18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</row>
    <row r="20" spans="1:18">
      <c r="A20" s="1"/>
      <c r="B20" s="1"/>
      <c r="C20" s="5"/>
      <c r="D20" s="5"/>
      <c r="E20" s="17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</row>
    <row r="21" spans="1:18">
      <c r="A21" s="2"/>
      <c r="B21" s="2"/>
      <c r="C21" s="6"/>
      <c r="D21" s="6"/>
      <c r="E21" s="18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</row>
    <row r="22" spans="1:18">
      <c r="A22" s="1"/>
      <c r="B22" s="1"/>
      <c r="C22" s="5"/>
      <c r="D22" s="5"/>
      <c r="E22" s="17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</row>
    <row r="23" spans="1:18">
      <c r="A23" s="2"/>
      <c r="B23" s="2"/>
      <c r="C23" s="6"/>
      <c r="D23" s="6"/>
      <c r="E23" s="18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</row>
    <row r="24" spans="1:18">
      <c r="A24" s="1"/>
      <c r="B24" s="1"/>
      <c r="C24" s="5"/>
      <c r="D24" s="5"/>
      <c r="E24" s="17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</row>
    <row r="25" spans="1:18">
      <c r="A25" s="2"/>
      <c r="B25" s="2"/>
      <c r="C25" s="6"/>
      <c r="D25" s="6"/>
      <c r="E25" s="18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</row>
    <row r="26" spans="1:18">
      <c r="A26" s="1"/>
      <c r="B26" s="1"/>
      <c r="C26" s="5"/>
      <c r="D26" s="5"/>
      <c r="E26" s="17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</row>
    <row r="27" spans="1:18">
      <c r="A27" s="2"/>
      <c r="B27" s="2"/>
      <c r="C27" s="6"/>
      <c r="D27" s="6"/>
      <c r="E27" s="18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</row>
    <row r="28" spans="1:18">
      <c r="A28" s="1"/>
      <c r="B28" s="1"/>
      <c r="C28" s="5"/>
      <c r="D28" s="5"/>
      <c r="E28" s="17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</row>
    <row r="29" spans="1:18">
      <c r="A29" s="2"/>
      <c r="B29" s="2"/>
      <c r="C29" s="6"/>
      <c r="D29" s="6"/>
      <c r="E29" s="18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</row>
    <row r="30" spans="1:18">
      <c r="A30" s="1"/>
      <c r="B30" s="1"/>
      <c r="C30" s="5"/>
      <c r="D30" s="5"/>
      <c r="E30" s="17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</row>
    <row r="31" spans="1:18">
      <c r="A31" s="2"/>
      <c r="B31" s="2"/>
      <c r="C31" s="6"/>
      <c r="D31" s="6"/>
      <c r="E31" s="18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</row>
    <row r="32" spans="1:18">
      <c r="A32" s="1"/>
      <c r="B32" s="1"/>
      <c r="C32" s="5"/>
      <c r="D32" s="5"/>
      <c r="E32" s="17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</row>
    <row r="33" spans="1:18">
      <c r="A33" s="2"/>
      <c r="B33" s="2"/>
      <c r="C33" s="6"/>
      <c r="D33" s="6"/>
      <c r="E33" s="18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</row>
    <row r="34" spans="1:18">
      <c r="A34" s="1"/>
      <c r="B34" s="1"/>
      <c r="C34" s="5"/>
      <c r="D34" s="5"/>
      <c r="E34" s="17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</row>
    <row r="35" spans="1:18">
      <c r="A35" s="2"/>
      <c r="B35" s="2"/>
      <c r="C35" s="6"/>
      <c r="D35" s="6"/>
      <c r="E35" s="18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</row>
    <row r="36" spans="1:18">
      <c r="A36" s="1"/>
      <c r="B36" s="1"/>
      <c r="C36" s="5"/>
      <c r="D36" s="5"/>
      <c r="E36" s="17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</row>
    <row r="37" spans="1:18">
      <c r="A37" s="2"/>
      <c r="B37" s="2"/>
      <c r="C37" s="6"/>
      <c r="D37" s="6"/>
      <c r="E37" s="18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</row>
    <row r="38" spans="1:18">
      <c r="A38" s="1"/>
      <c r="B38" s="1"/>
      <c r="C38" s="5"/>
      <c r="D38" s="5"/>
      <c r="E38" s="17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</row>
    <row r="39" spans="1:18">
      <c r="A39" s="2"/>
      <c r="B39" s="2"/>
      <c r="C39" s="6"/>
      <c r="D39" s="6"/>
      <c r="E39" s="18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</row>
    <row r="40" spans="1:18">
      <c r="A40" s="1"/>
      <c r="B40" s="1"/>
      <c r="C40" s="5"/>
      <c r="D40" s="5"/>
      <c r="E40" s="17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</row>
    <row r="41" spans="1:18">
      <c r="A41" s="2"/>
      <c r="B41" s="2"/>
      <c r="C41" s="6"/>
      <c r="D41" s="6"/>
      <c r="E41" s="18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</row>
    <row r="42" spans="1:18">
      <c r="A42" s="1"/>
      <c r="B42" s="1"/>
      <c r="C42" s="5"/>
      <c r="D42" s="5"/>
      <c r="E42" s="17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</row>
    <row r="43" spans="1:18">
      <c r="A43" s="8"/>
      <c r="B43" s="8"/>
      <c r="C43" s="9"/>
      <c r="D43" s="9"/>
      <c r="E43" s="19"/>
      <c r="F43" s="9"/>
      <c r="G43" s="9"/>
      <c r="H43" s="12"/>
      <c r="I43" s="9"/>
      <c r="J43" s="12"/>
      <c r="K43" s="9"/>
      <c r="L43" s="12"/>
      <c r="M43" s="9"/>
      <c r="N43" s="12"/>
      <c r="O43" s="9"/>
      <c r="P43" s="12"/>
      <c r="Q43" s="9"/>
      <c r="R43" s="12"/>
    </row>
    <row r="44" spans="1:18">
      <c r="A44" s="1"/>
      <c r="B44" s="1"/>
      <c r="C44" s="5"/>
      <c r="D44" s="5"/>
      <c r="E44" s="17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</row>
    <row r="45" spans="1:18">
      <c r="A45" s="8"/>
      <c r="B45" s="8"/>
      <c r="C45" s="9"/>
      <c r="D45" s="9"/>
      <c r="E45" s="19"/>
      <c r="F45" s="9"/>
      <c r="G45" s="9"/>
      <c r="H45" s="12"/>
      <c r="I45" s="9"/>
      <c r="J45" s="12"/>
      <c r="K45" s="9"/>
      <c r="L45" s="12"/>
      <c r="M45" s="9"/>
      <c r="N45" s="12"/>
      <c r="O45" s="9"/>
      <c r="P45" s="12"/>
      <c r="Q45" s="9"/>
      <c r="R45" s="12"/>
    </row>
    <row r="46" spans="1:18">
      <c r="A46" s="1"/>
      <c r="B46" s="1"/>
      <c r="C46" s="5"/>
      <c r="D46" s="5"/>
      <c r="E46" s="17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</row>
    <row r="47" spans="1:18">
      <c r="A47" s="2"/>
      <c r="B47" s="2"/>
      <c r="C47" s="6"/>
      <c r="D47" s="6"/>
      <c r="E47" s="18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</row>
    <row r="48" spans="1:18">
      <c r="A48" s="1"/>
      <c r="B48" s="1"/>
      <c r="C48" s="5"/>
      <c r="D48" s="5"/>
      <c r="E48" s="17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</row>
    <row r="49" spans="1:18">
      <c r="A49" s="2"/>
      <c r="B49" s="2"/>
      <c r="C49" s="6"/>
      <c r="D49" s="6"/>
      <c r="E49" s="18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</row>
    <row r="50" spans="1:18">
      <c r="A50" s="1"/>
      <c r="B50" s="1"/>
      <c r="C50" s="5"/>
      <c r="D50" s="5"/>
      <c r="E50" s="17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</row>
    <row r="51" spans="1:18">
      <c r="A51" s="2"/>
      <c r="B51" s="2"/>
      <c r="C51" s="6"/>
      <c r="D51" s="6"/>
      <c r="E51" s="18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</row>
    <row r="52" spans="1:18">
      <c r="A52" s="1"/>
      <c r="B52" s="1"/>
      <c r="C52" s="5"/>
      <c r="D52" s="5"/>
      <c r="E52" s="17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</row>
    <row r="53" spans="1:18">
      <c r="A53" s="8"/>
      <c r="B53" s="8"/>
      <c r="C53" s="9"/>
      <c r="D53" s="9"/>
      <c r="E53" s="19"/>
      <c r="F53" s="9"/>
      <c r="G53" s="9"/>
      <c r="H53" s="12"/>
      <c r="I53" s="9"/>
      <c r="J53" s="12"/>
      <c r="K53" s="9"/>
      <c r="L53" s="12"/>
      <c r="M53" s="9"/>
      <c r="N53" s="12"/>
      <c r="O53" s="9"/>
      <c r="P53" s="12"/>
      <c r="Q53" s="9"/>
      <c r="R53" s="12"/>
    </row>
    <row r="54" spans="1:18">
      <c r="A54" s="1"/>
      <c r="B54" s="1"/>
      <c r="C54" s="5"/>
      <c r="D54" s="5"/>
      <c r="E54" s="17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</row>
    <row r="55" spans="1:18">
      <c r="A55" s="8"/>
      <c r="B55" s="8"/>
      <c r="C55" s="9"/>
      <c r="D55" s="9"/>
      <c r="E55" s="19"/>
      <c r="F55" s="9"/>
      <c r="G55" s="9"/>
      <c r="H55" s="12"/>
      <c r="I55" s="9"/>
      <c r="J55" s="12"/>
      <c r="K55" s="9"/>
      <c r="L55" s="12"/>
      <c r="M55" s="9"/>
      <c r="N55" s="12"/>
      <c r="O55" s="9"/>
      <c r="P55" s="12"/>
      <c r="Q55" s="9"/>
      <c r="R55" s="12"/>
    </row>
    <row r="56" spans="1:18">
      <c r="A56" s="1"/>
      <c r="B56" s="1"/>
      <c r="C56" s="5"/>
      <c r="D56" s="5"/>
      <c r="E56" s="17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</row>
    <row r="57" spans="1:18">
      <c r="A57" s="2"/>
      <c r="B57" s="2"/>
      <c r="C57" s="6"/>
      <c r="D57" s="6"/>
      <c r="E57" s="18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</row>
    <row r="58" spans="1:18">
      <c r="A58" s="1"/>
      <c r="B58" s="1"/>
      <c r="C58" s="5"/>
      <c r="D58" s="5"/>
      <c r="E58" s="17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</row>
    <row r="59" spans="1:18">
      <c r="A59" s="2"/>
      <c r="B59" s="2"/>
      <c r="C59" s="6"/>
      <c r="D59" s="6"/>
      <c r="E59" s="18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</row>
  </sheetData>
  <conditionalFormatting sqref="H2:H43">
    <cfRule type="cellIs" dxfId="64" priority="57" operator="between">
      <formula>0</formula>
      <formula>0.05</formula>
    </cfRule>
    <cfRule type="cellIs" dxfId="63" priority="60" operator="between">
      <formula>-0.05</formula>
      <formula>0</formula>
    </cfRule>
  </conditionalFormatting>
  <conditionalFormatting sqref="J2:J43 L2:L43 N2:N43">
    <cfRule type="cellIs" dxfId="62" priority="59" operator="lessThan">
      <formula>-0.02</formula>
    </cfRule>
  </conditionalFormatting>
  <conditionalFormatting sqref="R2:R43">
    <cfRule type="cellIs" dxfId="61" priority="58" operator="between">
      <formula>-0.05</formula>
      <formula>0.05</formula>
    </cfRule>
  </conditionalFormatting>
  <conditionalFormatting sqref="P2:P43">
    <cfRule type="cellIs" dxfId="60" priority="56" operator="between">
      <formula>-0.05</formula>
      <formula>0.05</formula>
    </cfRule>
  </conditionalFormatting>
  <conditionalFormatting sqref="H44">
    <cfRule type="cellIs" dxfId="59" priority="52" operator="between">
      <formula>0</formula>
      <formula>0.05</formula>
    </cfRule>
    <cfRule type="cellIs" dxfId="58" priority="55" operator="between">
      <formula>-0.05</formula>
      <formula>0</formula>
    </cfRule>
  </conditionalFormatting>
  <conditionalFormatting sqref="J44 L44 N44">
    <cfRule type="cellIs" dxfId="57" priority="54" operator="lessThan">
      <formula>-0.02</formula>
    </cfRule>
  </conditionalFormatting>
  <conditionalFormatting sqref="R44">
    <cfRule type="cellIs" dxfId="56" priority="53" operator="between">
      <formula>-0.05</formula>
      <formula>0.05</formula>
    </cfRule>
  </conditionalFormatting>
  <conditionalFormatting sqref="P44">
    <cfRule type="cellIs" dxfId="55" priority="51" operator="between">
      <formula>-0.05</formula>
      <formula>0.05</formula>
    </cfRule>
  </conditionalFormatting>
  <conditionalFormatting sqref="H45">
    <cfRule type="cellIs" dxfId="54" priority="47" operator="between">
      <formula>0</formula>
      <formula>0.05</formula>
    </cfRule>
    <cfRule type="cellIs" dxfId="53" priority="50" operator="between">
      <formula>-0.05</formula>
      <formula>0</formula>
    </cfRule>
  </conditionalFormatting>
  <conditionalFormatting sqref="J45 L45 N45">
    <cfRule type="cellIs" dxfId="52" priority="49" operator="lessThan">
      <formula>-0.02</formula>
    </cfRule>
  </conditionalFormatting>
  <conditionalFormatting sqref="R45">
    <cfRule type="cellIs" dxfId="51" priority="48" operator="between">
      <formula>-0.05</formula>
      <formula>0.05</formula>
    </cfRule>
  </conditionalFormatting>
  <conditionalFormatting sqref="P45">
    <cfRule type="cellIs" dxfId="50" priority="46" operator="between">
      <formula>-0.05</formula>
      <formula>0.05</formula>
    </cfRule>
  </conditionalFormatting>
  <conditionalFormatting sqref="H46">
    <cfRule type="cellIs" dxfId="49" priority="42" operator="between">
      <formula>0</formula>
      <formula>0.05</formula>
    </cfRule>
    <cfRule type="cellIs" dxfId="48" priority="45" operator="between">
      <formula>-0.05</formula>
      <formula>0</formula>
    </cfRule>
  </conditionalFormatting>
  <conditionalFormatting sqref="J46 L46 N46">
    <cfRule type="cellIs" dxfId="47" priority="44" operator="lessThan">
      <formula>-0.02</formula>
    </cfRule>
  </conditionalFormatting>
  <conditionalFormatting sqref="R46">
    <cfRule type="cellIs" dxfId="46" priority="43" operator="between">
      <formula>-0.05</formula>
      <formula>0.05</formula>
    </cfRule>
  </conditionalFormatting>
  <conditionalFormatting sqref="P46">
    <cfRule type="cellIs" dxfId="45" priority="41" operator="between">
      <formula>-0.05</formula>
      <formula>0.05</formula>
    </cfRule>
  </conditionalFormatting>
  <conditionalFormatting sqref="H47">
    <cfRule type="cellIs" dxfId="44" priority="37" operator="between">
      <formula>0</formula>
      <formula>0.05</formula>
    </cfRule>
    <cfRule type="cellIs" dxfId="43" priority="40" operator="between">
      <formula>-0.05</formula>
      <formula>0</formula>
    </cfRule>
  </conditionalFormatting>
  <conditionalFormatting sqref="J47 L47 N47">
    <cfRule type="cellIs" dxfId="42" priority="39" operator="lessThan">
      <formula>-0.02</formula>
    </cfRule>
  </conditionalFormatting>
  <conditionalFormatting sqref="R47">
    <cfRule type="cellIs" dxfId="41" priority="38" operator="between">
      <formula>-0.05</formula>
      <formula>0.05</formula>
    </cfRule>
  </conditionalFormatting>
  <conditionalFormatting sqref="P47">
    <cfRule type="cellIs" dxfId="40" priority="36" operator="between">
      <formula>-0.05</formula>
      <formula>0.05</formula>
    </cfRule>
  </conditionalFormatting>
  <conditionalFormatting sqref="H48:H53">
    <cfRule type="cellIs" dxfId="39" priority="32" operator="between">
      <formula>0</formula>
      <formula>0.05</formula>
    </cfRule>
    <cfRule type="cellIs" dxfId="38" priority="35" operator="between">
      <formula>-0.05</formula>
      <formula>0</formula>
    </cfRule>
  </conditionalFormatting>
  <conditionalFormatting sqref="J48:J53 L48:L53 N48:N53">
    <cfRule type="cellIs" dxfId="37" priority="34" operator="lessThan">
      <formula>-0.02</formula>
    </cfRule>
  </conditionalFormatting>
  <conditionalFormatting sqref="R48:R53">
    <cfRule type="cellIs" dxfId="36" priority="33" operator="between">
      <formula>-0.05</formula>
      <formula>0.05</formula>
    </cfRule>
  </conditionalFormatting>
  <conditionalFormatting sqref="P48:P53">
    <cfRule type="cellIs" dxfId="35" priority="31" operator="between">
      <formula>-0.05</formula>
      <formula>0.05</formula>
    </cfRule>
  </conditionalFormatting>
  <conditionalFormatting sqref="H54">
    <cfRule type="cellIs" dxfId="34" priority="27" operator="between">
      <formula>0</formula>
      <formula>0.05</formula>
    </cfRule>
    <cfRule type="cellIs" dxfId="33" priority="30" operator="between">
      <formula>-0.05</formula>
      <formula>0</formula>
    </cfRule>
  </conditionalFormatting>
  <conditionalFormatting sqref="J54 L54 N54">
    <cfRule type="cellIs" dxfId="32" priority="29" operator="lessThan">
      <formula>-0.02</formula>
    </cfRule>
  </conditionalFormatting>
  <conditionalFormatting sqref="R54">
    <cfRule type="cellIs" dxfId="31" priority="28" operator="between">
      <formula>-0.05</formula>
      <formula>0.05</formula>
    </cfRule>
  </conditionalFormatting>
  <conditionalFormatting sqref="P54">
    <cfRule type="cellIs" dxfId="30" priority="26" operator="between">
      <formula>-0.05</formula>
      <formula>0.05</formula>
    </cfRule>
  </conditionalFormatting>
  <conditionalFormatting sqref="H55">
    <cfRule type="cellIs" dxfId="29" priority="22" operator="between">
      <formula>0</formula>
      <formula>0.05</formula>
    </cfRule>
    <cfRule type="cellIs" dxfId="28" priority="25" operator="between">
      <formula>-0.05</formula>
      <formula>0</formula>
    </cfRule>
  </conditionalFormatting>
  <conditionalFormatting sqref="J55 L55 N55">
    <cfRule type="cellIs" dxfId="27" priority="24" operator="lessThan">
      <formula>-0.02</formula>
    </cfRule>
  </conditionalFormatting>
  <conditionalFormatting sqref="R55">
    <cfRule type="cellIs" dxfId="26" priority="23" operator="between">
      <formula>-0.05</formula>
      <formula>0.05</formula>
    </cfRule>
  </conditionalFormatting>
  <conditionalFormatting sqref="P55">
    <cfRule type="cellIs" dxfId="25" priority="21" operator="between">
      <formula>-0.05</formula>
      <formula>0.05</formula>
    </cfRule>
  </conditionalFormatting>
  <conditionalFormatting sqref="H56">
    <cfRule type="cellIs" dxfId="24" priority="17" operator="between">
      <formula>0</formula>
      <formula>0.05</formula>
    </cfRule>
    <cfRule type="cellIs" dxfId="23" priority="20" operator="between">
      <formula>-0.05</formula>
      <formula>0</formula>
    </cfRule>
  </conditionalFormatting>
  <conditionalFormatting sqref="J56 L56 N56">
    <cfRule type="cellIs" dxfId="22" priority="19" operator="lessThan">
      <formula>-0.02</formula>
    </cfRule>
  </conditionalFormatting>
  <conditionalFormatting sqref="R56">
    <cfRule type="cellIs" dxfId="21" priority="18" operator="between">
      <formula>-0.05</formula>
      <formula>0.05</formula>
    </cfRule>
  </conditionalFormatting>
  <conditionalFormatting sqref="P56">
    <cfRule type="cellIs" dxfId="20" priority="16" operator="between">
      <formula>-0.05</formula>
      <formula>0.05</formula>
    </cfRule>
  </conditionalFormatting>
  <conditionalFormatting sqref="H57">
    <cfRule type="cellIs" dxfId="19" priority="12" operator="between">
      <formula>0</formula>
      <formula>0.05</formula>
    </cfRule>
    <cfRule type="cellIs" dxfId="18" priority="15" operator="between">
      <formula>-0.05</formula>
      <formula>0</formula>
    </cfRule>
  </conditionalFormatting>
  <conditionalFormatting sqref="J57 L57 N57">
    <cfRule type="cellIs" dxfId="17" priority="14" operator="lessThan">
      <formula>-0.02</formula>
    </cfRule>
  </conditionalFormatting>
  <conditionalFormatting sqref="R57">
    <cfRule type="cellIs" dxfId="16" priority="13" operator="between">
      <formula>-0.05</formula>
      <formula>0.05</formula>
    </cfRule>
  </conditionalFormatting>
  <conditionalFormatting sqref="P57">
    <cfRule type="cellIs" dxfId="15" priority="11" operator="between">
      <formula>-0.05</formula>
      <formula>0.05</formula>
    </cfRule>
  </conditionalFormatting>
  <conditionalFormatting sqref="H58">
    <cfRule type="cellIs" dxfId="14" priority="7" operator="between">
      <formula>0</formula>
      <formula>0.05</formula>
    </cfRule>
    <cfRule type="cellIs" dxfId="13" priority="10" operator="between">
      <formula>-0.05</formula>
      <formula>0</formula>
    </cfRule>
  </conditionalFormatting>
  <conditionalFormatting sqref="J58 L58 N58">
    <cfRule type="cellIs" dxfId="12" priority="9" operator="lessThan">
      <formula>-0.02</formula>
    </cfRule>
  </conditionalFormatting>
  <conditionalFormatting sqref="R58">
    <cfRule type="cellIs" dxfId="11" priority="8" operator="between">
      <formula>-0.05</formula>
      <formula>0.05</formula>
    </cfRule>
  </conditionalFormatting>
  <conditionalFormatting sqref="P58">
    <cfRule type="cellIs" dxfId="10" priority="6" operator="between">
      <formula>-0.05</formula>
      <formula>0.05</formula>
    </cfRule>
  </conditionalFormatting>
  <conditionalFormatting sqref="H59">
    <cfRule type="cellIs" dxfId="9" priority="2" operator="between">
      <formula>0</formula>
      <formula>0.05</formula>
    </cfRule>
    <cfRule type="cellIs" dxfId="8" priority="5" operator="between">
      <formula>-0.05</formula>
      <formula>0</formula>
    </cfRule>
  </conditionalFormatting>
  <conditionalFormatting sqref="J59 L59 N59">
    <cfRule type="cellIs" dxfId="7" priority="4" operator="lessThan">
      <formula>-0.02</formula>
    </cfRule>
  </conditionalFormatting>
  <conditionalFormatting sqref="R59">
    <cfRule type="cellIs" dxfId="6" priority="3" operator="between">
      <formula>-0.05</formula>
      <formula>0.05</formula>
    </cfRule>
  </conditionalFormatting>
  <conditionalFormatting sqref="P59">
    <cfRule type="cellIs" dxfId="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19050</xdr:colOff>
                    <xdr:row>0</xdr:row>
                    <xdr:rowOff>47625</xdr:rowOff>
                  </from>
                  <to>
                    <xdr:col>25</xdr:col>
                    <xdr:colOff>285750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1:Y60"/>
  <sheetViews>
    <sheetView tabSelected="1" zoomScale="80" zoomScaleNormal="80" workbookViewId="0">
      <pane ySplit="1" topLeftCell="A8" activePane="bottomLeft" state="frozen"/>
      <selection activeCell="B41" sqref="B41"/>
      <selection pane="bottomLeft" activeCell="B22" sqref="B2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1</v>
      </c>
      <c r="B1" s="4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25" t="s">
        <v>12</v>
      </c>
      <c r="H1" s="7" t="s">
        <v>13</v>
      </c>
      <c r="I1" s="3" t="s">
        <v>7</v>
      </c>
      <c r="J1" s="3" t="s">
        <v>14</v>
      </c>
      <c r="K1" s="3" t="s">
        <v>8</v>
      </c>
      <c r="L1" s="3" t="s">
        <v>15</v>
      </c>
      <c r="M1" s="3" t="s">
        <v>9</v>
      </c>
      <c r="N1" s="3" t="s">
        <v>16</v>
      </c>
      <c r="O1" s="3" t="s">
        <v>10</v>
      </c>
      <c r="P1" s="3" t="s">
        <v>17</v>
      </c>
      <c r="Q1" s="3" t="s">
        <v>11</v>
      </c>
      <c r="R1" s="3" t="s">
        <v>18</v>
      </c>
      <c r="S1" s="26" t="s">
        <v>29</v>
      </c>
      <c r="T1" s="27" t="s">
        <v>30</v>
      </c>
    </row>
    <row r="2" spans="1:25">
      <c r="A2" s="1" t="s">
        <v>33</v>
      </c>
      <c r="B2" s="1" t="s">
        <v>89</v>
      </c>
      <c r="C2" s="5">
        <v>50.85</v>
      </c>
      <c r="D2" s="5">
        <v>2.0000000020559128E-6</v>
      </c>
      <c r="E2" s="14">
        <v>5.9999999999999995E-4</v>
      </c>
      <c r="F2" s="5">
        <v>50.849997999999999</v>
      </c>
      <c r="G2" s="5">
        <v>40</v>
      </c>
      <c r="H2" s="10">
        <v>0.27124999999999999</v>
      </c>
      <c r="I2" s="5">
        <v>49.290001000000004</v>
      </c>
      <c r="J2" s="10">
        <v>3.1649400859212751E-2</v>
      </c>
      <c r="K2" s="5">
        <v>50.158499999999997</v>
      </c>
      <c r="L2" s="10">
        <v>1.378629743712434E-2</v>
      </c>
      <c r="M2" s="5">
        <v>48.942416608333325</v>
      </c>
      <c r="N2" s="10">
        <v>3.8976076864620568E-2</v>
      </c>
      <c r="O2" s="5">
        <v>51.110001000000004</v>
      </c>
      <c r="P2" s="10">
        <v>-5.0870865762652206E-3</v>
      </c>
      <c r="Q2" s="5">
        <v>43.66</v>
      </c>
      <c r="R2" s="10">
        <v>0.16468163078332587</v>
      </c>
      <c r="S2" s="17">
        <v>5.4999999999999997E-3</v>
      </c>
      <c r="T2" s="5" t="s">
        <v>145</v>
      </c>
      <c r="X2" t="s">
        <v>23</v>
      </c>
    </row>
    <row r="3" spans="1:25">
      <c r="A3" s="2" t="s">
        <v>34</v>
      </c>
      <c r="B3" s="2" t="s">
        <v>90</v>
      </c>
      <c r="C3" s="6">
        <v>41.45</v>
      </c>
      <c r="D3" s="6">
        <v>-9.9999999747524271E-7</v>
      </c>
      <c r="E3" s="15">
        <v>-1E-3</v>
      </c>
      <c r="F3" s="6">
        <v>41.450001</v>
      </c>
      <c r="G3" s="6"/>
      <c r="H3" s="11" t="s">
        <v>19</v>
      </c>
      <c r="I3" s="6">
        <v>39.939999</v>
      </c>
      <c r="J3" s="11">
        <v>3.7806736049242229E-2</v>
      </c>
      <c r="K3" s="6">
        <v>40.375749949999985</v>
      </c>
      <c r="L3" s="11">
        <v>2.6606318181837674E-2</v>
      </c>
      <c r="M3" s="6">
        <v>38.314416541666674</v>
      </c>
      <c r="N3" s="11">
        <v>8.18382149946979E-2</v>
      </c>
      <c r="O3" s="6">
        <v>41.59</v>
      </c>
      <c r="P3" s="11">
        <v>-3.3661937965857591E-3</v>
      </c>
      <c r="Q3" s="6">
        <v>31.309998999999998</v>
      </c>
      <c r="R3" s="11">
        <v>0.32385823455312179</v>
      </c>
      <c r="S3" s="18">
        <v>8.8000000000000005E-3</v>
      </c>
      <c r="T3" s="6" t="s">
        <v>145</v>
      </c>
      <c r="X3" t="s">
        <v>24</v>
      </c>
      <c r="Y3" t="s">
        <v>88</v>
      </c>
    </row>
    <row r="4" spans="1:25">
      <c r="A4" s="1" t="s">
        <v>35</v>
      </c>
      <c r="B4" s="1" t="s">
        <v>91</v>
      </c>
      <c r="C4" s="5">
        <v>13.35</v>
      </c>
      <c r="D4" s="5">
        <v>0</v>
      </c>
      <c r="E4" s="14">
        <v>-6.9999999999999999E-4</v>
      </c>
      <c r="F4" s="5">
        <v>13.35</v>
      </c>
      <c r="G4" s="5"/>
      <c r="H4" s="10" t="s">
        <v>19</v>
      </c>
      <c r="I4" s="5">
        <v>13.01</v>
      </c>
      <c r="J4" s="10">
        <v>2.6133743274404209E-2</v>
      </c>
      <c r="K4" s="5">
        <v>13.157249999999999</v>
      </c>
      <c r="L4" s="10">
        <v>1.464971783617397E-2</v>
      </c>
      <c r="M4" s="5">
        <v>12.707000000000003</v>
      </c>
      <c r="N4" s="10">
        <v>5.060203037695743E-2</v>
      </c>
      <c r="O4" s="5">
        <v>13.38</v>
      </c>
      <c r="P4" s="10">
        <v>-2.2421524663678305E-3</v>
      </c>
      <c r="Q4" s="5">
        <v>11.02</v>
      </c>
      <c r="R4" s="10">
        <v>0.21143375680580756</v>
      </c>
      <c r="S4" s="17">
        <v>1.26E-2</v>
      </c>
      <c r="T4" s="5" t="s">
        <v>145</v>
      </c>
      <c r="X4" t="s">
        <v>23</v>
      </c>
    </row>
    <row r="5" spans="1:25">
      <c r="A5" s="2" t="s">
        <v>36</v>
      </c>
      <c r="B5" s="2" t="s">
        <v>92</v>
      </c>
      <c r="C5" s="6">
        <v>231.44</v>
      </c>
      <c r="D5" s="6">
        <v>3.0000000000001137E-2</v>
      </c>
      <c r="E5" s="15">
        <v>-8.0000000000000004E-4</v>
      </c>
      <c r="F5" s="6">
        <v>98.07</v>
      </c>
      <c r="G5" s="6">
        <v>180</v>
      </c>
      <c r="H5" s="11">
        <v>0.28577777777777769</v>
      </c>
      <c r="I5" s="6">
        <v>97.889999000000003</v>
      </c>
      <c r="J5" s="11">
        <v>2.1452753309354478E-3</v>
      </c>
      <c r="K5" s="6">
        <v>97.54550002500001</v>
      </c>
      <c r="L5" s="11">
        <v>5.6845264503013748E-3</v>
      </c>
      <c r="M5" s="6">
        <v>96.379249816666658</v>
      </c>
      <c r="N5" s="11">
        <v>1.7853948714132484E-2</v>
      </c>
      <c r="O5" s="6">
        <v>98.5</v>
      </c>
      <c r="P5" s="11">
        <v>-4.0609137055838129E-3</v>
      </c>
      <c r="Q5" s="6">
        <v>84.650002000000001</v>
      </c>
      <c r="R5" s="11">
        <v>0.15888951780532734</v>
      </c>
      <c r="S5" s="18">
        <v>4.0000000000000002E-4</v>
      </c>
      <c r="T5" s="6" t="s">
        <v>146</v>
      </c>
    </row>
    <row r="6" spans="1:25">
      <c r="A6" s="1" t="s">
        <v>37</v>
      </c>
      <c r="B6" s="1" t="s">
        <v>93</v>
      </c>
      <c r="C6" s="5">
        <v>62.48</v>
      </c>
      <c r="D6" s="5">
        <v>0</v>
      </c>
      <c r="E6" s="14">
        <v>-8.0000000000000004E-4</v>
      </c>
      <c r="F6" s="5">
        <v>62.48</v>
      </c>
      <c r="G6" s="5">
        <v>45</v>
      </c>
      <c r="H6" s="10">
        <v>0.38844444444444437</v>
      </c>
      <c r="I6" s="5">
        <v>60.59</v>
      </c>
      <c r="J6" s="10">
        <v>3.1193266215546966E-2</v>
      </c>
      <c r="K6" s="5">
        <v>61.560499900000003</v>
      </c>
      <c r="L6" s="10">
        <v>1.4936527505358788E-2</v>
      </c>
      <c r="M6" s="5">
        <v>60.570999949999973</v>
      </c>
      <c r="N6" s="10">
        <v>3.1516733281204967E-2</v>
      </c>
      <c r="O6" s="5">
        <v>62.529998999999997</v>
      </c>
      <c r="P6" s="10">
        <v>-7.9960020469538318E-4</v>
      </c>
      <c r="Q6" s="5">
        <v>51.990002000000004</v>
      </c>
      <c r="R6" s="10">
        <v>0.20176952484056443</v>
      </c>
      <c r="S6" s="17">
        <v>4.0000000000000002E-4</v>
      </c>
      <c r="T6" s="5" t="s">
        <v>146</v>
      </c>
    </row>
    <row r="7" spans="1:25">
      <c r="A7" s="2" t="s">
        <v>38</v>
      </c>
      <c r="B7" s="2" t="s">
        <v>94</v>
      </c>
      <c r="C7" s="6">
        <v>70.14</v>
      </c>
      <c r="D7" s="6">
        <v>9.9999999747524271E-7</v>
      </c>
      <c r="E7" s="15">
        <v>-6.9999999999999999E-4</v>
      </c>
      <c r="F7" s="6">
        <v>70.139999000000003</v>
      </c>
      <c r="G7" s="6"/>
      <c r="H7" s="11" t="s">
        <v>19</v>
      </c>
      <c r="I7" s="6">
        <v>68.199996999999996</v>
      </c>
      <c r="J7" s="11">
        <v>2.8445793040137612E-2</v>
      </c>
      <c r="K7" s="6">
        <v>69.147500099999974</v>
      </c>
      <c r="L7" s="11">
        <v>1.4353373564694127E-2</v>
      </c>
      <c r="M7" s="6">
        <v>67.792583083333355</v>
      </c>
      <c r="N7" s="11">
        <v>3.4626456315746346E-2</v>
      </c>
      <c r="O7" s="6">
        <v>70.190002000000007</v>
      </c>
      <c r="P7" s="11">
        <v>-7.1238066071011019E-4</v>
      </c>
      <c r="Q7" s="6">
        <v>62.119999</v>
      </c>
      <c r="R7" s="11">
        <v>0.12910497632171558</v>
      </c>
      <c r="S7" s="18">
        <v>2.5000000000000001E-3</v>
      </c>
      <c r="T7" s="6" t="s">
        <v>146</v>
      </c>
    </row>
    <row r="8" spans="1:25">
      <c r="A8" s="1" t="s">
        <v>39</v>
      </c>
      <c r="B8" s="1" t="s">
        <v>95</v>
      </c>
      <c r="C8" s="5">
        <v>22.34</v>
      </c>
      <c r="D8" s="5">
        <v>0</v>
      </c>
      <c r="E8" s="14">
        <v>0</v>
      </c>
      <c r="F8" s="5">
        <v>22.34</v>
      </c>
      <c r="G8" s="5"/>
      <c r="H8" s="10" t="s">
        <v>19</v>
      </c>
      <c r="I8" s="5">
        <v>21.77</v>
      </c>
      <c r="J8" s="10">
        <v>2.6182820395039164E-2</v>
      </c>
      <c r="K8" s="5">
        <v>22.061749975000005</v>
      </c>
      <c r="L8" s="10">
        <v>1.2612327912123966E-2</v>
      </c>
      <c r="M8" s="5">
        <v>23.052249916666664</v>
      </c>
      <c r="N8" s="10">
        <v>-3.0897197420704292E-2</v>
      </c>
      <c r="O8" s="5">
        <v>24.24</v>
      </c>
      <c r="P8" s="10">
        <v>-7.8382838283828304E-2</v>
      </c>
      <c r="Q8" s="5">
        <v>21.57</v>
      </c>
      <c r="R8" s="10">
        <v>3.5697728326379297E-2</v>
      </c>
      <c r="S8" s="17">
        <v>5.8999999999999999E-3</v>
      </c>
      <c r="T8" s="5" t="s">
        <v>146</v>
      </c>
    </row>
    <row r="9" spans="1:25">
      <c r="A9" s="2" t="s">
        <v>40</v>
      </c>
      <c r="B9" s="2" t="s">
        <v>96</v>
      </c>
      <c r="C9" s="6">
        <v>52.61</v>
      </c>
      <c r="D9" s="6">
        <v>-1.0000000045806701E-6</v>
      </c>
      <c r="E9" s="15">
        <v>-4.0000000000000002E-4</v>
      </c>
      <c r="F9" s="6">
        <v>52.610001000000004</v>
      </c>
      <c r="G9" s="6"/>
      <c r="H9" s="11" t="s">
        <v>19</v>
      </c>
      <c r="I9" s="6">
        <v>51</v>
      </c>
      <c r="J9" s="11">
        <v>3.1568627450980324E-2</v>
      </c>
      <c r="K9" s="6">
        <v>51.769250099999987</v>
      </c>
      <c r="L9" s="11">
        <v>1.6240333757510106E-2</v>
      </c>
      <c r="M9" s="6">
        <v>50.40325014999997</v>
      </c>
      <c r="N9" s="11">
        <v>4.378189587839576E-2</v>
      </c>
      <c r="O9" s="6">
        <v>52.630001</v>
      </c>
      <c r="P9" s="11">
        <v>-3.8003039369127745E-4</v>
      </c>
      <c r="Q9" s="6">
        <v>43.139998999999996</v>
      </c>
      <c r="R9" s="11">
        <v>0.21951787713300597</v>
      </c>
      <c r="S9" s="18">
        <v>7.7999999999999996E-3</v>
      </c>
      <c r="T9" s="6" t="s">
        <v>146</v>
      </c>
    </row>
    <row r="10" spans="1:25">
      <c r="A10" s="1" t="s">
        <v>41</v>
      </c>
      <c r="B10" s="1" t="s">
        <v>97</v>
      </c>
      <c r="C10" s="5">
        <v>92.62</v>
      </c>
      <c r="D10" s="5">
        <v>-2.9999999924257281E-6</v>
      </c>
      <c r="E10" s="14">
        <v>-3.0999999999999999E-3</v>
      </c>
      <c r="F10" s="5">
        <v>92.620002999999997</v>
      </c>
      <c r="G10" s="5"/>
      <c r="H10" s="10" t="s">
        <v>19</v>
      </c>
      <c r="I10" s="5">
        <v>89.349997999999999</v>
      </c>
      <c r="J10" s="10">
        <v>3.6597672895303246E-2</v>
      </c>
      <c r="K10" s="5">
        <v>90.9027502</v>
      </c>
      <c r="L10" s="10">
        <v>1.8891065410252095E-2</v>
      </c>
      <c r="M10" s="5">
        <v>86.804916699999922</v>
      </c>
      <c r="N10" s="10">
        <v>6.6990252638536196E-2</v>
      </c>
      <c r="O10" s="5">
        <v>92.910004000000001</v>
      </c>
      <c r="P10" s="10">
        <v>-3.1213431010076453E-3</v>
      </c>
      <c r="Q10" s="5">
        <v>70.849997999999999</v>
      </c>
      <c r="R10" s="10">
        <v>0.30726891481351926</v>
      </c>
      <c r="S10" s="17">
        <v>5.7999999999999996E-3</v>
      </c>
      <c r="T10" s="5" t="s">
        <v>147</v>
      </c>
    </row>
    <row r="11" spans="1:25">
      <c r="A11" s="2" t="s">
        <v>42</v>
      </c>
      <c r="B11" s="2" t="s">
        <v>98</v>
      </c>
      <c r="C11" s="6">
        <v>74.239999999999995</v>
      </c>
      <c r="D11" s="6">
        <v>-1.4803000000000566E-2</v>
      </c>
      <c r="E11" s="15">
        <v>1.9E-3</v>
      </c>
      <c r="F11" s="6">
        <v>147.954803</v>
      </c>
      <c r="G11" s="6">
        <v>60</v>
      </c>
      <c r="H11" s="11">
        <v>0.23733333333333317</v>
      </c>
      <c r="I11" s="6">
        <v>144.97924040000004</v>
      </c>
      <c r="J11" s="11">
        <v>2.0421955528468594E-2</v>
      </c>
      <c r="K11" s="6">
        <v>146.17736932499994</v>
      </c>
      <c r="L11" s="11">
        <v>1.2058163880902528E-2</v>
      </c>
      <c r="M11" s="6">
        <v>144.17920648333342</v>
      </c>
      <c r="N11" s="11">
        <v>2.6084160180901872E-2</v>
      </c>
      <c r="O11" s="6">
        <v>150.05999800000001</v>
      </c>
      <c r="P11" s="11">
        <v>-1.4127669120720721E-2</v>
      </c>
      <c r="Q11" s="6">
        <v>120.860001</v>
      </c>
      <c r="R11" s="11">
        <v>0.22406088677758662</v>
      </c>
      <c r="S11" s="18">
        <v>1.6999999999999999E-3</v>
      </c>
      <c r="T11" s="6" t="s">
        <v>148</v>
      </c>
    </row>
    <row r="12" spans="1:25">
      <c r="A12" s="1" t="s">
        <v>43</v>
      </c>
      <c r="B12" s="1" t="s">
        <v>99</v>
      </c>
      <c r="C12" s="5">
        <v>27.9</v>
      </c>
      <c r="D12" s="5">
        <v>-4.769799999999691E-2</v>
      </c>
      <c r="E12" s="14">
        <v>0</v>
      </c>
      <c r="F12" s="5">
        <v>104.985298</v>
      </c>
      <c r="G12" s="5"/>
      <c r="H12" s="10" t="s">
        <v>19</v>
      </c>
      <c r="I12" s="5">
        <v>102.889999</v>
      </c>
      <c r="J12" s="10">
        <v>1.9900874913994393E-2</v>
      </c>
      <c r="K12" s="5">
        <v>102.94663277500001</v>
      </c>
      <c r="L12" s="10">
        <v>1.9339799382767975E-2</v>
      </c>
      <c r="M12" s="5">
        <v>100.19079423333334</v>
      </c>
      <c r="N12" s="10">
        <v>4.737766381621733E-2</v>
      </c>
      <c r="O12" s="5">
        <v>104.985298</v>
      </c>
      <c r="P12" s="10">
        <v>-4.5433028155994482E-4</v>
      </c>
      <c r="Q12" s="5">
        <v>83.720000999999996</v>
      </c>
      <c r="R12" s="10">
        <v>0.25343524542002815</v>
      </c>
      <c r="S12" s="17">
        <v>9.2999999999999992E-3</v>
      </c>
      <c r="T12" s="5" t="s">
        <v>148</v>
      </c>
    </row>
    <row r="13" spans="1:25">
      <c r="A13" s="2" t="s">
        <v>44</v>
      </c>
      <c r="B13" s="2" t="s">
        <v>100</v>
      </c>
      <c r="C13" s="6">
        <v>51.85</v>
      </c>
      <c r="D13" s="6">
        <v>2.0000000020559128E-6</v>
      </c>
      <c r="E13" s="15">
        <v>-1.5E-3</v>
      </c>
      <c r="F13" s="6">
        <v>51.849997999999999</v>
      </c>
      <c r="G13" s="6"/>
      <c r="H13" s="11" t="s">
        <v>19</v>
      </c>
      <c r="I13" s="6">
        <v>49.709998999999996</v>
      </c>
      <c r="J13" s="11">
        <v>4.3049709174204587E-2</v>
      </c>
      <c r="K13" s="6">
        <v>50.712249549999996</v>
      </c>
      <c r="L13" s="11">
        <v>2.2435416691153343E-2</v>
      </c>
      <c r="M13" s="6">
        <v>49.300749883333296</v>
      </c>
      <c r="N13" s="11">
        <v>5.1708140803118141E-2</v>
      </c>
      <c r="O13" s="6">
        <v>51.93</v>
      </c>
      <c r="P13" s="11">
        <v>-1.5405353360292695E-3</v>
      </c>
      <c r="Q13" s="6">
        <v>42.630001</v>
      </c>
      <c r="R13" s="11">
        <v>0.21627958676332204</v>
      </c>
      <c r="S13" s="18">
        <v>9.4999999999999998E-3</v>
      </c>
      <c r="T13" s="6" t="s">
        <v>31</v>
      </c>
    </row>
    <row r="14" spans="1:25">
      <c r="A14" s="1" t="s">
        <v>45</v>
      </c>
      <c r="B14" s="1" t="s">
        <v>101</v>
      </c>
      <c r="C14" s="5">
        <v>45.48</v>
      </c>
      <c r="D14" s="5">
        <v>0</v>
      </c>
      <c r="E14" s="14">
        <v>-1.8E-3</v>
      </c>
      <c r="F14" s="5">
        <v>45.48</v>
      </c>
      <c r="G14" s="5"/>
      <c r="H14" s="10" t="s">
        <v>19</v>
      </c>
      <c r="I14" s="5">
        <v>43.779998999999997</v>
      </c>
      <c r="J14" s="10">
        <v>3.8830539945877929E-2</v>
      </c>
      <c r="K14" s="5">
        <v>44.580250024999998</v>
      </c>
      <c r="L14" s="10">
        <v>2.0182703652299683E-2</v>
      </c>
      <c r="M14" s="5">
        <v>43.251583374999996</v>
      </c>
      <c r="N14" s="10">
        <v>5.1522197596309383E-2</v>
      </c>
      <c r="O14" s="5">
        <v>45.799999</v>
      </c>
      <c r="P14" s="10">
        <v>-6.9868778818096278E-3</v>
      </c>
      <c r="Q14" s="5">
        <v>36.479999999999997</v>
      </c>
      <c r="R14" s="10">
        <v>0.2467105263157896</v>
      </c>
      <c r="S14" s="17">
        <v>9.5999999999999992E-3</v>
      </c>
      <c r="T14" s="5" t="s">
        <v>31</v>
      </c>
    </row>
    <row r="15" spans="1:25">
      <c r="A15" s="2" t="s">
        <v>46</v>
      </c>
      <c r="B15" s="2" t="s">
        <v>102</v>
      </c>
      <c r="C15" s="6">
        <v>30.78</v>
      </c>
      <c r="D15" s="6">
        <v>-1.0000000010279564E-6</v>
      </c>
      <c r="E15" s="15">
        <v>-5.9999999999999995E-4</v>
      </c>
      <c r="F15" s="6">
        <v>30.780001000000002</v>
      </c>
      <c r="G15" s="6"/>
      <c r="H15" s="11" t="s">
        <v>19</v>
      </c>
      <c r="I15" s="6">
        <v>29.83</v>
      </c>
      <c r="J15" s="11">
        <v>3.1847133757961776E-2</v>
      </c>
      <c r="K15" s="6">
        <v>30.327999925000007</v>
      </c>
      <c r="L15" s="11">
        <v>1.490372184508626E-2</v>
      </c>
      <c r="M15" s="6">
        <v>29.668083266666667</v>
      </c>
      <c r="N15" s="11">
        <v>3.7478549704039077E-2</v>
      </c>
      <c r="O15" s="6">
        <v>30.799999</v>
      </c>
      <c r="P15" s="11">
        <v>-6.4931820289992892E-4</v>
      </c>
      <c r="Q15" s="6">
        <v>26.860001</v>
      </c>
      <c r="R15" s="11">
        <v>0.14594187840871631</v>
      </c>
      <c r="S15" s="18">
        <v>0.01</v>
      </c>
      <c r="T15" s="6" t="s">
        <v>31</v>
      </c>
    </row>
    <row r="16" spans="1:25">
      <c r="A16" s="1" t="s">
        <v>47</v>
      </c>
      <c r="B16" s="1" t="s">
        <v>103</v>
      </c>
      <c r="C16" s="5">
        <v>39.81</v>
      </c>
      <c r="D16" s="5">
        <v>-9.9999999747524271E-7</v>
      </c>
      <c r="E16" s="14">
        <v>-1E-3</v>
      </c>
      <c r="F16" s="5">
        <v>39.810001</v>
      </c>
      <c r="G16" s="5">
        <v>30</v>
      </c>
      <c r="H16" s="10">
        <v>0.32700000000000018</v>
      </c>
      <c r="I16" s="5">
        <v>38.669998</v>
      </c>
      <c r="J16" s="10">
        <v>2.9480270467042713E-2</v>
      </c>
      <c r="K16" s="5">
        <v>39.383999825000004</v>
      </c>
      <c r="L16" s="10">
        <v>1.0816579750479782E-2</v>
      </c>
      <c r="M16" s="5">
        <v>38.940666666666658</v>
      </c>
      <c r="N16" s="10">
        <v>2.2324562154389049E-2</v>
      </c>
      <c r="O16" s="5">
        <v>39.959998999999996</v>
      </c>
      <c r="P16" s="10">
        <v>-3.7537288226657806E-3</v>
      </c>
      <c r="Q16" s="5">
        <v>33.619999</v>
      </c>
      <c r="R16" s="10">
        <v>0.18411663248413546</v>
      </c>
      <c r="S16" s="17">
        <v>5.0000000000000001E-4</v>
      </c>
      <c r="T16" s="5" t="s">
        <v>149</v>
      </c>
    </row>
    <row r="17" spans="1:20">
      <c r="A17" s="2" t="s">
        <v>48</v>
      </c>
      <c r="B17" s="2" t="s">
        <v>104</v>
      </c>
      <c r="C17" s="6">
        <v>16.170000000000002</v>
      </c>
      <c r="D17" s="6">
        <v>0</v>
      </c>
      <c r="E17" s="15">
        <v>-5.9999999999999995E-4</v>
      </c>
      <c r="F17" s="6">
        <v>16.170000000000002</v>
      </c>
      <c r="G17" s="6"/>
      <c r="H17" s="11" t="s">
        <v>19</v>
      </c>
      <c r="I17" s="6">
        <v>15.68</v>
      </c>
      <c r="J17" s="11">
        <v>3.1250000000000222E-2</v>
      </c>
      <c r="K17" s="6">
        <v>16.036750049999998</v>
      </c>
      <c r="L17" s="11">
        <v>8.3090370296070581E-3</v>
      </c>
      <c r="M17" s="6">
        <v>16.070416700000006</v>
      </c>
      <c r="N17" s="11">
        <v>6.1966843709782005E-3</v>
      </c>
      <c r="O17" s="6">
        <v>16.549999</v>
      </c>
      <c r="P17" s="11">
        <v>-2.2960666039919309E-2</v>
      </c>
      <c r="Q17" s="6">
        <v>14.56</v>
      </c>
      <c r="R17" s="11">
        <v>0.11057692307692313</v>
      </c>
      <c r="S17" s="18">
        <v>4.4999999999999997E-3</v>
      </c>
      <c r="T17" s="6" t="s">
        <v>149</v>
      </c>
    </row>
    <row r="18" spans="1:20">
      <c r="A18" s="1" t="s">
        <v>49</v>
      </c>
      <c r="B18" s="1" t="s">
        <v>105</v>
      </c>
      <c r="C18" s="5">
        <v>36.520000000000003</v>
      </c>
      <c r="D18" s="5">
        <v>0</v>
      </c>
      <c r="E18" s="14">
        <v>-2.2000000000000001E-3</v>
      </c>
      <c r="F18" s="5">
        <v>36.520000000000003</v>
      </c>
      <c r="G18" s="5"/>
      <c r="H18" s="10" t="s">
        <v>19</v>
      </c>
      <c r="I18" s="5">
        <v>34.970001000000003</v>
      </c>
      <c r="J18" s="10">
        <v>4.4323676170326731E-2</v>
      </c>
      <c r="K18" s="5">
        <v>35.877500224999999</v>
      </c>
      <c r="L18" s="10">
        <v>1.7908153326476661E-2</v>
      </c>
      <c r="M18" s="5">
        <v>35.22683340833332</v>
      </c>
      <c r="N18" s="10">
        <v>3.6709702989107473E-2</v>
      </c>
      <c r="O18" s="5">
        <v>36.869999</v>
      </c>
      <c r="P18" s="10">
        <v>-9.4927857199018639E-3</v>
      </c>
      <c r="Q18" s="5">
        <v>28.799999</v>
      </c>
      <c r="R18" s="10">
        <v>0.26805559958526404</v>
      </c>
      <c r="S18" s="17">
        <v>1.12E-2</v>
      </c>
      <c r="T18" s="5" t="s">
        <v>150</v>
      </c>
    </row>
    <row r="19" spans="1:20">
      <c r="A19" s="2" t="s">
        <v>50</v>
      </c>
      <c r="B19" s="2" t="s">
        <v>106</v>
      </c>
      <c r="C19" s="6">
        <v>55.36</v>
      </c>
      <c r="D19" s="6">
        <v>-1.0000000045806701E-6</v>
      </c>
      <c r="E19" s="15">
        <v>6.9999999999999999E-4</v>
      </c>
      <c r="F19" s="6">
        <v>55.360001000000004</v>
      </c>
      <c r="G19" s="6"/>
      <c r="H19" s="11" t="s">
        <v>19</v>
      </c>
      <c r="I19" s="6">
        <v>53.669998</v>
      </c>
      <c r="J19" s="11">
        <v>3.1488765846423128E-2</v>
      </c>
      <c r="K19" s="6">
        <v>54.350999975000001</v>
      </c>
      <c r="L19" s="11">
        <v>1.8564516300787703E-2</v>
      </c>
      <c r="M19" s="6">
        <v>53.221250016666637</v>
      </c>
      <c r="N19" s="11">
        <v>4.0186015598348446E-2</v>
      </c>
      <c r="O19" s="6">
        <v>55.360001000000004</v>
      </c>
      <c r="P19" s="11">
        <v>-1.8063583517857751E-8</v>
      </c>
      <c r="Q19" s="6">
        <v>46.889998999999996</v>
      </c>
      <c r="R19" s="11">
        <v>0.18063555514257956</v>
      </c>
      <c r="S19" s="18">
        <v>8.8000000000000005E-3</v>
      </c>
      <c r="T19" s="6" t="s">
        <v>151</v>
      </c>
    </row>
    <row r="20" spans="1:20">
      <c r="A20" s="1" t="s">
        <v>51</v>
      </c>
      <c r="B20" s="1" t="s">
        <v>107</v>
      </c>
      <c r="C20" s="5">
        <v>14.55</v>
      </c>
      <c r="D20" s="5">
        <v>0</v>
      </c>
      <c r="E20" s="14">
        <v>6.9999999999999999E-4</v>
      </c>
      <c r="F20" s="5">
        <v>14.55</v>
      </c>
      <c r="G20" s="5"/>
      <c r="H20" s="10" t="s">
        <v>19</v>
      </c>
      <c r="I20" s="5">
        <v>14.17</v>
      </c>
      <c r="J20" s="10">
        <v>2.6817219477770049E-2</v>
      </c>
      <c r="K20" s="5">
        <v>14.473999999999995</v>
      </c>
      <c r="L20" s="10">
        <v>5.2507945281197177E-3</v>
      </c>
      <c r="M20" s="5">
        <v>14.531833333333328</v>
      </c>
      <c r="N20" s="10">
        <v>1.2501290270789944E-3</v>
      </c>
      <c r="O20" s="5">
        <v>14.9</v>
      </c>
      <c r="P20" s="10">
        <v>-2.3489932885906062E-2</v>
      </c>
      <c r="Q20" s="5">
        <v>12.91</v>
      </c>
      <c r="R20" s="10">
        <v>0.12703330751355546</v>
      </c>
      <c r="S20" s="17">
        <v>1.09E-2</v>
      </c>
      <c r="T20" s="5" t="s">
        <v>151</v>
      </c>
    </row>
    <row r="21" spans="1:20">
      <c r="A21" s="2" t="s">
        <v>52</v>
      </c>
      <c r="B21" s="2" t="s">
        <v>108</v>
      </c>
      <c r="C21" s="6">
        <v>18.68</v>
      </c>
      <c r="D21" s="6">
        <v>-1.9998999999998546E-2</v>
      </c>
      <c r="E21" s="15">
        <v>8.0999999999999996E-3</v>
      </c>
      <c r="F21" s="6">
        <v>110.389999</v>
      </c>
      <c r="G21" s="6">
        <v>16</v>
      </c>
      <c r="H21" s="11">
        <v>0.16749999999999998</v>
      </c>
      <c r="I21" s="6">
        <v>109.57</v>
      </c>
      <c r="J21" s="11">
        <v>7.3012685954185752E-3</v>
      </c>
      <c r="K21" s="6">
        <v>109.19199995000004</v>
      </c>
      <c r="L21" s="11">
        <v>1.0788336604690585E-2</v>
      </c>
      <c r="M21" s="6">
        <v>107.21774979166672</v>
      </c>
      <c r="N21" s="11">
        <v>2.9400451086302182E-2</v>
      </c>
      <c r="O21" s="6">
        <v>110.389999</v>
      </c>
      <c r="P21" s="11">
        <v>-1.8116677399371284E-4</v>
      </c>
      <c r="Q21" s="6">
        <v>92.669997999999993</v>
      </c>
      <c r="R21" s="11">
        <v>0.19100034943348132</v>
      </c>
      <c r="S21" s="18">
        <v>1E-3</v>
      </c>
      <c r="T21" s="6" t="s">
        <v>152</v>
      </c>
    </row>
    <row r="22" spans="1:20">
      <c r="A22" s="1" t="s">
        <v>53</v>
      </c>
      <c r="B22" s="1" t="s">
        <v>109</v>
      </c>
      <c r="C22" s="5">
        <v>90.13</v>
      </c>
      <c r="D22" s="5">
        <v>2.9999999924257281E-6</v>
      </c>
      <c r="E22" s="14">
        <v>-2.5000000000000001E-3</v>
      </c>
      <c r="F22" s="5">
        <v>90.129997000000003</v>
      </c>
      <c r="G22" s="5">
        <v>80</v>
      </c>
      <c r="H22" s="10">
        <v>0.12662499999999999</v>
      </c>
      <c r="I22" s="5">
        <v>86.330002000000007</v>
      </c>
      <c r="J22" s="10">
        <v>4.4017119332395938E-2</v>
      </c>
      <c r="K22" s="5">
        <v>88.748250000000013</v>
      </c>
      <c r="L22" s="10">
        <v>1.5569321085204368E-2</v>
      </c>
      <c r="M22" s="5">
        <v>87.292999908333343</v>
      </c>
      <c r="N22" s="10">
        <v>3.2499743331604991E-2</v>
      </c>
      <c r="O22" s="5">
        <v>91.589995999999999</v>
      </c>
      <c r="P22" s="10">
        <v>-1.5940561892807681E-2</v>
      </c>
      <c r="Q22" s="5">
        <v>77.930000000000007</v>
      </c>
      <c r="R22" s="10">
        <v>0.1565507506736814</v>
      </c>
      <c r="S22" s="17">
        <v>3.2000000000000002E-3</v>
      </c>
      <c r="T22" s="5" t="s">
        <v>152</v>
      </c>
    </row>
    <row r="23" spans="1:20">
      <c r="A23" s="2" t="s">
        <v>54</v>
      </c>
      <c r="B23" s="2" t="s">
        <v>110</v>
      </c>
      <c r="C23" s="6">
        <v>65.81</v>
      </c>
      <c r="D23" s="6">
        <v>2.0000000091613401E-6</v>
      </c>
      <c r="E23" s="15">
        <v>-1.1000000000000001E-3</v>
      </c>
      <c r="F23" s="6">
        <v>65.809997999999993</v>
      </c>
      <c r="G23" s="6">
        <v>45</v>
      </c>
      <c r="H23" s="11">
        <v>0.46244444444444444</v>
      </c>
      <c r="I23" s="6">
        <v>63.27</v>
      </c>
      <c r="J23" s="11">
        <v>4.0145408566461205E-2</v>
      </c>
      <c r="K23" s="6">
        <v>64.906249725000009</v>
      </c>
      <c r="L23" s="11">
        <v>1.3923933039253988E-2</v>
      </c>
      <c r="M23" s="6">
        <v>64.513500266666682</v>
      </c>
      <c r="N23" s="11">
        <v>2.0096564718612875E-2</v>
      </c>
      <c r="O23" s="6">
        <v>66.690002000000007</v>
      </c>
      <c r="P23" s="11">
        <v>-1.319541121021417E-2</v>
      </c>
      <c r="Q23" s="6">
        <v>54.720001000000003</v>
      </c>
      <c r="R23" s="11">
        <v>0.20266810667638691</v>
      </c>
      <c r="S23" s="18">
        <v>5.0000000000000001E-4</v>
      </c>
      <c r="T23" s="6" t="s">
        <v>153</v>
      </c>
    </row>
    <row r="24" spans="1:20">
      <c r="A24" s="1" t="s">
        <v>55</v>
      </c>
      <c r="B24" s="1" t="s">
        <v>111</v>
      </c>
      <c r="C24" s="5">
        <v>30.84</v>
      </c>
      <c r="D24" s="5">
        <v>0</v>
      </c>
      <c r="E24" s="14">
        <v>-1E-3</v>
      </c>
      <c r="F24" s="5">
        <v>30.84</v>
      </c>
      <c r="G24" s="5"/>
      <c r="H24" s="10" t="s">
        <v>19</v>
      </c>
      <c r="I24" s="5">
        <v>29.530001000000002</v>
      </c>
      <c r="J24" s="10">
        <v>4.4361630736145186E-2</v>
      </c>
      <c r="K24" s="5">
        <v>30.433249974999995</v>
      </c>
      <c r="L24" s="10">
        <v>1.3365316728713994E-2</v>
      </c>
      <c r="M24" s="5">
        <v>30.420916758333338</v>
      </c>
      <c r="N24" s="10">
        <v>1.377615424925871E-2</v>
      </c>
      <c r="O24" s="5">
        <v>32.75</v>
      </c>
      <c r="P24" s="10">
        <v>-5.8320610687022878E-2</v>
      </c>
      <c r="Q24" s="5">
        <v>26.83</v>
      </c>
      <c r="R24" s="10">
        <v>0.1494595601938129</v>
      </c>
      <c r="S24" s="17">
        <v>5.0000000000000001E-3</v>
      </c>
      <c r="T24" s="5" t="s">
        <v>153</v>
      </c>
    </row>
    <row r="25" spans="1:20">
      <c r="A25" s="2" t="s">
        <v>56</v>
      </c>
      <c r="B25" s="2" t="s">
        <v>112</v>
      </c>
      <c r="C25" s="6">
        <v>59.42</v>
      </c>
      <c r="D25" s="6">
        <v>9.9989999999934298E-3</v>
      </c>
      <c r="E25" s="15">
        <v>-1.5E-3</v>
      </c>
      <c r="F25" s="6">
        <v>171.11000100000001</v>
      </c>
      <c r="G25" s="6"/>
      <c r="H25" s="11" t="s">
        <v>19</v>
      </c>
      <c r="I25" s="6">
        <v>167.16999799999999</v>
      </c>
      <c r="J25" s="11">
        <v>2.3628653749221185E-2</v>
      </c>
      <c r="K25" s="6">
        <v>168.42400019999999</v>
      </c>
      <c r="L25" s="11">
        <v>1.6007218667164702E-2</v>
      </c>
      <c r="M25" s="6">
        <v>165.90549916666677</v>
      </c>
      <c r="N25" s="11">
        <v>3.1430548472023867E-2</v>
      </c>
      <c r="O25" s="6">
        <v>173.61000100000001</v>
      </c>
      <c r="P25" s="11">
        <v>-1.4342497469371107E-2</v>
      </c>
      <c r="Q25" s="6">
        <v>135.220001</v>
      </c>
      <c r="R25" s="11">
        <v>0.26549326086752512</v>
      </c>
      <c r="S25" s="18">
        <v>8.5000000000000006E-3</v>
      </c>
      <c r="T25" s="6" t="s">
        <v>153</v>
      </c>
    </row>
    <row r="26" spans="1:20">
      <c r="A26" s="1" t="s">
        <v>57</v>
      </c>
      <c r="B26" s="1" t="s">
        <v>113</v>
      </c>
      <c r="C26" s="5">
        <v>61.58</v>
      </c>
      <c r="D26" s="5">
        <v>-0.10000000000000142</v>
      </c>
      <c r="E26" s="14">
        <v>-1.6000000000000001E-3</v>
      </c>
      <c r="F26" s="5">
        <v>61.68</v>
      </c>
      <c r="G26" s="5"/>
      <c r="H26" s="10" t="s">
        <v>19</v>
      </c>
      <c r="I26" s="5">
        <v>59.209998999999996</v>
      </c>
      <c r="J26" s="10">
        <v>4.0027040027479144E-2</v>
      </c>
      <c r="K26" s="5">
        <v>60.866249924999998</v>
      </c>
      <c r="L26" s="10">
        <v>1.1726532780966359E-2</v>
      </c>
      <c r="M26" s="5">
        <v>60.827666625000006</v>
      </c>
      <c r="N26" s="10">
        <v>1.236827609446367E-2</v>
      </c>
      <c r="O26" s="5">
        <v>63.209998999999996</v>
      </c>
      <c r="P26" s="10">
        <v>-2.5787043597327086E-2</v>
      </c>
      <c r="Q26" s="5">
        <v>53.34</v>
      </c>
      <c r="R26" s="10">
        <v>0.15448068991376074</v>
      </c>
      <c r="S26" s="17">
        <v>9.7000000000000003E-3</v>
      </c>
      <c r="T26" s="5" t="s">
        <v>153</v>
      </c>
    </row>
    <row r="27" spans="1:20">
      <c r="A27" s="2" t="s">
        <v>58</v>
      </c>
      <c r="B27" s="2" t="s">
        <v>114</v>
      </c>
      <c r="C27" s="6">
        <v>47.79</v>
      </c>
      <c r="D27" s="6">
        <v>-1.0000000045806701E-6</v>
      </c>
      <c r="E27" s="15">
        <v>-1.6999999999999999E-3</v>
      </c>
      <c r="F27" s="6">
        <v>47.790001000000004</v>
      </c>
      <c r="G27" s="6"/>
      <c r="H27" s="11" t="s">
        <v>19</v>
      </c>
      <c r="I27" s="6">
        <v>45.700001</v>
      </c>
      <c r="J27" s="11">
        <v>4.5733018692931671E-2</v>
      </c>
      <c r="K27" s="6">
        <v>47.093250275000003</v>
      </c>
      <c r="L27" s="11">
        <v>1.479510802357753E-2</v>
      </c>
      <c r="M27" s="6">
        <v>46.779083375000006</v>
      </c>
      <c r="N27" s="11">
        <v>2.161044107889154E-2</v>
      </c>
      <c r="O27" s="6">
        <v>48.68</v>
      </c>
      <c r="P27" s="11">
        <v>-1.828266228430564E-2</v>
      </c>
      <c r="Q27" s="6">
        <v>38.770000000000003</v>
      </c>
      <c r="R27" s="11">
        <v>0.23265411400567437</v>
      </c>
      <c r="S27" s="18">
        <v>1.2E-2</v>
      </c>
      <c r="T27" s="6" t="s">
        <v>154</v>
      </c>
    </row>
    <row r="28" spans="1:20">
      <c r="A28" s="1" t="s">
        <v>59</v>
      </c>
      <c r="B28" s="1" t="s">
        <v>115</v>
      </c>
      <c r="C28" s="5">
        <v>64.209999999999994</v>
      </c>
      <c r="D28" s="5">
        <v>9.9999999747524271E-7</v>
      </c>
      <c r="E28" s="14">
        <v>-8.9999999999999998E-4</v>
      </c>
      <c r="F28" s="5">
        <v>64.209998999999996</v>
      </c>
      <c r="G28" s="5"/>
      <c r="H28" s="10" t="s">
        <v>19</v>
      </c>
      <c r="I28" s="5">
        <v>61.950001</v>
      </c>
      <c r="J28" s="10">
        <v>3.648101636027401E-2</v>
      </c>
      <c r="K28" s="5">
        <v>63.660249874999991</v>
      </c>
      <c r="L28" s="10">
        <v>8.6356890850955992E-3</v>
      </c>
      <c r="M28" s="5">
        <v>64.237332991666648</v>
      </c>
      <c r="N28" s="10">
        <v>-4.2550010085562473E-4</v>
      </c>
      <c r="O28" s="5">
        <v>66.550003000000004</v>
      </c>
      <c r="P28" s="10">
        <v>-3.5161576176037324E-2</v>
      </c>
      <c r="Q28" s="5">
        <v>53.540001000000004</v>
      </c>
      <c r="R28" s="10">
        <v>0.19929022788027195</v>
      </c>
      <c r="S28" s="17">
        <v>9.9000000000000008E-3</v>
      </c>
      <c r="T28" s="5" t="s">
        <v>155</v>
      </c>
    </row>
    <row r="29" spans="1:20">
      <c r="A29" s="2" t="s">
        <v>60</v>
      </c>
      <c r="B29" s="2" t="s">
        <v>116</v>
      </c>
      <c r="C29" s="6">
        <v>78.98</v>
      </c>
      <c r="D29" s="6">
        <v>-2.9999999924257281E-6</v>
      </c>
      <c r="E29" s="15">
        <v>-8.0000000000000004E-4</v>
      </c>
      <c r="F29" s="6">
        <v>78.980002999999996</v>
      </c>
      <c r="G29" s="6">
        <v>60</v>
      </c>
      <c r="H29" s="11">
        <v>0.31633333333333336</v>
      </c>
      <c r="I29" s="6">
        <v>75.819999999999993</v>
      </c>
      <c r="J29" s="11">
        <v>4.1677657610129426E-2</v>
      </c>
      <c r="K29" s="6">
        <v>77.743749825000009</v>
      </c>
      <c r="L29" s="11">
        <v>1.5901602093837397E-2</v>
      </c>
      <c r="M29" s="6">
        <v>77.00016696666664</v>
      </c>
      <c r="N29" s="11">
        <v>2.5712061562027877E-2</v>
      </c>
      <c r="O29" s="6">
        <v>79.559997999999993</v>
      </c>
      <c r="P29" s="11">
        <v>-7.2900705703887736E-3</v>
      </c>
      <c r="Q29" s="6">
        <v>64.819999999999993</v>
      </c>
      <c r="R29" s="11">
        <v>0.21845109534094442</v>
      </c>
      <c r="S29" s="18">
        <v>5.9999999999999995E-4</v>
      </c>
      <c r="T29" s="6" t="s">
        <v>156</v>
      </c>
    </row>
    <row r="30" spans="1:20">
      <c r="A30" s="1" t="s">
        <v>61</v>
      </c>
      <c r="B30" s="1" t="s">
        <v>117</v>
      </c>
      <c r="C30" s="5">
        <v>29.78</v>
      </c>
      <c r="D30" s="5">
        <v>-1.0000000010279564E-6</v>
      </c>
      <c r="E30" s="14">
        <v>-2.9999999999999997E-4</v>
      </c>
      <c r="F30" s="5">
        <v>29.780001000000002</v>
      </c>
      <c r="G30" s="5">
        <v>21</v>
      </c>
      <c r="H30" s="10">
        <v>0.41809523809523808</v>
      </c>
      <c r="I30" s="5">
        <v>28.809998999999998</v>
      </c>
      <c r="J30" s="10">
        <v>3.3668900856261841E-2</v>
      </c>
      <c r="K30" s="5">
        <v>29.241000074999995</v>
      </c>
      <c r="L30" s="10">
        <v>1.8433019514296101E-2</v>
      </c>
      <c r="M30" s="5">
        <v>28.31600000000001</v>
      </c>
      <c r="N30" s="10">
        <v>5.1702217827376495E-2</v>
      </c>
      <c r="O30" s="5">
        <v>29.83</v>
      </c>
      <c r="P30" s="10">
        <v>-1.6761649346295204E-3</v>
      </c>
      <c r="Q30" s="5">
        <v>24.110001</v>
      </c>
      <c r="R30" s="10">
        <v>0.23517207651712657</v>
      </c>
      <c r="S30" s="17">
        <v>5.1000000000000004E-3</v>
      </c>
      <c r="T30" s="5" t="s">
        <v>157</v>
      </c>
    </row>
    <row r="31" spans="1:20">
      <c r="A31" s="2" t="s">
        <v>62</v>
      </c>
      <c r="B31" s="2" t="s">
        <v>118</v>
      </c>
      <c r="C31" s="6">
        <v>45.91</v>
      </c>
      <c r="D31" s="6">
        <v>0</v>
      </c>
      <c r="E31" s="15">
        <v>1.6999999999999999E-3</v>
      </c>
      <c r="F31" s="6">
        <v>45.91</v>
      </c>
      <c r="G31" s="6"/>
      <c r="H31" s="11" t="s">
        <v>19</v>
      </c>
      <c r="I31" s="6">
        <v>44.029998999999997</v>
      </c>
      <c r="J31" s="11">
        <v>4.2698184026758623E-2</v>
      </c>
      <c r="K31" s="6">
        <v>44.753749975000005</v>
      </c>
      <c r="L31" s="11">
        <v>2.5835824386691408E-2</v>
      </c>
      <c r="M31" s="6">
        <v>43.728166708333326</v>
      </c>
      <c r="N31" s="11">
        <v>4.9895375358850247E-2</v>
      </c>
      <c r="O31" s="6">
        <v>45.91</v>
      </c>
      <c r="P31" s="11">
        <v>0</v>
      </c>
      <c r="Q31" s="6">
        <v>39.340000000000003</v>
      </c>
      <c r="R31" s="11">
        <v>0.16700559227249601</v>
      </c>
      <c r="S31" s="18">
        <v>1.41E-2</v>
      </c>
      <c r="T31" s="6" t="s">
        <v>158</v>
      </c>
    </row>
    <row r="32" spans="1:20">
      <c r="A32" s="1" t="s">
        <v>63</v>
      </c>
      <c r="B32" s="1" t="s">
        <v>119</v>
      </c>
      <c r="C32" s="5">
        <v>7.69</v>
      </c>
      <c r="D32" s="5">
        <v>0</v>
      </c>
      <c r="E32" s="14">
        <v>1.2999999999999999E-3</v>
      </c>
      <c r="F32" s="5">
        <v>7.69</v>
      </c>
      <c r="G32" s="5">
        <v>6.5</v>
      </c>
      <c r="H32" s="10">
        <v>0.18307692307692314</v>
      </c>
      <c r="I32" s="5">
        <v>7.63</v>
      </c>
      <c r="J32" s="10">
        <v>7.8636959370905757E-3</v>
      </c>
      <c r="K32" s="5">
        <v>7.6717499999999985</v>
      </c>
      <c r="L32" s="10">
        <v>2.3788574966601139E-3</v>
      </c>
      <c r="M32" s="5">
        <v>7.651416666666667</v>
      </c>
      <c r="N32" s="10">
        <v>5.0426391626823275E-3</v>
      </c>
      <c r="O32" s="5">
        <v>7.71</v>
      </c>
      <c r="P32" s="10">
        <v>-2.5940337224383825E-3</v>
      </c>
      <c r="Q32" s="5">
        <v>7.32</v>
      </c>
      <c r="R32" s="10">
        <v>5.0546448087431806E-2</v>
      </c>
      <c r="S32" s="17">
        <v>7.7999999999999996E-3</v>
      </c>
      <c r="T32" s="5" t="s">
        <v>159</v>
      </c>
    </row>
    <row r="33" spans="1:20">
      <c r="A33" s="2" t="s">
        <v>64</v>
      </c>
      <c r="B33" s="2" t="s">
        <v>120</v>
      </c>
      <c r="C33" s="6">
        <v>10.83</v>
      </c>
      <c r="D33" s="6">
        <v>0</v>
      </c>
      <c r="E33" s="15">
        <v>8.9999999999999998E-4</v>
      </c>
      <c r="F33" s="6">
        <v>10.83</v>
      </c>
      <c r="G33" s="6">
        <v>10.7</v>
      </c>
      <c r="H33" s="11">
        <v>1.214953271028052E-2</v>
      </c>
      <c r="I33" s="6">
        <v>10.83</v>
      </c>
      <c r="J33" s="11">
        <v>0</v>
      </c>
      <c r="K33" s="6">
        <v>10.826499999999999</v>
      </c>
      <c r="L33" s="11">
        <v>3.2328083868282675E-4</v>
      </c>
      <c r="M33" s="6">
        <v>10.779999999999983</v>
      </c>
      <c r="N33" s="11">
        <v>4.6382189239346783E-3</v>
      </c>
      <c r="O33" s="6">
        <v>11.1</v>
      </c>
      <c r="P33" s="11">
        <v>-2.4324324324324298E-2</v>
      </c>
      <c r="Q33" s="6">
        <v>10.55</v>
      </c>
      <c r="R33" s="11">
        <v>2.6540284360189403E-2</v>
      </c>
      <c r="S33" s="18">
        <v>4.0000000000000002E-4</v>
      </c>
      <c r="T33" s="6" t="s">
        <v>160</v>
      </c>
    </row>
    <row r="34" spans="1:20">
      <c r="A34" s="1" t="s">
        <v>65</v>
      </c>
      <c r="B34" s="1" t="s">
        <v>121</v>
      </c>
      <c r="C34" s="5">
        <v>3.41</v>
      </c>
      <c r="D34" s="5">
        <v>0</v>
      </c>
      <c r="E34" s="14">
        <v>0</v>
      </c>
      <c r="F34" s="5">
        <v>3.41</v>
      </c>
      <c r="G34" s="5"/>
      <c r="H34" s="10" t="s">
        <v>19</v>
      </c>
      <c r="I34" s="5">
        <v>3.38</v>
      </c>
      <c r="J34" s="10">
        <v>8.8757396449705706E-3</v>
      </c>
      <c r="K34" s="5">
        <v>3.4037500000000001</v>
      </c>
      <c r="L34" s="10">
        <v>1.8362100624311761E-3</v>
      </c>
      <c r="M34" s="5">
        <v>3.387</v>
      </c>
      <c r="N34" s="10">
        <v>6.7906702096249827E-3</v>
      </c>
      <c r="O34" s="5">
        <v>3.42</v>
      </c>
      <c r="P34" s="10">
        <v>-2.9239766081871066E-3</v>
      </c>
      <c r="Q34" s="5">
        <v>3.22</v>
      </c>
      <c r="R34" s="10">
        <v>5.9006211180124168E-2</v>
      </c>
      <c r="S34" s="17">
        <v>8.0000000000000002E-3</v>
      </c>
      <c r="T34" s="5" t="s">
        <v>159</v>
      </c>
    </row>
    <row r="35" spans="1:20">
      <c r="A35" s="2" t="s">
        <v>66</v>
      </c>
      <c r="B35" s="2" t="s">
        <v>122</v>
      </c>
      <c r="C35" s="6">
        <v>10.63</v>
      </c>
      <c r="D35" s="6">
        <v>0</v>
      </c>
      <c r="E35" s="15">
        <v>1.9E-3</v>
      </c>
      <c r="F35" s="6">
        <v>10.63</v>
      </c>
      <c r="G35" s="6">
        <v>10.4</v>
      </c>
      <c r="H35" s="11">
        <v>2.2115384615384759E-2</v>
      </c>
      <c r="I35" s="6">
        <v>10.55</v>
      </c>
      <c r="J35" s="11">
        <v>7.5829383886256707E-3</v>
      </c>
      <c r="K35" s="6">
        <v>10.557499999999999</v>
      </c>
      <c r="L35" s="11">
        <v>6.867156050201384E-3</v>
      </c>
      <c r="M35" s="6">
        <v>10.525749999999997</v>
      </c>
      <c r="N35" s="11">
        <v>9.9042823551769299E-3</v>
      </c>
      <c r="O35" s="6">
        <v>11.04</v>
      </c>
      <c r="P35" s="11">
        <v>-3.7137681159420177E-2</v>
      </c>
      <c r="Q35" s="6">
        <v>10.32</v>
      </c>
      <c r="R35" s="11">
        <v>3.0038759689922534E-2</v>
      </c>
      <c r="S35" s="18">
        <v>6.9999999999999999E-4</v>
      </c>
      <c r="T35" s="6" t="s">
        <v>161</v>
      </c>
    </row>
    <row r="36" spans="1:20">
      <c r="A36" s="1" t="s">
        <v>67</v>
      </c>
      <c r="B36" s="1" t="s">
        <v>123</v>
      </c>
      <c r="C36" s="5">
        <v>13.9</v>
      </c>
      <c r="D36" s="5">
        <v>0</v>
      </c>
      <c r="E36" s="14">
        <v>6.9999999999999999E-4</v>
      </c>
      <c r="F36" s="5">
        <v>13.9</v>
      </c>
      <c r="G36" s="5">
        <v>13.6</v>
      </c>
      <c r="H36" s="10">
        <v>2.2058823529411908E-2</v>
      </c>
      <c r="I36" s="5">
        <v>13.87</v>
      </c>
      <c r="J36" s="10">
        <v>2.1629416005768398E-3</v>
      </c>
      <c r="K36" s="5">
        <v>13.868249999999998</v>
      </c>
      <c r="L36" s="10">
        <v>2.2894020514485636E-3</v>
      </c>
      <c r="M36" s="5">
        <v>13.799416666666662</v>
      </c>
      <c r="N36" s="10">
        <v>7.2889554510158217E-3</v>
      </c>
      <c r="O36" s="5">
        <v>13.96</v>
      </c>
      <c r="P36" s="10">
        <v>-4.2979942693409656E-3</v>
      </c>
      <c r="Q36" s="5">
        <v>13.51</v>
      </c>
      <c r="R36" s="10">
        <v>2.8867505551443351E-2</v>
      </c>
      <c r="S36" s="17">
        <v>4.3E-3</v>
      </c>
      <c r="T36" s="5" t="s">
        <v>162</v>
      </c>
    </row>
    <row r="37" spans="1:20">
      <c r="A37" s="2" t="s">
        <v>68</v>
      </c>
      <c r="B37" s="2" t="s">
        <v>124</v>
      </c>
      <c r="C37" s="6">
        <v>12.97</v>
      </c>
      <c r="D37" s="6">
        <v>0</v>
      </c>
      <c r="E37" s="15">
        <v>8.0000000000000004E-4</v>
      </c>
      <c r="F37" s="6">
        <v>12.97</v>
      </c>
      <c r="G37" s="6"/>
      <c r="H37" s="11" t="s">
        <v>19</v>
      </c>
      <c r="I37" s="6">
        <v>12.96</v>
      </c>
      <c r="J37" s="11">
        <v>7.7160493827155285E-4</v>
      </c>
      <c r="K37" s="6">
        <v>12.955000000000002</v>
      </c>
      <c r="L37" s="11">
        <v>1.1578541103820505E-3</v>
      </c>
      <c r="M37" s="6">
        <v>12.892333333333346</v>
      </c>
      <c r="N37" s="11">
        <v>6.0242521395135196E-3</v>
      </c>
      <c r="O37" s="6">
        <v>13.24</v>
      </c>
      <c r="P37" s="11">
        <v>-2.0392749244712904E-2</v>
      </c>
      <c r="Q37" s="6">
        <v>12.59</v>
      </c>
      <c r="R37" s="11">
        <v>3.0182684670373439E-2</v>
      </c>
      <c r="S37" s="18">
        <v>7.0000000000000001E-3</v>
      </c>
      <c r="T37" s="6" t="s">
        <v>162</v>
      </c>
    </row>
    <row r="38" spans="1:20">
      <c r="A38" s="1" t="s">
        <v>69</v>
      </c>
      <c r="B38" s="1" t="s">
        <v>125</v>
      </c>
      <c r="C38" s="5">
        <v>1</v>
      </c>
      <c r="D38" s="5"/>
      <c r="E38" s="14">
        <v>0</v>
      </c>
      <c r="F38" s="5"/>
      <c r="G38" s="5"/>
      <c r="H38" s="10" t="s">
        <v>19</v>
      </c>
      <c r="I38" s="5"/>
      <c r="J38" s="10"/>
      <c r="K38" s="5"/>
      <c r="L38" s="10"/>
      <c r="M38" s="5"/>
      <c r="N38" s="10"/>
      <c r="O38" s="5"/>
      <c r="P38" s="10"/>
      <c r="Q38" s="5"/>
      <c r="R38" s="10"/>
      <c r="S38" s="5">
        <v>7.0000000000000001E-3</v>
      </c>
      <c r="T38" s="5" t="s">
        <v>163</v>
      </c>
    </row>
    <row r="39" spans="1:20">
      <c r="A39" s="2" t="s">
        <v>70</v>
      </c>
      <c r="B39" s="2" t="s">
        <v>126</v>
      </c>
      <c r="C39" s="6">
        <v>10.71</v>
      </c>
      <c r="D39" s="6">
        <v>0</v>
      </c>
      <c r="E39" s="15">
        <v>0</v>
      </c>
      <c r="F39" s="6">
        <v>10.71</v>
      </c>
      <c r="G39" s="6">
        <v>10.7</v>
      </c>
      <c r="H39" s="11">
        <v>9.345794392525697E-4</v>
      </c>
      <c r="I39" s="6">
        <v>10.71</v>
      </c>
      <c r="J39" s="11">
        <v>0</v>
      </c>
      <c r="K39" s="6">
        <v>10.711500000000004</v>
      </c>
      <c r="L39" s="11">
        <v>-1.4003640946680385E-4</v>
      </c>
      <c r="M39" s="6">
        <v>10.701250000000018</v>
      </c>
      <c r="N39" s="11">
        <v>8.1766148814232942E-4</v>
      </c>
      <c r="O39" s="6">
        <v>10.84</v>
      </c>
      <c r="P39" s="11">
        <v>-1.1992619926199155E-2</v>
      </c>
      <c r="Q39" s="6">
        <v>10.66</v>
      </c>
      <c r="R39" s="11">
        <v>4.6904315196998336E-3</v>
      </c>
      <c r="S39" s="6">
        <v>1E-3</v>
      </c>
      <c r="T39" s="6" t="s">
        <v>164</v>
      </c>
    </row>
    <row r="40" spans="1:20">
      <c r="A40" s="1" t="s">
        <v>71</v>
      </c>
      <c r="B40" s="1" t="s">
        <v>127</v>
      </c>
      <c r="C40" s="5">
        <v>10.71</v>
      </c>
      <c r="D40" s="5">
        <v>0</v>
      </c>
      <c r="E40" s="14">
        <v>0</v>
      </c>
      <c r="F40" s="5">
        <v>10.71</v>
      </c>
      <c r="G40" s="5">
        <v>10.65</v>
      </c>
      <c r="H40" s="10">
        <v>5.6338028169014009E-3</v>
      </c>
      <c r="I40" s="5">
        <v>10.71</v>
      </c>
      <c r="J40" s="10">
        <v>0</v>
      </c>
      <c r="K40" s="5">
        <v>10.710500000000003</v>
      </c>
      <c r="L40" s="10">
        <v>-4.6683161383898053E-5</v>
      </c>
      <c r="M40" s="5">
        <v>10.690166666666682</v>
      </c>
      <c r="N40" s="10">
        <v>1.8552875695718729E-3</v>
      </c>
      <c r="O40" s="5">
        <v>10.79</v>
      </c>
      <c r="P40" s="10">
        <v>-7.4142724745133171E-3</v>
      </c>
      <c r="Q40" s="5">
        <v>10.6</v>
      </c>
      <c r="R40" s="10">
        <v>1.0377358490566202E-2</v>
      </c>
      <c r="S40" s="5">
        <v>6.9999999999999999E-4</v>
      </c>
      <c r="T40" s="5" t="s">
        <v>164</v>
      </c>
    </row>
    <row r="41" spans="1:20">
      <c r="A41" s="2" t="s">
        <v>72</v>
      </c>
      <c r="B41" s="2" t="s">
        <v>128</v>
      </c>
      <c r="C41" s="6">
        <v>24.23</v>
      </c>
      <c r="D41" s="6">
        <v>0</v>
      </c>
      <c r="E41" s="15">
        <v>0</v>
      </c>
      <c r="F41" s="6">
        <v>24.23</v>
      </c>
      <c r="G41" s="6"/>
      <c r="H41" s="11" t="s">
        <v>19</v>
      </c>
      <c r="I41" s="6">
        <v>23.889999</v>
      </c>
      <c r="J41" s="11">
        <v>1.4231938645120845E-2</v>
      </c>
      <c r="K41" s="6">
        <v>24.043749950000006</v>
      </c>
      <c r="L41" s="11">
        <v>7.7462979105717977E-3</v>
      </c>
      <c r="M41" s="6">
        <v>23.752916666666682</v>
      </c>
      <c r="N41" s="11">
        <v>2.0085252688265776E-2</v>
      </c>
      <c r="O41" s="6">
        <v>24.23</v>
      </c>
      <c r="P41" s="11">
        <v>0</v>
      </c>
      <c r="Q41" s="6">
        <v>22.530001000000002</v>
      </c>
      <c r="R41" s="11">
        <v>7.545490122259646E-2</v>
      </c>
      <c r="S41" s="6">
        <v>8.9999999999999993E-3</v>
      </c>
      <c r="T41" s="6">
        <v>1.5</v>
      </c>
    </row>
    <row r="42" spans="1:20">
      <c r="A42" s="1" t="s">
        <v>73</v>
      </c>
      <c r="B42" s="1" t="s">
        <v>129</v>
      </c>
      <c r="C42" s="5">
        <v>32.33</v>
      </c>
      <c r="D42" s="5">
        <v>-2.0000000020559128E-6</v>
      </c>
      <c r="E42" s="14">
        <v>0</v>
      </c>
      <c r="F42" s="5">
        <v>32.330002</v>
      </c>
      <c r="G42" s="5"/>
      <c r="H42" s="10" t="s">
        <v>19</v>
      </c>
      <c r="I42" s="5">
        <v>31.51</v>
      </c>
      <c r="J42" s="10">
        <v>2.6023484608060921E-2</v>
      </c>
      <c r="K42" s="5">
        <v>31.887750074999992</v>
      </c>
      <c r="L42" s="10">
        <v>1.3868959834413941E-2</v>
      </c>
      <c r="M42" s="5">
        <v>31.374666725000001</v>
      </c>
      <c r="N42" s="10">
        <v>3.0449192763496891E-2</v>
      </c>
      <c r="O42" s="5">
        <v>32.369999</v>
      </c>
      <c r="P42" s="10">
        <v>-1.2356812244572746E-3</v>
      </c>
      <c r="Q42" s="5">
        <v>28.040001</v>
      </c>
      <c r="R42" s="10">
        <v>0.15299567927975466</v>
      </c>
      <c r="S42" s="5">
        <v>1.5E-3</v>
      </c>
      <c r="T42" s="5">
        <v>4</v>
      </c>
    </row>
    <row r="43" spans="1:20">
      <c r="A43" s="2" t="s">
        <v>74</v>
      </c>
      <c r="B43" s="2" t="s">
        <v>130</v>
      </c>
      <c r="C43" s="6">
        <v>72.290000000000006</v>
      </c>
      <c r="D43" s="6">
        <v>-9.9999999747524271E-7</v>
      </c>
      <c r="E43" s="15">
        <v>2.9999999999999997E-4</v>
      </c>
      <c r="F43" s="6">
        <v>72.290001000000004</v>
      </c>
      <c r="G43" s="6"/>
      <c r="H43" s="11" t="s">
        <v>19</v>
      </c>
      <c r="I43" s="6">
        <v>70.930000000000007</v>
      </c>
      <c r="J43" s="11">
        <v>1.9173833356830761E-2</v>
      </c>
      <c r="K43" s="6">
        <v>71.516250074999988</v>
      </c>
      <c r="L43" s="11">
        <v>1.0819218348117721E-2</v>
      </c>
      <c r="M43" s="6">
        <v>70.736083266666711</v>
      </c>
      <c r="N43" s="11">
        <v>2.1967808529562038E-2</v>
      </c>
      <c r="O43" s="6">
        <v>72.290001000000004</v>
      </c>
      <c r="P43" s="11">
        <v>-1.3833171719213055E-8</v>
      </c>
      <c r="Q43" s="6">
        <v>65.599997999999999</v>
      </c>
      <c r="R43" s="11">
        <v>0.10198174091407752</v>
      </c>
      <c r="S43" s="6">
        <v>1.6000000000000001E-3</v>
      </c>
      <c r="T43" s="6">
        <v>1.5</v>
      </c>
    </row>
    <row r="44" spans="1:20">
      <c r="A44" s="1" t="s">
        <v>75</v>
      </c>
      <c r="B44" s="1" t="s">
        <v>131</v>
      </c>
      <c r="C44" s="5">
        <v>40.520000000000003</v>
      </c>
      <c r="D44" s="5"/>
      <c r="E44" s="14">
        <v>-2.0000000000000001E-4</v>
      </c>
      <c r="F44" s="5"/>
      <c r="G44" s="5"/>
      <c r="H44" s="10" t="s">
        <v>19</v>
      </c>
      <c r="I44" s="5"/>
      <c r="J44" s="10"/>
      <c r="K44" s="5"/>
      <c r="L44" s="10"/>
      <c r="M44" s="5"/>
      <c r="N44" s="10"/>
      <c r="O44" s="5"/>
      <c r="P44" s="10"/>
      <c r="Q44" s="5"/>
      <c r="R44" s="10"/>
      <c r="S44" s="5">
        <v>9.4999999999999998E-3</v>
      </c>
      <c r="T44" s="5">
        <v>1.5</v>
      </c>
    </row>
    <row r="45" spans="1:20">
      <c r="A45" s="2" t="s">
        <v>76</v>
      </c>
      <c r="B45" s="2" t="s">
        <v>132</v>
      </c>
      <c r="C45" s="6">
        <v>19.71</v>
      </c>
      <c r="D45" s="6">
        <v>1.0000000010279564E-6</v>
      </c>
      <c r="E45" s="15">
        <v>0</v>
      </c>
      <c r="F45" s="6">
        <v>19.709999</v>
      </c>
      <c r="G45" s="6"/>
      <c r="H45" s="11" t="s">
        <v>19</v>
      </c>
      <c r="I45" s="6">
        <v>19.450001</v>
      </c>
      <c r="J45" s="11">
        <v>1.3367557153338927E-2</v>
      </c>
      <c r="K45" s="6">
        <v>19.558249799999999</v>
      </c>
      <c r="L45" s="11">
        <v>7.7588844376046406E-3</v>
      </c>
      <c r="M45" s="6">
        <v>19.336666666666662</v>
      </c>
      <c r="N45" s="11">
        <v>1.9307016031719026E-2</v>
      </c>
      <c r="O45" s="6">
        <v>19.73</v>
      </c>
      <c r="P45" s="11">
        <v>-1.0136847440446184E-3</v>
      </c>
      <c r="Q45" s="6">
        <v>18.379998999999998</v>
      </c>
      <c r="R45" s="11">
        <v>7.236132058549094E-2</v>
      </c>
      <c r="S45" s="6">
        <v>1.2999999999999999E-3</v>
      </c>
      <c r="T45" s="6">
        <v>0.66666666666666663</v>
      </c>
    </row>
    <row r="46" spans="1:20">
      <c r="A46" s="1" t="s">
        <v>77</v>
      </c>
      <c r="B46" s="1" t="s">
        <v>133</v>
      </c>
      <c r="C46" s="5">
        <v>26.43</v>
      </c>
      <c r="D46" s="5">
        <v>0</v>
      </c>
      <c r="E46" s="14">
        <v>0</v>
      </c>
      <c r="F46" s="5">
        <v>26.43</v>
      </c>
      <c r="G46" s="5"/>
      <c r="H46" s="10" t="s">
        <v>19</v>
      </c>
      <c r="I46" s="5">
        <v>25.92</v>
      </c>
      <c r="J46" s="10">
        <v>1.9675925925925819E-2</v>
      </c>
      <c r="K46" s="5">
        <v>26.145000025000002</v>
      </c>
      <c r="L46" s="10">
        <v>1.0900744873875601E-2</v>
      </c>
      <c r="M46" s="5">
        <v>25.81108344166665</v>
      </c>
      <c r="N46" s="10">
        <v>2.3978712855355688E-2</v>
      </c>
      <c r="O46" s="5">
        <v>26.459999</v>
      </c>
      <c r="P46" s="10">
        <v>-1.1337490980253273E-3</v>
      </c>
      <c r="Q46" s="5">
        <v>23.83</v>
      </c>
      <c r="R46" s="10">
        <v>0.1091061686949224</v>
      </c>
      <c r="S46" s="5">
        <v>1.4E-3</v>
      </c>
      <c r="T46" s="5">
        <v>1.5</v>
      </c>
    </row>
    <row r="47" spans="1:20">
      <c r="A47" s="2" t="s">
        <v>78</v>
      </c>
      <c r="B47" s="2" t="s">
        <v>134</v>
      </c>
      <c r="C47" s="6">
        <v>10.79</v>
      </c>
      <c r="D47" s="6">
        <v>0</v>
      </c>
      <c r="E47" s="15">
        <v>0</v>
      </c>
      <c r="F47" s="6">
        <v>10.79</v>
      </c>
      <c r="G47" s="6"/>
      <c r="H47" s="11" t="s">
        <v>19</v>
      </c>
      <c r="I47" s="6">
        <v>10.62</v>
      </c>
      <c r="J47" s="11">
        <v>1.6007532956685555E-2</v>
      </c>
      <c r="K47" s="6">
        <v>10.697000000000005</v>
      </c>
      <c r="L47" s="11">
        <v>8.6940263625310266E-3</v>
      </c>
      <c r="M47" s="6">
        <v>10.542500000000008</v>
      </c>
      <c r="N47" s="11">
        <v>2.3476405027269776E-2</v>
      </c>
      <c r="O47" s="6">
        <v>10.8</v>
      </c>
      <c r="P47" s="11">
        <v>-9.2592592592610767E-4</v>
      </c>
      <c r="Q47" s="6">
        <v>9.77</v>
      </c>
      <c r="R47" s="11">
        <v>0.10440122824974418</v>
      </c>
      <c r="S47" s="6">
        <v>8.0000000000000004E-4</v>
      </c>
      <c r="T47" s="6" t="s">
        <v>165</v>
      </c>
    </row>
    <row r="48" spans="1:20">
      <c r="A48" s="1" t="s">
        <v>79</v>
      </c>
      <c r="B48" s="1" t="s">
        <v>135</v>
      </c>
      <c r="C48" s="5">
        <v>11.1</v>
      </c>
      <c r="D48" s="5">
        <v>0</v>
      </c>
      <c r="E48" s="14">
        <v>8.9999999999999998E-4</v>
      </c>
      <c r="F48" s="5">
        <v>11.1</v>
      </c>
      <c r="G48" s="5"/>
      <c r="H48" s="10" t="s">
        <v>19</v>
      </c>
      <c r="I48" s="5">
        <v>10.85</v>
      </c>
      <c r="J48" s="10">
        <v>2.3041474654377891E-2</v>
      </c>
      <c r="K48" s="5">
        <v>10.96575</v>
      </c>
      <c r="L48" s="10">
        <v>1.22426646604199E-2</v>
      </c>
      <c r="M48" s="5">
        <v>10.767749999999998</v>
      </c>
      <c r="N48" s="10">
        <v>3.0856028418193349E-2</v>
      </c>
      <c r="O48" s="5">
        <v>11.1</v>
      </c>
      <c r="P48" s="10">
        <v>0</v>
      </c>
      <c r="Q48" s="5">
        <v>9.6999999999999993</v>
      </c>
      <c r="R48" s="10">
        <v>0.14432989690721665</v>
      </c>
      <c r="S48" s="5">
        <v>8.0000000000000004E-4</v>
      </c>
      <c r="T48" s="5" t="s">
        <v>165</v>
      </c>
    </row>
    <row r="49" spans="1:20">
      <c r="A49" s="2" t="s">
        <v>80</v>
      </c>
      <c r="B49" s="2" t="s">
        <v>136</v>
      </c>
      <c r="C49" s="6">
        <v>11.33</v>
      </c>
      <c r="D49" s="6">
        <v>0</v>
      </c>
      <c r="E49" s="15">
        <v>8.9999999999999998E-4</v>
      </c>
      <c r="F49" s="6">
        <v>11.33</v>
      </c>
      <c r="G49" s="6"/>
      <c r="H49" s="11" t="s">
        <v>19</v>
      </c>
      <c r="I49" s="6">
        <v>11.03</v>
      </c>
      <c r="J49" s="11">
        <v>2.7198549410698103E-2</v>
      </c>
      <c r="K49" s="6">
        <v>11.172250000000002</v>
      </c>
      <c r="L49" s="11">
        <v>1.4119805768757265E-2</v>
      </c>
      <c r="M49" s="6">
        <v>10.945333333333332</v>
      </c>
      <c r="N49" s="11">
        <v>3.5144353758070457E-2</v>
      </c>
      <c r="O49" s="6">
        <v>11.33</v>
      </c>
      <c r="P49" s="11">
        <v>0</v>
      </c>
      <c r="Q49" s="6">
        <v>9.65</v>
      </c>
      <c r="R49" s="11">
        <v>0.17409326424870453</v>
      </c>
      <c r="S49" s="6">
        <v>8.0000000000000004E-4</v>
      </c>
      <c r="T49" s="6" t="s">
        <v>165</v>
      </c>
    </row>
    <row r="50" spans="1:20">
      <c r="A50" s="1" t="s">
        <v>81</v>
      </c>
      <c r="B50" s="1" t="s">
        <v>137</v>
      </c>
      <c r="C50" s="5">
        <v>11.43</v>
      </c>
      <c r="D50" s="5">
        <v>0</v>
      </c>
      <c r="E50" s="14">
        <v>8.9999999999999998E-4</v>
      </c>
      <c r="F50" s="5">
        <v>11.43</v>
      </c>
      <c r="G50" s="5"/>
      <c r="H50" s="10" t="s">
        <v>19</v>
      </c>
      <c r="I50" s="5">
        <v>11.1</v>
      </c>
      <c r="J50" s="10">
        <v>2.9729729729729648E-2</v>
      </c>
      <c r="K50" s="5">
        <v>11.2575</v>
      </c>
      <c r="L50" s="10">
        <v>1.5323117921385743E-2</v>
      </c>
      <c r="M50" s="5">
        <v>11.01658333333333</v>
      </c>
      <c r="N50" s="10">
        <v>3.7526758901353485E-2</v>
      </c>
      <c r="O50" s="5">
        <v>11.43</v>
      </c>
      <c r="P50" s="10">
        <v>0</v>
      </c>
      <c r="Q50" s="5">
        <v>9.6199999999999992</v>
      </c>
      <c r="R50" s="10">
        <v>0.18814968814968824</v>
      </c>
      <c r="S50" s="5">
        <v>8.0000000000000004E-4</v>
      </c>
      <c r="T50" s="5" t="s">
        <v>165</v>
      </c>
    </row>
    <row r="51" spans="1:20">
      <c r="A51" s="2" t="s">
        <v>82</v>
      </c>
      <c r="B51" s="2" t="s">
        <v>138</v>
      </c>
      <c r="C51" s="6">
        <v>11.49</v>
      </c>
      <c r="D51" s="6">
        <v>0</v>
      </c>
      <c r="E51" s="15">
        <v>8.9999999999999998E-4</v>
      </c>
      <c r="F51" s="6">
        <v>11.49</v>
      </c>
      <c r="G51" s="6"/>
      <c r="H51" s="11" t="s">
        <v>19</v>
      </c>
      <c r="I51" s="6">
        <v>11.15</v>
      </c>
      <c r="J51" s="11">
        <v>3.0493273542600896E-2</v>
      </c>
      <c r="K51" s="6">
        <v>11.310500000000001</v>
      </c>
      <c r="L51" s="11">
        <v>1.587020909774095E-2</v>
      </c>
      <c r="M51" s="6">
        <v>11.061666666666673</v>
      </c>
      <c r="N51" s="11">
        <v>3.872231429862838E-2</v>
      </c>
      <c r="O51" s="6">
        <v>11.49</v>
      </c>
      <c r="P51" s="11">
        <v>0</v>
      </c>
      <c r="Q51" s="6">
        <v>9.61</v>
      </c>
      <c r="R51" s="11">
        <v>0.19562955254942782</v>
      </c>
      <c r="S51" s="6">
        <v>8.0000000000000004E-4</v>
      </c>
      <c r="T51" s="6" t="s">
        <v>165</v>
      </c>
    </row>
    <row r="52" spans="1:20">
      <c r="A52" s="1" t="s">
        <v>83</v>
      </c>
      <c r="B52" s="1" t="s">
        <v>139</v>
      </c>
      <c r="C52" s="5">
        <v>12.91</v>
      </c>
      <c r="D52" s="5"/>
      <c r="E52" s="14">
        <v>8.0000000000000004E-4</v>
      </c>
      <c r="F52" s="5"/>
      <c r="G52" s="5"/>
      <c r="H52" s="10" t="s">
        <v>19</v>
      </c>
      <c r="I52" s="5"/>
      <c r="J52" s="10"/>
      <c r="K52" s="5"/>
      <c r="L52" s="10"/>
      <c r="M52" s="5"/>
      <c r="N52" s="10"/>
      <c r="O52" s="5"/>
      <c r="P52" s="10"/>
      <c r="Q52" s="5"/>
      <c r="R52" s="10"/>
      <c r="S52" s="5">
        <v>5.4000000000000003E-3</v>
      </c>
      <c r="T52" s="5" t="s">
        <v>165</v>
      </c>
    </row>
    <row r="53" spans="1:20">
      <c r="A53" s="2" t="s">
        <v>84</v>
      </c>
      <c r="B53" s="2" t="s">
        <v>140</v>
      </c>
      <c r="C53" s="6">
        <v>15.71</v>
      </c>
      <c r="D53" s="6">
        <v>0</v>
      </c>
      <c r="E53" s="15">
        <v>5.9999999999999995E-4</v>
      </c>
      <c r="F53" s="6">
        <v>15.71</v>
      </c>
      <c r="G53" s="6"/>
      <c r="H53" s="11" t="s">
        <v>19</v>
      </c>
      <c r="I53" s="6">
        <v>15.47</v>
      </c>
      <c r="J53" s="11">
        <v>1.5513897866838988E-2</v>
      </c>
      <c r="K53" s="6">
        <v>15.572000000000003</v>
      </c>
      <c r="L53" s="11">
        <v>8.8620601078859274E-3</v>
      </c>
      <c r="M53" s="6">
        <v>15.425666666666668</v>
      </c>
      <c r="N53" s="11">
        <v>1.8432482658772065E-2</v>
      </c>
      <c r="O53" s="6">
        <v>15.71</v>
      </c>
      <c r="P53" s="11">
        <v>0</v>
      </c>
      <c r="Q53" s="6">
        <v>14.64</v>
      </c>
      <c r="R53" s="11">
        <v>7.3087431693989124E-2</v>
      </c>
      <c r="S53" s="6">
        <v>5.4000000000000003E-3</v>
      </c>
      <c r="T53" s="6" t="s">
        <v>165</v>
      </c>
    </row>
    <row r="54" spans="1:20">
      <c r="A54" s="1" t="s">
        <v>85</v>
      </c>
      <c r="B54" s="1" t="s">
        <v>141</v>
      </c>
      <c r="C54" s="5">
        <v>17.850000000000001</v>
      </c>
      <c r="D54" s="5">
        <v>0</v>
      </c>
      <c r="E54" s="14">
        <v>5.9999999999999995E-4</v>
      </c>
      <c r="F54" s="5">
        <v>17.850000000000001</v>
      </c>
      <c r="G54" s="5"/>
      <c r="H54" s="10" t="s">
        <v>19</v>
      </c>
      <c r="I54" s="5">
        <v>17.48</v>
      </c>
      <c r="J54" s="10">
        <v>2.1167048054919979E-2</v>
      </c>
      <c r="K54" s="5">
        <v>17.647000100000007</v>
      </c>
      <c r="L54" s="10">
        <v>1.1503365946033739E-2</v>
      </c>
      <c r="M54" s="5">
        <v>17.420749949999998</v>
      </c>
      <c r="N54" s="10">
        <v>2.4640159076504187E-2</v>
      </c>
      <c r="O54" s="5">
        <v>17.860001</v>
      </c>
      <c r="P54" s="10">
        <v>-5.5996637402200289E-4</v>
      </c>
      <c r="Q54" s="5">
        <v>16.280001000000002</v>
      </c>
      <c r="R54" s="10">
        <v>9.643727908861921E-2</v>
      </c>
      <c r="S54" s="5">
        <v>5.4000000000000003E-3</v>
      </c>
      <c r="T54" s="5" t="s">
        <v>165</v>
      </c>
    </row>
    <row r="55" spans="1:20">
      <c r="A55" s="2" t="s">
        <v>86</v>
      </c>
      <c r="B55" s="2" t="s">
        <v>142</v>
      </c>
      <c r="C55" s="6">
        <v>21.12</v>
      </c>
      <c r="D55" s="6">
        <v>-1.0000000010279564E-6</v>
      </c>
      <c r="E55" s="15">
        <v>8.9999999999999998E-4</v>
      </c>
      <c r="F55" s="6">
        <v>21.120001000000002</v>
      </c>
      <c r="G55" s="6"/>
      <c r="H55" s="11" t="s">
        <v>19</v>
      </c>
      <c r="I55" s="6">
        <v>20.59</v>
      </c>
      <c r="J55" s="11">
        <v>2.574065080136001E-2</v>
      </c>
      <c r="K55" s="6">
        <v>20.829499925</v>
      </c>
      <c r="L55" s="11">
        <v>1.39465698190544E-2</v>
      </c>
      <c r="M55" s="6">
        <v>20.495333283333345</v>
      </c>
      <c r="N55" s="11">
        <v>3.0478485420611934E-2</v>
      </c>
      <c r="O55" s="6">
        <v>21.139999</v>
      </c>
      <c r="P55" s="11">
        <v>-9.4602653481667964E-4</v>
      </c>
      <c r="Q55" s="6">
        <v>18.559998999999998</v>
      </c>
      <c r="R55" s="11">
        <v>0.13793109579370144</v>
      </c>
      <c r="S55" s="6">
        <v>5.4000000000000003E-3</v>
      </c>
      <c r="T55" s="6" t="s">
        <v>165</v>
      </c>
    </row>
    <row r="56" spans="1:20">
      <c r="A56" s="1" t="s">
        <v>87</v>
      </c>
      <c r="B56" s="1" t="s">
        <v>143</v>
      </c>
      <c r="C56" s="5">
        <v>12.16</v>
      </c>
      <c r="D56" s="5"/>
      <c r="E56" s="14">
        <v>8.0000000000000004E-4</v>
      </c>
      <c r="F56" s="5"/>
      <c r="G56" s="5"/>
      <c r="H56" s="10" t="s">
        <v>19</v>
      </c>
      <c r="I56" s="5"/>
      <c r="J56" s="10"/>
      <c r="K56" s="5"/>
      <c r="L56" s="10"/>
      <c r="M56" s="5"/>
      <c r="N56" s="10"/>
      <c r="O56" s="5"/>
      <c r="P56" s="10"/>
      <c r="Q56" s="5"/>
      <c r="R56" s="10"/>
      <c r="S56" s="5">
        <v>5.4000000000000003E-3</v>
      </c>
      <c r="T56" s="5" t="s">
        <v>165</v>
      </c>
    </row>
    <row r="57" spans="1:20">
      <c r="A57" s="2" t="s">
        <v>88</v>
      </c>
      <c r="B57" s="2" t="s">
        <v>144</v>
      </c>
      <c r="C57" s="6">
        <v>11.08</v>
      </c>
      <c r="D57" s="6">
        <v>0</v>
      </c>
      <c r="E57" s="15">
        <v>8.9999999999999998E-4</v>
      </c>
      <c r="F57" s="6">
        <v>11.08</v>
      </c>
      <c r="G57" s="6"/>
      <c r="H57" s="11" t="s">
        <v>19</v>
      </c>
      <c r="I57" s="6">
        <v>10.97</v>
      </c>
      <c r="J57" s="11">
        <v>1.0027347310847645E-2</v>
      </c>
      <c r="K57" s="6">
        <v>11.010999999999997</v>
      </c>
      <c r="L57" s="11">
        <v>6.2664608119156195E-3</v>
      </c>
      <c r="M57" s="6">
        <v>10.932166666666669</v>
      </c>
      <c r="N57" s="11">
        <v>1.3522784443461777E-2</v>
      </c>
      <c r="O57" s="6">
        <v>11.17</v>
      </c>
      <c r="P57" s="11">
        <v>-8.0572963294538447E-3</v>
      </c>
      <c r="Q57" s="6">
        <v>10.58</v>
      </c>
      <c r="R57" s="11">
        <v>4.7258979206049156E-2</v>
      </c>
      <c r="S57" s="6">
        <v>5.4000000000000003E-3</v>
      </c>
      <c r="T57" s="6" t="s">
        <v>165</v>
      </c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phoneticPr fontId="5" type="noConversion"/>
  <conditionalFormatting sqref="J2:J60 L2:L60 N2:N60">
    <cfRule type="cellIs" dxfId="4" priority="7" operator="lessThan">
      <formula>-0.02</formula>
    </cfRule>
  </conditionalFormatting>
  <conditionalFormatting sqref="P2:P60">
    <cfRule type="cellIs" dxfId="3" priority="5" operator="between">
      <formula>-0.05</formula>
      <formula>0.05</formula>
    </cfRule>
  </conditionalFormatting>
  <conditionalFormatting sqref="H2:H60">
    <cfRule type="cellIs" dxfId="2" priority="3" operator="between">
      <formula>0</formula>
      <formula>0.05</formula>
    </cfRule>
    <cfRule type="cellIs" dxfId="1" priority="4" operator="between">
      <formula>-0.05</formula>
      <formula>0</formula>
    </cfRule>
  </conditionalFormatting>
  <conditionalFormatting sqref="R2:R60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Plot</vt:lpstr>
      <vt:lpstr>MyHoldings</vt:lpstr>
      <vt:lpstr>Optimum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2017-09-15T20:31:47Z</dcterms:modified>
</cp:coreProperties>
</file>