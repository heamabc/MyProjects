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ctrlProps/ctrlProp12.xml" ContentType="application/vnd.ms-excel.controlproperties+xml"/>
  <Override PartName="/xl/drawings/drawing14.xml" ContentType="application/vnd.openxmlformats-officedocument.drawing+xml"/>
  <Override PartName="/xl/ctrlProps/ctrlProp13.xml" ContentType="application/vnd.ms-excel.controlproperties+xml"/>
  <Override PartName="/xl/drawings/drawing15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wang\Desktop\Download\GitHub\MyProjects\InvestExcel\ETFs\"/>
    </mc:Choice>
  </mc:AlternateContent>
  <bookViews>
    <workbookView xWindow="25005" yWindow="45" windowWidth="25080" windowHeight="11310" tabRatio="800" activeTab="4"/>
  </bookViews>
  <sheets>
    <sheet name="Plot" sheetId="11" r:id="rId1"/>
    <sheet name="MyHoldings" sheetId="15" r:id="rId2"/>
    <sheet name="T_Equity" sheetId="4" r:id="rId3"/>
    <sheet name="T_Bond" sheetId="16" r:id="rId4"/>
    <sheet name="T_Intl" sheetId="17" r:id="rId5"/>
    <sheet name="T_Com" sheetId="18" r:id="rId6"/>
    <sheet name="F_Fidelity" sheetId="19" r:id="rId7"/>
    <sheet name="F_iShareEq" sheetId="20" r:id="rId8"/>
    <sheet name="F_iShareFI" sheetId="21" r:id="rId9"/>
    <sheet name="E_DmStk" sheetId="22" r:id="rId10"/>
    <sheet name="E_IntlStk" sheetId="23" r:id="rId11"/>
    <sheet name="E_FI" sheetId="24" r:id="rId12"/>
    <sheet name="E_BAL" sheetId="25" r:id="rId13"/>
    <sheet name="E_Sector" sheetId="26" r:id="rId14"/>
    <sheet name="E_ALT" sheetId="27" r:id="rId15"/>
  </sheets>
  <functionGroups builtInGroupCount="18"/>
  <definedNames>
    <definedName name="_xlnm._FilterDatabase" localSheetId="14" hidden="1">E_ALT!$A$1:$A$41</definedName>
    <definedName name="_xlnm._FilterDatabase" localSheetId="12" hidden="1">E_BAL!$A$1:$A$41</definedName>
    <definedName name="_xlnm._FilterDatabase" localSheetId="9" hidden="1">E_DmStk!$A$1:$A$41</definedName>
    <definedName name="_xlnm._FilterDatabase" localSheetId="11" hidden="1">E_FI!$A$1:$A$41</definedName>
    <definedName name="_xlnm._FilterDatabase" localSheetId="10" hidden="1">E_IntlStk!$A$1:$A$41</definedName>
    <definedName name="_xlnm._FilterDatabase" localSheetId="13" hidden="1">E_Sector!$A$1:$A$41</definedName>
    <definedName name="_xlnm._FilterDatabase" localSheetId="6" hidden="1">F_Fidelity!$A$1:$A$41</definedName>
    <definedName name="_xlnm._FilterDatabase" localSheetId="7" hidden="1">F_iShareEq!$A$1:$A$41</definedName>
    <definedName name="_xlnm._FilterDatabase" localSheetId="8" hidden="1">F_iShareFI!$A$1:$A$41</definedName>
    <definedName name="_xlnm._FilterDatabase" localSheetId="1" hidden="1">MyHoldings!$A$1:$A$43</definedName>
    <definedName name="_xlnm._FilterDatabase" localSheetId="3" hidden="1">T_Bond!$A$1:$A$41</definedName>
    <definedName name="_xlnm._FilterDatabase" localSheetId="5" hidden="1">T_Com!$A$1:$A$41</definedName>
    <definedName name="_xlnm._FilterDatabase" localSheetId="2" hidden="1">T_Equity!$A$1:$A$41</definedName>
    <definedName name="_xlnm._FilterDatabase" localSheetId="4" hidden="1">T_Intl!$A$1:$A$41</definedName>
  </definedNames>
  <calcPr calcId="171027" concurrentCalc="0"/>
  <extLst>
    <ext xmlns:x14="http://schemas.microsoft.com/office/spreadsheetml/2009/9/main" uri="{8193D73E-4604-4355-AFF4-8A2333D13BE4}">
      <x14:definedNames>
        <x14:definedName name="myplo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plot_candlesti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U3" i="15" l="1"/>
  <c r="U4" i="15"/>
  <c r="U5" i="15"/>
  <c r="U6" i="15"/>
  <c r="U7" i="15"/>
  <c r="U2" i="15"/>
  <c r="B3" i="11"/>
  <c r="V7" i="15"/>
  <c r="V6" i="15"/>
  <c r="V3" i="15"/>
  <c r="V4" i="15"/>
  <c r="V5" i="15"/>
  <c r="V2" i="15"/>
</calcChain>
</file>

<file path=xl/sharedStrings.xml><?xml version="1.0" encoding="utf-8"?>
<sst xmlns="http://schemas.openxmlformats.org/spreadsheetml/2006/main" count="1684" uniqueCount="804">
  <si>
    <t>FENY</t>
  </si>
  <si>
    <t>CEO</t>
  </si>
  <si>
    <t>Ticker</t>
  </si>
  <si>
    <t>Name</t>
  </si>
  <si>
    <t>Fidelity MSCI Energy Index ETF</t>
  </si>
  <si>
    <t>LastPrice</t>
  </si>
  <si>
    <t>CHG</t>
  </si>
  <si>
    <t>CHG%</t>
  </si>
  <si>
    <t>PrevClose</t>
  </si>
  <si>
    <t>Avg20D</t>
  </si>
  <si>
    <t>Avg40D</t>
  </si>
  <si>
    <t>Avg120D</t>
  </si>
  <si>
    <t>Max52W</t>
  </si>
  <si>
    <t>Min52W</t>
  </si>
  <si>
    <t>TargetPrice</t>
  </si>
  <si>
    <t>DistToTarget</t>
  </si>
  <si>
    <t>DistToAvg20D</t>
  </si>
  <si>
    <t>DistToAvg40D</t>
  </si>
  <si>
    <t>DistToAvg120D</t>
  </si>
  <si>
    <t>DistToMax52W</t>
  </si>
  <si>
    <t>DistToMin52W</t>
  </si>
  <si>
    <t>N/A</t>
  </si>
  <si>
    <t>BND</t>
  </si>
  <si>
    <t>VTI</t>
  </si>
  <si>
    <t>VT</t>
  </si>
  <si>
    <t>VCSH</t>
  </si>
  <si>
    <t>VGSH</t>
  </si>
  <si>
    <t>SHY</t>
  </si>
  <si>
    <t>DBC</t>
  </si>
  <si>
    <t>iShares MSCI Japan ETF</t>
  </si>
  <si>
    <t>SCZ</t>
  </si>
  <si>
    <t>AGG</t>
  </si>
  <si>
    <t>iShares MSCI EAFE Small-Cap ETF</t>
  </si>
  <si>
    <t>EWZ</t>
  </si>
  <si>
    <t>Weeks =</t>
  </si>
  <si>
    <t>Ticker =</t>
  </si>
  <si>
    <t>Plot</t>
  </si>
  <si>
    <t>Complete!</t>
  </si>
  <si>
    <t>BLV</t>
  </si>
  <si>
    <t>VGLT</t>
  </si>
  <si>
    <t>TLT</t>
  </si>
  <si>
    <t>EDV</t>
  </si>
  <si>
    <t xml:space="preserve">Pull Data: </t>
  </si>
  <si>
    <t>Shares</t>
  </si>
  <si>
    <t>Total Cost</t>
  </si>
  <si>
    <t>Cost Per Share</t>
  </si>
  <si>
    <t>Ret ex Div</t>
  </si>
  <si>
    <t>IVV</t>
  </si>
  <si>
    <t>VO</t>
  </si>
  <si>
    <t>VTV</t>
  </si>
  <si>
    <t>VB</t>
  </si>
  <si>
    <t>VUG</t>
  </si>
  <si>
    <t>VOT</t>
  </si>
  <si>
    <t>VBR</t>
  </si>
  <si>
    <t>IJH</t>
  </si>
  <si>
    <t>VBK</t>
  </si>
  <si>
    <t>MGK</t>
  </si>
  <si>
    <t>VOE</t>
  </si>
  <si>
    <t>IJR</t>
  </si>
  <si>
    <t>VXF</t>
  </si>
  <si>
    <t>IWB</t>
  </si>
  <si>
    <t>IVE</t>
  </si>
  <si>
    <t>OEF</t>
  </si>
  <si>
    <t>IWV</t>
  </si>
  <si>
    <t>IWD</t>
  </si>
  <si>
    <t>IWF</t>
  </si>
  <si>
    <t>IWO</t>
  </si>
  <si>
    <t>IWN</t>
  </si>
  <si>
    <t>iShares Core S&amp;P 500 ETF</t>
  </si>
  <si>
    <t>Vanguard Total Stock Market Index Fund ETF Shares</t>
  </si>
  <si>
    <t>Vanguard Mid-Cap Index Fund ETF Shares</t>
  </si>
  <si>
    <t>Vanguard Value Index Fund ETF Shares</t>
  </si>
  <si>
    <t>Vanguard Small-Cap Index Fund ETF Shares</t>
  </si>
  <si>
    <t>Vanguard Growth Index Fund ETF Shares</t>
  </si>
  <si>
    <t>Vanguard Mid-Cap Growth Index Fund ETF Shares</t>
  </si>
  <si>
    <t>Vanguard Small-Cap Value Index Fund ETF Shares</t>
  </si>
  <si>
    <t>iShares Core S&amp;P Mid-Cap ETF</t>
  </si>
  <si>
    <t>Vanguard Small-Cap Growth Index Fund ETF Shares</t>
  </si>
  <si>
    <t>Vanguard Mega Cap Growth Index Fund ETF Shares</t>
  </si>
  <si>
    <t>Vanguard Mid-Cap Value Index Fund ETF Shares</t>
  </si>
  <si>
    <t>iShares Core S&amp;P Small-Cap ETF</t>
  </si>
  <si>
    <t>Vanguard Dividend Appreciation Index Fund ETF Shares</t>
  </si>
  <si>
    <t>Vanguard High Dividend Yield Index Fund ETF Shares</t>
  </si>
  <si>
    <t>Vanguard Extended Market Index Fund ETF Shares</t>
  </si>
  <si>
    <t>Vanguard REIT Index Fund ETF Shares</t>
  </si>
  <si>
    <t>iShares Russell 1000 ETF</t>
  </si>
  <si>
    <t>iShares S&amp;P 500 Value ETF</t>
  </si>
  <si>
    <t>iShares S&amp;P 100 ETF</t>
  </si>
  <si>
    <t>iShares Russell 3000 ETF</t>
  </si>
  <si>
    <t>iShares Russell 1000 Value ETF</t>
  </si>
  <si>
    <t>iShares Russell 1000 Growth ETF</t>
  </si>
  <si>
    <t>iShares Russell 2000 Growth ETF</t>
  </si>
  <si>
    <t>iShares Russell 2000 Value ETF</t>
  </si>
  <si>
    <t>IWP</t>
  </si>
  <si>
    <t>IWS</t>
  </si>
  <si>
    <t>IJS</t>
  </si>
  <si>
    <t>RWR</t>
  </si>
  <si>
    <t>AOA</t>
  </si>
  <si>
    <t>AOR</t>
  </si>
  <si>
    <t>AOM</t>
  </si>
  <si>
    <t>AOK</t>
  </si>
  <si>
    <t>EWI</t>
  </si>
  <si>
    <t>RWO</t>
  </si>
  <si>
    <t>EMLC</t>
  </si>
  <si>
    <t>iShares Russell Mid-Cap Growth ETF</t>
  </si>
  <si>
    <t>iShares Russell Mid-Cap Value ETF</t>
  </si>
  <si>
    <t>iShares S&amp;P Small-Cap 600 Value ETF</t>
  </si>
  <si>
    <t>SPDRÂ® Dow Jones REIT ETF</t>
  </si>
  <si>
    <t>iShares Core Aggressive Allocation ETF</t>
  </si>
  <si>
    <t>iShares Core Growth Allocation ETF</t>
  </si>
  <si>
    <t>iShares Core Moderate Allocation ETF</t>
  </si>
  <si>
    <t>iShares Core Conservative Allocation ETF</t>
  </si>
  <si>
    <t>iShares MSCI Italy Capped ETF</t>
  </si>
  <si>
    <t>SPDRÂ® Dow Jones Global Real Estate ETF</t>
  </si>
  <si>
    <t>VanEck Vectors J.P. Morgan EM Local Currency Bond ETF</t>
  </si>
  <si>
    <t>Expense Ratio</t>
  </si>
  <si>
    <t>Category</t>
  </si>
  <si>
    <t>Large Blend</t>
  </si>
  <si>
    <t>Mid-Cap Blend</t>
  </si>
  <si>
    <t>Large Value</t>
  </si>
  <si>
    <t>Small Blend</t>
  </si>
  <si>
    <t>Large Growth</t>
  </si>
  <si>
    <t>Mid-Cap Growth</t>
  </si>
  <si>
    <t>Small Value</t>
  </si>
  <si>
    <t>Small Growth</t>
  </si>
  <si>
    <t>Mid-Cap Value</t>
  </si>
  <si>
    <t>Real Estate</t>
  </si>
  <si>
    <t>Allocation--70% to 85% Equity</t>
  </si>
  <si>
    <t>Allocation--50% to 70% Equity</t>
  </si>
  <si>
    <t>Allocation--30% to 50% Equity</t>
  </si>
  <si>
    <t>Miscellaneous Region</t>
  </si>
  <si>
    <t>Global Real Estate</t>
  </si>
  <si>
    <t>Emerging-Markets Local-Currency Bond</t>
  </si>
  <si>
    <t>VMBS</t>
  </si>
  <si>
    <t>VGIT</t>
  </si>
  <si>
    <t>VCLT</t>
  </si>
  <si>
    <t>VCIT</t>
  </si>
  <si>
    <t>MBB</t>
  </si>
  <si>
    <t>LQD</t>
  </si>
  <si>
    <t>CIU</t>
  </si>
  <si>
    <t>ITM</t>
  </si>
  <si>
    <t>JNK</t>
  </si>
  <si>
    <t>WIP</t>
  </si>
  <si>
    <t>BWX</t>
  </si>
  <si>
    <t>DBV</t>
  </si>
  <si>
    <t>Vanguard Total Bond Market Index Fund ETF Shares</t>
  </si>
  <si>
    <t>iShares Core U.S. Aggregate Bond ETF</t>
  </si>
  <si>
    <t>Vanguard Mortgage-Backed Securities Index Fund ETF Shares</t>
  </si>
  <si>
    <t>Vanguard Short-Term Government Bond Index Fund ETF Shares</t>
  </si>
  <si>
    <t>Vanguard Long-Term Government Bond Index Fund ETF Shares</t>
  </si>
  <si>
    <t>Vanguard Intermediate-Term Government Bond Index Fund ETF Shares</t>
  </si>
  <si>
    <t>Vanguard Short-Term Corporate Bond Index Fund ETF Shares</t>
  </si>
  <si>
    <t>Vanguard Long-Term Corporate Bond Index Fund ETF Shares</t>
  </si>
  <si>
    <t>Vanguard Intermediate-Term Corporate Bond Index Fund ETF Shares</t>
  </si>
  <si>
    <t>Vanguard Extended Duration Treasury Index Fund ETF Shares</t>
  </si>
  <si>
    <t>Vanguard Short-Term Bond Index Fund ETF Shares</t>
  </si>
  <si>
    <t>Vanguard Long-Term Bond Index Fund ETF Shares</t>
  </si>
  <si>
    <t>Vanguard Intermediate-Term Bond Index Fund ETF Shares</t>
  </si>
  <si>
    <t>iShares MBS ETF</t>
  </si>
  <si>
    <t>iShares iBoxx $ Investment Grade Corporate Bond ETF</t>
  </si>
  <si>
    <t>iShares 3-7 Year Treasury Bond ETF</t>
  </si>
  <si>
    <t>iShares 20+ Year Treasury Bond ETF</t>
  </si>
  <si>
    <t>iShares 1-3 Year Treasury Bond ETF</t>
  </si>
  <si>
    <t>iShares Intermediate Credit Bond ETF</t>
  </si>
  <si>
    <t>PIMCO 1-5 Year U.S. TIPS Index Exchange-Traded Fund</t>
  </si>
  <si>
    <t>iShares TIPS Bond ETF</t>
  </si>
  <si>
    <t>iShares Intermediate Government/Credit Bond ETF</t>
  </si>
  <si>
    <t>iShares 1-3 Year Credit Bond ETF</t>
  </si>
  <si>
    <t>SPDRÂ® Nuveen Bloomberg Barclays Short Term Municipal Bond ETF</t>
  </si>
  <si>
    <t>VanEck Vectors AMT-Free Intermediate Municipal Index ETF</t>
  </si>
  <si>
    <t>iShares National Muni Bond ETF</t>
  </si>
  <si>
    <t>SPDRÂ® Nuveen Bloomberg Barclays Municipal Bond ETF</t>
  </si>
  <si>
    <t>SPDRÂ® Bloomberg Barclays High Yield Bond ETF</t>
  </si>
  <si>
    <t>SPDRÂ® Citi International Government Inflation-Protected Bond ETF</t>
  </si>
  <si>
    <t>SPDRÂ® Bloomberg Barclays International Treasury Bond ETF</t>
  </si>
  <si>
    <t>PowerShares Emerging Markets Sovereign Debt Portfolio</t>
  </si>
  <si>
    <t>PowerShares DB G10 Currency Harvest Fund</t>
  </si>
  <si>
    <t>Intermediate-Term Bond</t>
  </si>
  <si>
    <t>Intermediate Government</t>
  </si>
  <si>
    <t>Short Government</t>
  </si>
  <si>
    <t>Long Government</t>
  </si>
  <si>
    <t>Short-Term Bond</t>
  </si>
  <si>
    <t>Corporate Bond</t>
  </si>
  <si>
    <t>Long-Term Bond</t>
  </si>
  <si>
    <t>Inflation-Protected Bond</t>
  </si>
  <si>
    <t>Muni National Short</t>
  </si>
  <si>
    <t>Muni National Interm</t>
  </si>
  <si>
    <t>Muni National Long</t>
  </si>
  <si>
    <t>High Yield Bond</t>
  </si>
  <si>
    <t>World Bond</t>
  </si>
  <si>
    <t>Emerging Markets Bond</t>
  </si>
  <si>
    <t>Multicurrency</t>
  </si>
  <si>
    <t>VEA</t>
  </si>
  <si>
    <t>VGK</t>
  </si>
  <si>
    <t>VEU</t>
  </si>
  <si>
    <t>VSS</t>
  </si>
  <si>
    <t>FEZ</t>
  </si>
  <si>
    <t>ACWI</t>
  </si>
  <si>
    <t>EFG</t>
  </si>
  <si>
    <t>EFV</t>
  </si>
  <si>
    <t>IOO</t>
  </si>
  <si>
    <t>EWU</t>
  </si>
  <si>
    <t>EWC</t>
  </si>
  <si>
    <t>EWG</t>
  </si>
  <si>
    <t>EWP</t>
  </si>
  <si>
    <t>EWQ</t>
  </si>
  <si>
    <t>ILF</t>
  </si>
  <si>
    <t>RWX</t>
  </si>
  <si>
    <t>EWX</t>
  </si>
  <si>
    <t>BKF</t>
  </si>
  <si>
    <t>AAXJ</t>
  </si>
  <si>
    <t>RSX</t>
  </si>
  <si>
    <t>EPI</t>
  </si>
  <si>
    <t>Vanguard FTSE Developed Markets Index Fund ETF Shares</t>
  </si>
  <si>
    <t>Vanguard FTSE Europe Index Fund ETF Shares</t>
  </si>
  <si>
    <t>Vanguard Total World Stock Index Fund ETF Shares</t>
  </si>
  <si>
    <t>Vanguard FTSE All-World ex-US Index Fund ETF Shares</t>
  </si>
  <si>
    <t>Vanguard FTSE All-World ex-US Small-Cap Index Fund ETF Shares</t>
  </si>
  <si>
    <t>Vanguard FTSE Emerging Markets Index Fund ETF Shares</t>
  </si>
  <si>
    <t>SPDRÂ® EURO STOXX 50 ETF</t>
  </si>
  <si>
    <t>iShares MSCI ACWI ETF</t>
  </si>
  <si>
    <t>iShares MSCI EAFE Growth ETF</t>
  </si>
  <si>
    <t>iShares MSCI EAFE Value ETF</t>
  </si>
  <si>
    <t>iShares Global 100 ETF</t>
  </si>
  <si>
    <t>iShares MSCI United Kingdom ETF</t>
  </si>
  <si>
    <t>iShares MSCI Australia ETF</t>
  </si>
  <si>
    <t>iShares MSCI Canada ETF</t>
  </si>
  <si>
    <t>iShares MSCI Germany ETF</t>
  </si>
  <si>
    <t>iShares MSCI Spain Capped ETF</t>
  </si>
  <si>
    <t>iShares MSCI France ETF</t>
  </si>
  <si>
    <t>iShares Latin America 40 ETF</t>
  </si>
  <si>
    <t>SPDRÂ® S&amp;P China ETF</t>
  </si>
  <si>
    <t>SPDRÂ® Dow Jones International Real Estate ETF</t>
  </si>
  <si>
    <t>iShares MSCI Brazil Capped ETF</t>
  </si>
  <si>
    <t>SPDRÂ® S&amp;P Emerging Markets Small Cap ETF</t>
  </si>
  <si>
    <t>iShares MSCI BRIC ETF</t>
  </si>
  <si>
    <t>iShares MSCI All Country Asia ex Japan ETF</t>
  </si>
  <si>
    <t>iShares China Large-Cap ETF</t>
  </si>
  <si>
    <t>VanEck Vectors Russia ETF</t>
  </si>
  <si>
    <t>WisdomTree India Earnings Fund</t>
  </si>
  <si>
    <t>Foreign Large Blend</t>
  </si>
  <si>
    <t>Europe Stock</t>
  </si>
  <si>
    <t>World Large Stock</t>
  </si>
  <si>
    <t>Foreign Small/Mid Blend</t>
  </si>
  <si>
    <t>Diversified Emerging Mkts</t>
  </si>
  <si>
    <t>Foreign Large Growth</t>
  </si>
  <si>
    <t>Foreign Large Value</t>
  </si>
  <si>
    <t>Japan Stock</t>
  </si>
  <si>
    <t>Latin America Stock</t>
  </si>
  <si>
    <t>China Region</t>
  </si>
  <si>
    <t>Pacific/Asia ex-Japan Stk</t>
  </si>
  <si>
    <t>India Equity</t>
  </si>
  <si>
    <t>DBO</t>
  </si>
  <si>
    <t>DJP</t>
  </si>
  <si>
    <t>PowerShares DB Commodity Index Tracking Fund</t>
  </si>
  <si>
    <t>PowerShares DB Oil Fund</t>
  </si>
  <si>
    <t>iPathÂ® Bloomberg Commodity Index Total Return(SM) ETN</t>
  </si>
  <si>
    <t>Commodities Broad Basket</t>
  </si>
  <si>
    <t>Commodities Energy</t>
  </si>
  <si>
    <t>FCOM</t>
  </si>
  <si>
    <t>FDIS</t>
  </si>
  <si>
    <t>FHLC</t>
  </si>
  <si>
    <t>FIDU</t>
  </si>
  <si>
    <t>FMAT</t>
  </si>
  <si>
    <t>FNCL</t>
  </si>
  <si>
    <t>FSTA</t>
  </si>
  <si>
    <t>FTEC</t>
  </si>
  <si>
    <t>FUTY</t>
  </si>
  <si>
    <t>FREL</t>
  </si>
  <si>
    <t>ONEQ</t>
  </si>
  <si>
    <t>FDRR</t>
  </si>
  <si>
    <t>FDMO</t>
  </si>
  <si>
    <t>FVAL</t>
  </si>
  <si>
    <t>FQAL</t>
  </si>
  <si>
    <t>FDLO</t>
  </si>
  <si>
    <t>FDVV</t>
  </si>
  <si>
    <t>FBND</t>
  </si>
  <si>
    <t>FCOR</t>
  </si>
  <si>
    <t>FLTB</t>
  </si>
  <si>
    <t>Fidelity MSCI Telecommunication Services Index ETF</t>
  </si>
  <si>
    <t>Fidelity MSCI Consumer Discretionary Index ETF</t>
  </si>
  <si>
    <t>Fidelity MSCI Health Care Index ETF</t>
  </si>
  <si>
    <t>Fidelity MSCI Industrials Index ETF</t>
  </si>
  <si>
    <t>Fidelity MSCI Materials Index ETF</t>
  </si>
  <si>
    <t>Fidelity MSCI Financials Index ETF</t>
  </si>
  <si>
    <t>Fidelity MSCI Consumer Staples Index ETF</t>
  </si>
  <si>
    <t>Fidelity MSCI Information Technology Index ETF</t>
  </si>
  <si>
    <t>Fidelity MSCI Utilities Index ETF</t>
  </si>
  <si>
    <t>Fidelity MSCI Real Estate Index ETF</t>
  </si>
  <si>
    <t>Fidelity NASDAQ Composite Index Track</t>
  </si>
  <si>
    <t>Fidelity Dividend ETF for Rising Rates</t>
  </si>
  <si>
    <t>Fidelity Momentum Factor ETF</t>
  </si>
  <si>
    <t>Fidelity Value Factor ETF</t>
  </si>
  <si>
    <t>Fidelity Quality Factor ETF</t>
  </si>
  <si>
    <t>Fidelity Low Volatility Factor ETF</t>
  </si>
  <si>
    <t>Fidelity Core Dividend ETF</t>
  </si>
  <si>
    <t>Fidelity Total Bond ETF</t>
  </si>
  <si>
    <t>Fidelity Corporate Bond ETF</t>
  </si>
  <si>
    <t>Fidelity Limited Term Bond ETF</t>
  </si>
  <si>
    <t>Telecommunication Services</t>
  </si>
  <si>
    <t>Consumer Discretionary</t>
  </si>
  <si>
    <t>Energy</t>
  </si>
  <si>
    <t>Health Care</t>
  </si>
  <si>
    <t>Industrials</t>
  </si>
  <si>
    <t>Materials</t>
  </si>
  <si>
    <t>Financials</t>
  </si>
  <si>
    <t>Consumer Staples</t>
  </si>
  <si>
    <t>Information Technology</t>
  </si>
  <si>
    <t>Utilities</t>
  </si>
  <si>
    <t>NASDAQ Composite Index</t>
  </si>
  <si>
    <t>Fidelity Dividend Index for Rising Rates</t>
  </si>
  <si>
    <t>Fidelity U.S. Momentum Factor Index</t>
  </si>
  <si>
    <t>Fidelity U.S. Value Factor Index</t>
  </si>
  <si>
    <t>Fidelity U.S. Quality Factor Index</t>
  </si>
  <si>
    <t>Fidelity U.S. Low Volatility Factor Index</t>
  </si>
  <si>
    <t>Fidelity Core Dividend Index</t>
  </si>
  <si>
    <t>Bloomberg Barclays US Aggregate Bond Index</t>
  </si>
  <si>
    <t>Bloomberg Barclays U.S. Credit Bond Index</t>
  </si>
  <si>
    <t>Bloomberg Barclays U.S. Government/Credit 1-5 Year Bond Index</t>
  </si>
  <si>
    <t>ITOT</t>
  </si>
  <si>
    <t>IUSG</t>
  </si>
  <si>
    <t>IUSV</t>
  </si>
  <si>
    <t>HDV</t>
  </si>
  <si>
    <t>DGRO</t>
  </si>
  <si>
    <t>USMV</t>
  </si>
  <si>
    <t>IVW</t>
  </si>
  <si>
    <t>IJK</t>
  </si>
  <si>
    <t>IJJ</t>
  </si>
  <si>
    <t>IJT</t>
  </si>
  <si>
    <t>IWC</t>
  </si>
  <si>
    <t>IXUS</t>
  </si>
  <si>
    <t>ACWV</t>
  </si>
  <si>
    <t>IEFA</t>
  </si>
  <si>
    <t>EFAV</t>
  </si>
  <si>
    <t>IEMG</t>
  </si>
  <si>
    <t>EEMV</t>
  </si>
  <si>
    <t>DVYE</t>
  </si>
  <si>
    <t>EEMS</t>
  </si>
  <si>
    <t>RING</t>
  </si>
  <si>
    <t>SLVP</t>
  </si>
  <si>
    <t>IFGL</t>
  </si>
  <si>
    <t>IEUR</t>
  </si>
  <si>
    <t>IPAC</t>
  </si>
  <si>
    <t>EWJ</t>
  </si>
  <si>
    <t>IDV</t>
  </si>
  <si>
    <t>IEV</t>
  </si>
  <si>
    <t>MCHI</t>
  </si>
  <si>
    <t>FM</t>
  </si>
  <si>
    <t>INDY</t>
  </si>
  <si>
    <t>iShares Core S&amp;P Total U.S. Stock Market ETF</t>
  </si>
  <si>
    <t>iShares Core S&amp;P U.S. Growth ETF</t>
  </si>
  <si>
    <t>iShares Core S&amp;P U.S. Value ETF</t>
  </si>
  <si>
    <t>iShares Core High Dividend ETF</t>
  </si>
  <si>
    <t>iShares Core Dividend Growth ETF</t>
  </si>
  <si>
    <t>iShares Edge MSCI Min Vol USA ETF</t>
  </si>
  <si>
    <t>iShares S&amp;P 500 Growth ETF</t>
  </si>
  <si>
    <t>iShares S&amp;P MidCap 400 Growth ETF</t>
  </si>
  <si>
    <t>iShares S&amp;P MidCap 400 Value ETF</t>
  </si>
  <si>
    <t>iShares S&amp;P SmallCap 600 Growth ETF</t>
  </si>
  <si>
    <t>iShares S&amp;P SmallCap 600 Value ETF</t>
  </si>
  <si>
    <t>iShares Microcap ETF</t>
  </si>
  <si>
    <t>iShares Core MSCI Total International Stock ETF</t>
  </si>
  <si>
    <t>iShares Edge MSCI Min Vol Global ETF</t>
  </si>
  <si>
    <t>iShares Core MSCI EAFE ETF</t>
  </si>
  <si>
    <t>iShares Edge MSCI Min Vol EAFE ETF</t>
  </si>
  <si>
    <t>iShares Core MSCI Emerging Markets ETF</t>
  </si>
  <si>
    <t>iShares Edge MSCI Min Vol Emerging Markets ETF</t>
  </si>
  <si>
    <t>iShares Emerging Markets Dividend ETF</t>
  </si>
  <si>
    <t>iShares MSCI Emerging Markets Small-Cap ETF</t>
  </si>
  <si>
    <t>iShares MSCI Global Gold Miners ETF</t>
  </si>
  <si>
    <t>iShares MSCI Global Silver Miners ETF</t>
  </si>
  <si>
    <t>iShares International Developed Real Estate ETF</t>
  </si>
  <si>
    <t>iShares Core MSCI Europe ETF</t>
  </si>
  <si>
    <t>iShares Core MSCI Pacific ETF</t>
  </si>
  <si>
    <t>iShares Latin American 40 ETF</t>
  </si>
  <si>
    <t>iShares International Select Dividend ETF</t>
  </si>
  <si>
    <t>iShares Europe ETF</t>
  </si>
  <si>
    <t>iShares MSCI China ETF</t>
  </si>
  <si>
    <t>iShares MSCI All Country Asia ex-Japan ETF</t>
  </si>
  <si>
    <t>iShares MSCI Frontier 100 ETF</t>
  </si>
  <si>
    <t>iShares India 50 ETF</t>
  </si>
  <si>
    <t>US Mkt</t>
  </si>
  <si>
    <t>US Large</t>
  </si>
  <si>
    <t>US Growth</t>
  </si>
  <si>
    <t>US Value</t>
  </si>
  <si>
    <t>US Mid</t>
  </si>
  <si>
    <t>US Small</t>
  </si>
  <si>
    <t>US Dividend</t>
  </si>
  <si>
    <t>US Min Vol</t>
  </si>
  <si>
    <t>US Large Growth</t>
  </si>
  <si>
    <t>US Large Value</t>
  </si>
  <si>
    <t>US Mid Growth</t>
  </si>
  <si>
    <t>US Mid Value</t>
  </si>
  <si>
    <t>US Small Growth</t>
  </si>
  <si>
    <t>US Small Value</t>
  </si>
  <si>
    <t>US Micro</t>
  </si>
  <si>
    <t>ACWI ex USA</t>
  </si>
  <si>
    <t>ACWI Min Wol</t>
  </si>
  <si>
    <t>EAFE IMI</t>
  </si>
  <si>
    <t>EAFE Min Vol</t>
  </si>
  <si>
    <t>EAFE Growth</t>
  </si>
  <si>
    <t>EAFE Small</t>
  </si>
  <si>
    <t>EAFE Value</t>
  </si>
  <si>
    <t>Emerging Market IMI</t>
  </si>
  <si>
    <t>Emerging Market Min Vol</t>
  </si>
  <si>
    <t>Emerging Markets Divdend</t>
  </si>
  <si>
    <t>Emerging Markets Small</t>
  </si>
  <si>
    <t>Gold Mining</t>
  </si>
  <si>
    <t>Precious Metals</t>
  </si>
  <si>
    <t>Europe IMI</t>
  </si>
  <si>
    <t>Pacific IMI</t>
  </si>
  <si>
    <t>Japan</t>
  </si>
  <si>
    <t>Latin America</t>
  </si>
  <si>
    <t>EPAC</t>
  </si>
  <si>
    <t>Europe Large</t>
  </si>
  <si>
    <t>China</t>
  </si>
  <si>
    <t>AC Asia ex JP</t>
  </si>
  <si>
    <t>Frontier Markets</t>
  </si>
  <si>
    <t>India</t>
  </si>
  <si>
    <t>STIP</t>
  </si>
  <si>
    <t>IUSB</t>
  </si>
  <si>
    <t>ISTB</t>
  </si>
  <si>
    <t>SLQD</t>
  </si>
  <si>
    <t>ILTB</t>
  </si>
  <si>
    <t>IAGG</t>
  </si>
  <si>
    <t>IEF</t>
  </si>
  <si>
    <t>IEI</t>
  </si>
  <si>
    <t>SHV</t>
  </si>
  <si>
    <t>GOVT</t>
  </si>
  <si>
    <t>GNMA</t>
  </si>
  <si>
    <t>TIP</t>
  </si>
  <si>
    <t>FLOT</t>
  </si>
  <si>
    <t>GVI</t>
  </si>
  <si>
    <t>AGZ</t>
  </si>
  <si>
    <t>MUB</t>
  </si>
  <si>
    <t>SUB</t>
  </si>
  <si>
    <t>CMF</t>
  </si>
  <si>
    <t>NYF</t>
  </si>
  <si>
    <t>SHYG</t>
  </si>
  <si>
    <t>IGOV</t>
  </si>
  <si>
    <t>EMB</t>
  </si>
  <si>
    <t>PFF</t>
  </si>
  <si>
    <t>HYG</t>
  </si>
  <si>
    <t>iShares 0-5 Year TIPS Bond ETF</t>
  </si>
  <si>
    <t>iShares Core Total USD Bond Market ETF</t>
  </si>
  <si>
    <t>iShares Core 1-5 Year USD Bond ETF</t>
  </si>
  <si>
    <t>iShares 0-5 Year Investment Grade Corporate Bond ETF</t>
  </si>
  <si>
    <t>iShares Core 10+ Year USD Bond ETF</t>
  </si>
  <si>
    <t>iShares MBS Bond ETF</t>
  </si>
  <si>
    <t>iShares Core International Aggregate Bond ETF</t>
  </si>
  <si>
    <t>iShares 7-10 Year Treasury Bond ETF</t>
  </si>
  <si>
    <t>iShares Short Treasury Bond ETF</t>
  </si>
  <si>
    <t>iShares U.S. Treasury Bond ETF</t>
  </si>
  <si>
    <t>iShares GNMA Bond ETF</t>
  </si>
  <si>
    <t>iShares Floating Rate Bond ETF</t>
  </si>
  <si>
    <t>iShares Agency Bond ETF</t>
  </si>
  <si>
    <t>iShares National AMT-Free Muni Bond ETF</t>
  </si>
  <si>
    <t>iShares S&amp;P Short Term National AMT-Free Bond ETF</t>
  </si>
  <si>
    <t>iShares California Muni Bond ETF</t>
  </si>
  <si>
    <t>iShares New York AMT-Free Muni Bond ETF</t>
  </si>
  <si>
    <t>iShares 0-5 Year High Yield Corporate Bond ETF</t>
  </si>
  <si>
    <t>iShares International Treasury Bond ETF</t>
  </si>
  <si>
    <t>iShares J.P. Morgan USD Emerging Markets Bond ETF</t>
  </si>
  <si>
    <t>iShares U.S. Preferred Stock ETF</t>
  </si>
  <si>
    <t>iShares iBoxx $ High Yield Corporate Bond ETF</t>
  </si>
  <si>
    <t>Blend</t>
  </si>
  <si>
    <t>Federal/Central Debt</t>
  </si>
  <si>
    <t>Corporate Debt</t>
  </si>
  <si>
    <t>Asset Backed Debt</t>
  </si>
  <si>
    <t>Municipal Debt</t>
  </si>
  <si>
    <t>Preferred Stock</t>
  </si>
  <si>
    <t>BSV</t>
  </si>
  <si>
    <t>BIV</t>
  </si>
  <si>
    <t>STPZ</t>
  </si>
  <si>
    <t>CSJ</t>
  </si>
  <si>
    <t>SHM</t>
  </si>
  <si>
    <t>TFI</t>
  </si>
  <si>
    <t>PCY</t>
  </si>
  <si>
    <t>VIG</t>
  </si>
  <si>
    <t>VYM</t>
  </si>
  <si>
    <t>VNQ</t>
  </si>
  <si>
    <t>VWO</t>
  </si>
  <si>
    <t>EWA</t>
  </si>
  <si>
    <t>GXC</t>
  </si>
  <si>
    <t>FXI</t>
  </si>
  <si>
    <t>AMERICAN CUSTOMER SATISFACTION CORE ALPHA ETF </t>
  </si>
  <si>
    <t>GLOBAL X CONSCIOUS COMPANIES ETF </t>
  </si>
  <si>
    <t>GLOBAL X GURU ACTIVIST ETF </t>
  </si>
  <si>
    <t>GLOBAL X S&amp;P 500 OLIC VALUES ETF </t>
  </si>
  <si>
    <t>GLOBAL X SCIENTIFIC BETA US ETF </t>
  </si>
  <si>
    <t>GUGGENHEIM S&amp;P 500 EQUAL WEIGHT ETF </t>
  </si>
  <si>
    <t>JOHN HANCOCK MULTIFACTOR LARGE CAP ETF </t>
  </si>
  <si>
    <t>JPMORGAN DIVERSIFIED RETURN U.S. EQUITY ETF </t>
  </si>
  <si>
    <t>OPPENHEIMER ESG REVENUE ETF </t>
  </si>
  <si>
    <t>WISDOMTREE U.S. EARNINGS 500 FUND</t>
  </si>
  <si>
    <t>WISDOMTREE U.S. QUALITY DIVIDEND GROWTH FUND </t>
  </si>
  <si>
    <t>WISDOMTREE U.S. TOTAL EARNINGS FUND</t>
  </si>
  <si>
    <t> CLEARBRIDGE ALL CAP GROWTH ETF </t>
  </si>
  <si>
    <t>GLOBAL X  INDEX ETF </t>
  </si>
  <si>
    <t>LEGG MASON LOW VOLATILITY HIGH DIVIDEND ETF </t>
  </si>
  <si>
    <t>OPPENHEIMER LARGE CAP REVENUE ETF</t>
  </si>
  <si>
    <t>OPPENHEIMER ULTRA DIVIDEND REVENUE ETF </t>
  </si>
  <si>
    <t>WISDOMTREE U.S. DIVIDEND EX-FINANCIALS FUND</t>
  </si>
  <si>
    <t>WISDOMTREE U.S. HIGH DIVIDEND FUND</t>
  </si>
  <si>
    <t>WISDOMTREE U.S. LARGECAP DIVIDEND FUND</t>
  </si>
  <si>
    <t>WISDOMTREE U.S. LARGECAP VALUE FUND</t>
  </si>
  <si>
    <t>WISDOMTREE U.S. TOTAL DIVIDEND FUND </t>
  </si>
  <si>
    <t>ACSI</t>
  </si>
  <si>
    <t>KRMA</t>
  </si>
  <si>
    <t>ACTX</t>
  </si>
  <si>
    <t>CATH</t>
  </si>
  <si>
    <t>SCIU</t>
  </si>
  <si>
    <t>RSP </t>
  </si>
  <si>
    <t>JHML</t>
  </si>
  <si>
    <t>JPUS</t>
  </si>
  <si>
    <t>ESGL</t>
  </si>
  <si>
    <t>DGRW</t>
  </si>
  <si>
    <t>CACG</t>
  </si>
  <si>
    <t>GURU</t>
  </si>
  <si>
    <t>LVHD</t>
  </si>
  <si>
    <t>RDIV</t>
  </si>
  <si>
    <t>DTD </t>
  </si>
  <si>
    <t>EPS</t>
  </si>
  <si>
    <t>EXT</t>
  </si>
  <si>
    <t>RWL</t>
  </si>
  <si>
    <t>DTN</t>
  </si>
  <si>
    <t>DHS</t>
  </si>
  <si>
    <t>DLN</t>
  </si>
  <si>
    <t>EZY</t>
  </si>
  <si>
    <t>GUGGENHEIM S&amp;P MIDCAP 400 EQUAL WEIGHT ETF </t>
  </si>
  <si>
    <t>JOHN HANCOCK MULTIFACTOR MID CAP ETF </t>
  </si>
  <si>
    <t>JPMORGAN DIVERSIFIED RETURN U.S. MID CAP EQUITY ETF </t>
  </si>
  <si>
    <t>WISDOMTREE U.S. MIDCAP EARNINGS FUND</t>
  </si>
  <si>
    <t> JANUS SMALL/MID CAP GROWTH ALPHA ETF </t>
  </si>
  <si>
    <t>GLOBAL X SUPER DIVIDEND U.S. ETF</t>
  </si>
  <si>
    <t>OPPENHEIMER MID CAP REVENUE ETF</t>
  </si>
  <si>
    <t>WISDOMTREE U.S. MIDCAP DIVIDEND FUND</t>
  </si>
  <si>
    <t>GUGGENHEIM S&amp;P SMALLCAP 600 EQUAL WEIGHT ETF </t>
  </si>
  <si>
    <t>JPMORGAN DIVERSIFIED RETURN U.S. SMALL CAP EQUITY ETF </t>
  </si>
  <si>
    <t>OPPENHEIMER SMALL CAP REVENUE ETF</t>
  </si>
  <si>
    <t>WISDOMTREE U.S. SMALLCAP EARNINGS FUND</t>
  </si>
  <si>
    <t>WISDOMTREE U.S. SMALLCAP QUALITY DIVIDEND GROWTH FUND </t>
  </si>
  <si>
    <t>WISDOMTREE U.S. SMALLCAP DIVIDEND FUND</t>
  </si>
  <si>
    <t>EWMC</t>
  </si>
  <si>
    <t>JHMM</t>
  </si>
  <si>
    <t>JPME</t>
  </si>
  <si>
    <t>EZM</t>
  </si>
  <si>
    <t>JSMD</t>
  </si>
  <si>
    <t>DIV</t>
  </si>
  <si>
    <t>RWK</t>
  </si>
  <si>
    <t>DON</t>
  </si>
  <si>
    <t>EWSC</t>
  </si>
  <si>
    <t>JPSE</t>
  </si>
  <si>
    <t>RWJ</t>
  </si>
  <si>
    <t>EES</t>
  </si>
  <si>
    <t>DGRS</t>
  </si>
  <si>
    <t>DES</t>
  </si>
  <si>
    <t>WISDOMTREE CHINA DIVIDEND EX-FINANCIALS FUND </t>
  </si>
  <si>
    <t>GLOBAL X MSCI SUPERDIVIDEND EMERGING MARKETS ETF </t>
  </si>
  <si>
    <t>GLOBAL X NEXT EMERGING &amp; FRONTIER ETF </t>
  </si>
  <si>
    <t>GUGGENHEIM MSCI EMERGING MARKETS EQUAL COUNTRY WEIGHT ETF </t>
  </si>
  <si>
    <t>JPMORGAN DIVERSIFIED RETURN EMERGING MARKETS EQUITY ETF </t>
  </si>
  <si>
    <t>WISDOMTREE EMERGING MARKETS CONSUMER GROWTH FUND </t>
  </si>
  <si>
    <t>WISDOMTREE EMERGING MARKETS EX-STATE-OWNED ENTERPRISES FUND </t>
  </si>
  <si>
    <t>WISDOMTREE EMERGING MARKETS HIGH DIVIDEND FUND </t>
  </si>
  <si>
    <t>WISDOMTREE EMERGING MARKETS QUALITY DIVIDEND GROWTH FUND </t>
  </si>
  <si>
    <t>WISDOMTREE EMERGING MARKETS SMALLCAP DIVIDEND FUND</t>
  </si>
  <si>
    <t>GLOBAL X SCIENTIFIC BETA EUROPE ETF </t>
  </si>
  <si>
    <t>IQ 50 PERCENT HEDGED FTSE EUROPE ETF </t>
  </si>
  <si>
    <t>JPMORGAN DIVERSIFIED RETURN EUROPE CURRENCY HEDGED ETF </t>
  </si>
  <si>
    <t>JPMORGAN DIVERSIFIED RETURN EUROPE EQUITY ETF </t>
  </si>
  <si>
    <t>WISDOMTREE EUROPE HEDGED EQUITY FUND </t>
  </si>
  <si>
    <t>WISDOMTREE EUROPE HEDGED SMALLCAP EQUITY FUND </t>
  </si>
  <si>
    <t>WISDOMTREE EUROPE QUALITY DIVIDEND GROWTH FUND </t>
  </si>
  <si>
    <t>WISDOMTREE EUROPE SMALLCAP DIVIDEND FUND</t>
  </si>
  <si>
    <t>GLOBAL X GURU INTERNATIONAL INDEX ETF </t>
  </si>
  <si>
    <t>IQ 50 PERCENT HEDGED FTSE INTERNATIONAL ETF </t>
  </si>
  <si>
    <t>JPMORGAN DIVERSIFIED RETURN INTERNATIONAL CURRENCY HEDGED ETF </t>
  </si>
  <si>
    <t>JPMORGAN DIVERSIFIED RETURN INTERNATIONAL EQUITY ETF </t>
  </si>
  <si>
    <t>WISDOMTREE GLOBAL EX-U.S. QUALITY DIVIDEND GROWTH FUND</t>
  </si>
  <si>
    <t>WISDOMTREE INTERNATIONAL HEDGED QUALITY DIVIDEND GROWTH FUND </t>
  </si>
  <si>
    <t>LEGG MASON INTERNATIONAL LOW VOLATILITY HIGH DIVIDEND ETF </t>
  </si>
  <si>
    <t>WISDOMTREE DYNAMIC CURRENCY HEDGED INTERNATIONAL EQUITY FUND </t>
  </si>
  <si>
    <t>WISDOMTREE INTERNATIONAL DIVIDEND EX-FINANCIALS FUND</t>
  </si>
  <si>
    <t>WISDOMTREE INTERNATIONAL EQUITY FUND</t>
  </si>
  <si>
    <t>WISDOMTREE INTERNATIONAL HIGH DIVIDEND FUND</t>
  </si>
  <si>
    <t>WISDOMTREE INTERNATIONAL LARGECAP DIVIDEND FUND</t>
  </si>
  <si>
    <t>WISDOMTREE INTERNATIONAL MIDCAP DIVIDEND FUND</t>
  </si>
  <si>
    <t>WISDOMTREE INTERNATIONAL SMALLCAP DIVIDEND FUND</t>
  </si>
  <si>
    <t>WISDOMTREE INDIA EARNINGS FUND</t>
  </si>
  <si>
    <t>GLOBAL X SCIENTIFIC BETA JAPAN ETF </t>
  </si>
  <si>
    <t>IQ 50 PERCENT HEDGED FTSE JAPAN ETF </t>
  </si>
  <si>
    <t>WISDOMTREE JAPAN HEDGED EQUITY FUND</t>
  </si>
  <si>
    <t>WISDOMTREE JAPAN HEDGED FINANCIALS FUND </t>
  </si>
  <si>
    <t>WISDOMTREE JAPAN HEDGED QUALITY DIVIDEND GROWTH FUND </t>
  </si>
  <si>
    <t>WISDOMTREE JAPAN HEDGED REAL ESTATE FUND </t>
  </si>
  <si>
    <t>WISDOMTREE JAPAN HEDGED SMALLCAP EQUITY FUND </t>
  </si>
  <si>
    <t>WISDOMTREE JAPAN SMALLCAP DIVIDEND FUND</t>
  </si>
  <si>
    <t>WISDOMTREE AUSTRALIA DIVIDEND FUND </t>
  </si>
  <si>
    <t>WISDOMTREE GERMANY HEDGED EQUITY FUND </t>
  </si>
  <si>
    <t>WISDOMTREE MIDDLE EAST DIVIDEND FUND </t>
  </si>
  <si>
    <t>WISDOMTREE UNITED KINGDOM HEDGED EQUITY FUND </t>
  </si>
  <si>
    <t>GLOBAL X SCIENTIFIC BETA ASIA EX-JAPAN ETF </t>
  </si>
  <si>
    <t>WISDOMTREE ASIA PACIFIC EX-JAPAN FUND </t>
  </si>
  <si>
    <t>JANUS SG GLOBAL QUALITY INCOME ETF </t>
  </si>
  <si>
    <t>JPMORGAN DIVERSIFIED RETURN GLOBAL EQUITY ETF </t>
  </si>
  <si>
    <t>OPPENHEIMER GLOBAL ESG REVENUE ETF </t>
  </si>
  <si>
    <t>WISDOMTREE GLOBAL HIGH DIVIDEND FUND</t>
  </si>
  <si>
    <t>GLOBAL X SUPERDIVIDEND ETF </t>
  </si>
  <si>
    <t>CXSE</t>
  </si>
  <si>
    <t>SDEM</t>
  </si>
  <si>
    <t>EMFM</t>
  </si>
  <si>
    <t>EWEM</t>
  </si>
  <si>
    <t>JPEM</t>
  </si>
  <si>
    <t>EMCG</t>
  </si>
  <si>
    <t>XSOE</t>
  </si>
  <si>
    <t>DEM </t>
  </si>
  <si>
    <t>DGRE</t>
  </si>
  <si>
    <t>DGS</t>
  </si>
  <si>
    <t>SCID</t>
  </si>
  <si>
    <t>HFXE</t>
  </si>
  <si>
    <t>JPEH</t>
  </si>
  <si>
    <t>JPEU</t>
  </si>
  <si>
    <t>HEDJ</t>
  </si>
  <si>
    <t>EUSC</t>
  </si>
  <si>
    <t>EUDG</t>
  </si>
  <si>
    <t>DFE</t>
  </si>
  <si>
    <t>GURI</t>
  </si>
  <si>
    <t>HFXI</t>
  </si>
  <si>
    <t>JPIH</t>
  </si>
  <si>
    <t>JPIN</t>
  </si>
  <si>
    <t>DNL</t>
  </si>
  <si>
    <t>IHDG</t>
  </si>
  <si>
    <t>LVHI</t>
  </si>
  <si>
    <t>DDWM</t>
  </si>
  <si>
    <t>DOO</t>
  </si>
  <si>
    <t>DWM</t>
  </si>
  <si>
    <t>DTH</t>
  </si>
  <si>
    <t>DOL</t>
  </si>
  <si>
    <t>DIM</t>
  </si>
  <si>
    <t>DLS</t>
  </si>
  <si>
    <t>SCIJ</t>
  </si>
  <si>
    <t>HFXJ</t>
  </si>
  <si>
    <t>DXJ</t>
  </si>
  <si>
    <t>DXJF</t>
  </si>
  <si>
    <t>JHDG</t>
  </si>
  <si>
    <t>DXJR</t>
  </si>
  <si>
    <t>DXJS</t>
  </si>
  <si>
    <t>DFJ</t>
  </si>
  <si>
    <t>AUSE</t>
  </si>
  <si>
    <t>DXGE</t>
  </si>
  <si>
    <t>GULF</t>
  </si>
  <si>
    <t>DXPS</t>
  </si>
  <si>
    <t>SCIX</t>
  </si>
  <si>
    <t>AXJL</t>
  </si>
  <si>
    <t>SGQI</t>
  </si>
  <si>
    <t>JPGE</t>
  </si>
  <si>
    <t>ESGF</t>
  </si>
  <si>
    <t>DEW</t>
  </si>
  <si>
    <t>SDIV</t>
  </si>
  <si>
    <t>Foreign Small/Mid Value</t>
  </si>
  <si>
    <t>Pacific/Asia ex-Japan Stock</t>
  </si>
  <si>
    <t>World Small/Mid Stock</t>
  </si>
  <si>
    <t>EMCB</t>
  </si>
  <si>
    <t>JPHY</t>
  </si>
  <si>
    <t>GTO</t>
  </si>
  <si>
    <t>AGGE</t>
  </si>
  <si>
    <t>AGGP</t>
  </si>
  <si>
    <t>AGGY</t>
  </si>
  <si>
    <t>AGND</t>
  </si>
  <si>
    <t>AGZD</t>
  </si>
  <si>
    <t>HYND</t>
  </si>
  <si>
    <t>HYZD</t>
  </si>
  <si>
    <t>VNLA</t>
  </si>
  <si>
    <t>JPST</t>
  </si>
  <si>
    <t>JPGB</t>
  </si>
  <si>
    <t>Nontraditional Bond</t>
  </si>
  <si>
    <t>Ultrashort Bond</t>
  </si>
  <si>
    <t>WISDOMTREE EMERGING MARKETS CORPORATE BOND FUND </t>
  </si>
  <si>
    <t>JPMORGAN DISCIPLINED HIGH YIELD ETF </t>
  </si>
  <si>
    <t>GUGGENHEIM TOTAL RETURN BOND ETF</t>
  </si>
  <si>
    <t>IQ ENHANCED CORE BOND U.S. ETF </t>
  </si>
  <si>
    <t>IQ ENHANCED CORE PLUS BOND U.S. ETF </t>
  </si>
  <si>
    <t>WISDOMTREE BARCLAYS YIELD ENHANCED U.S. AGGREGATE BOND FUND </t>
  </si>
  <si>
    <t>WISDOMTREE BARCLAYS U.S. AGGREGATE BOND NEGATIVE DURATION FUND </t>
  </si>
  <si>
    <t>WISDOMTREE BARCLAYS U.S. AGGREGATE BOND ZERO DURATION FUND </t>
  </si>
  <si>
    <t>WISDOMTREE BOFA MERRILL LYNCH HIGH YIELD BOND NEGATIVE DURATION FUND </t>
  </si>
  <si>
    <t>WISDOMTREE BOFA MERRILL LYNCH HIGH YIELD BOND ZERO DURATION FUND </t>
  </si>
  <si>
    <t>JANUS HENDERSON SHORT DURATION INCOME ETF </t>
  </si>
  <si>
    <t>JPMORGAN ULTRA-SHORT INCOME ETF </t>
  </si>
  <si>
    <t>JPMORGAN GLOBAL BOND OPPORTUNITIES ETF </t>
  </si>
  <si>
    <t>PERM</t>
  </si>
  <si>
    <t>SCTO</t>
  </si>
  <si>
    <t>ALTY</t>
  </si>
  <si>
    <t>DWAT</t>
  </si>
  <si>
    <t>GYLD</t>
  </si>
  <si>
    <t>EFFE</t>
  </si>
  <si>
    <t>GLOBAL X JPMORGAN US SECTOR ROTATOR INDEX ETF </t>
  </si>
  <si>
    <t>THE GLOBAL X SUPERDIVIDEND ALTERNATIVES ETF </t>
  </si>
  <si>
    <t>ARROW DWA TACTICAL ETF </t>
  </si>
  <si>
    <t>ARROW DOW JONES GLOBAL YIELD ETF </t>
  </si>
  <si>
    <t>GLOBAL X JPMORGAN EFFICIENTE INDEX ETF </t>
  </si>
  <si>
    <t>Tactical Allocation</t>
  </si>
  <si>
    <t>World Allocation</t>
  </si>
  <si>
    <t>GLOBAL X PERMANENT ETF</t>
  </si>
  <si>
    <t>GUGGENHEIM S&amp;P 500 EQUAL WEIGHT CONSUMER DISCRETIONARY ETF</t>
  </si>
  <si>
    <t>JOHN HANCOCK MULTIFACTOR CONSUMER DISCRETIONARY ETF </t>
  </si>
  <si>
    <t>GUGGENHEIM S&amp;P 500 EQUAL WEIGHT CONSUMER STAPLES ETF</t>
  </si>
  <si>
    <t>JOHN HANCOCK MULTIFACTOR CONSUMER STAPLES ETF </t>
  </si>
  <si>
    <t>GLOBAL X JUNIOR MLP ETF </t>
  </si>
  <si>
    <t>GLOBAL X MLP &amp; ENERGY INFRASTRUCTURE ETF </t>
  </si>
  <si>
    <t>GLOBAL X MLP ETF </t>
  </si>
  <si>
    <t>GUGGENHEIM S&amp;P 500 EQUAL WEIGHT ENERGY ETF</t>
  </si>
  <si>
    <t>JOHN HANCOCK MULTIFACTOR ENERGY ETF </t>
  </si>
  <si>
    <t>GUGGENHEIM S&amp;P 500 EQUAL WEIGHT FINANCIALS ETF</t>
  </si>
  <si>
    <t>JOHN HANCOCK MULTIFACTOR FINANCIALS ETF </t>
  </si>
  <si>
    <t>WISDOMTREE GLOBAL EX-US REALESTATE FUND</t>
  </si>
  <si>
    <t>GUGGENHEIM S&amp;P 500 EQUAL WEIGHT HEALTH CARE ETF</t>
  </si>
  <si>
    <t>JOHN HANCOCK MULTIFACTOR HEALTHCARE ETF </t>
  </si>
  <si>
    <t>GUGGENHEIM S&amp;P 500 EQUAL WEIGHT INDUSTRIALS ETF</t>
  </si>
  <si>
    <t>JOHN HANCOCK MULTIFACTOR INDUSTRIALS ETF </t>
  </si>
  <si>
    <t>GUGGENHEIM S&amp;P HIGH INCOME INFRASTRUCTURE ETF </t>
  </si>
  <si>
    <t> LEGG MASON GLOBAL ASTRUCTURE ETF </t>
  </si>
  <si>
    <t>GUGGENHEIM S&amp;P 500 EQUAL WEIGHT MATERIALS ETF</t>
  </si>
  <si>
    <t>IQ ARB GLOBAL RESOURCES ETF </t>
  </si>
  <si>
    <t>JOHN HANCOCK MULTIFACTOR MATERIALS ETF </t>
  </si>
  <si>
    <t>GLOBAL X SUPERDIVIDEND REIT ETF </t>
  </si>
  <si>
    <t>GUGGENHEIM S&amp;P 500 EQUAL WEIGHT REAL ESTATE ETF </t>
  </si>
  <si>
    <t>IQ US REAL ESTATE SMALL CAP ETF </t>
  </si>
  <si>
    <t>GUGGENHEIM S&amp;P 500 EQUAL WEIGHT TECHNOLOGY ETF</t>
  </si>
  <si>
    <t>JOHN HANCOCK MULTIFACTOR TECHNOLOGY ETF </t>
  </si>
  <si>
    <t>GUGGENHEIM S&amp;P 500 EQUAL WEIGHT UTILITIES ETF</t>
  </si>
  <si>
    <t>JOHN HANCOCK MULTIFACTOR UTILITIES ETF </t>
  </si>
  <si>
    <t>RCD</t>
  </si>
  <si>
    <t>JHMC</t>
  </si>
  <si>
    <t>RHS</t>
  </si>
  <si>
    <t>JHMS</t>
  </si>
  <si>
    <t>MLPJ</t>
  </si>
  <si>
    <t>MLPX</t>
  </si>
  <si>
    <t>MLPA</t>
  </si>
  <si>
    <t>RYE</t>
  </si>
  <si>
    <t>JHME</t>
  </si>
  <si>
    <t>RYF</t>
  </si>
  <si>
    <t>JHMF</t>
  </si>
  <si>
    <t>DRW</t>
  </si>
  <si>
    <t>RYH</t>
  </si>
  <si>
    <t>JHMH</t>
  </si>
  <si>
    <t>RGI</t>
  </si>
  <si>
    <t>JHMI</t>
  </si>
  <si>
    <t>GHII</t>
  </si>
  <si>
    <t>INFR</t>
  </si>
  <si>
    <t>RTM</t>
  </si>
  <si>
    <t>GRES</t>
  </si>
  <si>
    <t>JHMA</t>
  </si>
  <si>
    <t>SRET</t>
  </si>
  <si>
    <t>EWRE</t>
  </si>
  <si>
    <t>ROOF</t>
  </si>
  <si>
    <t>RYT</t>
  </si>
  <si>
    <t>JHMT</t>
  </si>
  <si>
    <t>RYU</t>
  </si>
  <si>
    <t>JHMU</t>
  </si>
  <si>
    <t>Consumer Cyclical</t>
  </si>
  <si>
    <t>Consumer Defensive</t>
  </si>
  <si>
    <t>Energy Limited Partnership</t>
  </si>
  <si>
    <t>Equity Energy</t>
  </si>
  <si>
    <t>Financial</t>
  </si>
  <si>
    <t>Health</t>
  </si>
  <si>
    <t>Infrastructure</t>
  </si>
  <si>
    <t>Natural Resources</t>
  </si>
  <si>
    <t>Technology</t>
  </si>
  <si>
    <t>BCI</t>
  </si>
  <si>
    <t>GLTR</t>
  </si>
  <si>
    <t>SIVR</t>
  </si>
  <si>
    <t>SGOL</t>
  </si>
  <si>
    <t>TRSK</t>
  </si>
  <si>
    <t>SPXH</t>
  </si>
  <si>
    <t>WDTI</t>
  </si>
  <si>
    <t>MNA </t>
  </si>
  <si>
    <t>QAI</t>
  </si>
  <si>
    <t>JPHF</t>
  </si>
  <si>
    <t>USDU</t>
  </si>
  <si>
    <t>CEW</t>
  </si>
  <si>
    <t>BZF</t>
  </si>
  <si>
    <t>CYB</t>
  </si>
  <si>
    <t>ETFS BLOOMBERG ALL COMMODITY STRATEGY K-1 FREE ETF</t>
  </si>
  <si>
    <t>ETFS PHYSICAL PRECIOUS METAL BASKET SHARES </t>
  </si>
  <si>
    <t>ETFS PHYSICAL SILVER SHARES </t>
  </si>
  <si>
    <t>ETFS PHYSICAL SWISS GOLD SHARES </t>
  </si>
  <si>
    <t>JANUS VELOCITY TAIL RISK HEDGED LARGE CAP ETF </t>
  </si>
  <si>
    <t>JANUS VELOCITY VOLATILITY HEDGED LARGE CAP ETF </t>
  </si>
  <si>
    <t>WISDOMTREE MANAGED FUTURES STRATEGY FUND </t>
  </si>
  <si>
    <t>IQ ARB MERGER ARBITRAGE ETF </t>
  </si>
  <si>
    <t>IQ HEDGE MULTI-STRATEGY TRACKER ETF</t>
  </si>
  <si>
    <t>JPMORGAN DIVERSIFIED ALTERNATIVES ETF </t>
  </si>
  <si>
    <t>WISDOMTREE BLOOMBERG U.S. DOLLAR BULLISH FUND </t>
  </si>
  <si>
    <t>WISDOMTREE EMERGING CURRENCY STRATEGY FUND</t>
  </si>
  <si>
    <t>WISDOMTREE BRAZILIAN REAL STRATEGY FUND</t>
  </si>
  <si>
    <t>WISDOMTREE CHINESE YUAN STRATEGY FUND</t>
  </si>
  <si>
    <t>Commodities Precious Metals</t>
  </si>
  <si>
    <t>Long-Short Equity</t>
  </si>
  <si>
    <t>Managed Futures</t>
  </si>
  <si>
    <t>Market Neutral</t>
  </si>
  <si>
    <t>Multialternative</t>
  </si>
  <si>
    <t>Single Currency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</si>
</sst>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</fills>
  <borders count="7">
    <border>
      <left/>
      <right/>
      <top/>
      <bottom/>
      <diagonal/>
    </border>
    <border>
      <left/>
      <right/>
      <top style="thin">
        <color theme="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3" borderId="0" applyNumberFormat="0" applyBorder="0" applyAlignment="0" applyProtection="0"/>
  </cellStyleXfs>
  <cellXfs count="32">
    <xf numFmtId="0" fontId="0" fillId="0" borderId="0" xfId="0"/>
    <xf numFmtId="0" fontId="3" fillId="2" borderId="0" xfId="0" applyFont="1" applyFill="1"/>
    <xf numFmtId="0" fontId="3" fillId="0" borderId="0" xfId="0" applyFont="1"/>
    <xf numFmtId="0" fontId="2" fillId="0" borderId="1" xfId="0" applyFont="1" applyBorder="1" applyAlignment="1">
      <alignment horizontal="center" wrapText="1"/>
    </xf>
    <xf numFmtId="0" fontId="2" fillId="0" borderId="2" xfId="0" applyFont="1" applyBorder="1" applyAlignment="1">
      <alignment horizontal="center" wrapText="1"/>
    </xf>
    <xf numFmtId="2" fontId="3" fillId="2" borderId="0" xfId="0" applyNumberFormat="1" applyFont="1" applyFill="1"/>
    <xf numFmtId="2" fontId="3" fillId="0" borderId="0" xfId="0" applyNumberFormat="1" applyFont="1"/>
    <xf numFmtId="164" fontId="2" fillId="0" borderId="2" xfId="1" applyNumberFormat="1" applyFont="1" applyBorder="1" applyAlignment="1">
      <alignment horizontal="center" wrapText="1"/>
    </xf>
    <xf numFmtId="0" fontId="3" fillId="0" borderId="0" xfId="0" applyFont="1" applyBorder="1"/>
    <xf numFmtId="2" fontId="3" fillId="0" borderId="0" xfId="0" applyNumberFormat="1" applyFont="1" applyBorder="1"/>
    <xf numFmtId="9" fontId="3" fillId="2" borderId="0" xfId="1" applyNumberFormat="1" applyFont="1" applyFill="1"/>
    <xf numFmtId="9" fontId="3" fillId="0" borderId="0" xfId="1" applyNumberFormat="1" applyFont="1"/>
    <xf numFmtId="9" fontId="3" fillId="0" borderId="0" xfId="1" applyNumberFormat="1" applyFont="1" applyBorder="1"/>
    <xf numFmtId="0" fontId="4" fillId="3" borderId="0" xfId="2" applyAlignment="1">
      <alignment horizontal="right"/>
    </xf>
    <xf numFmtId="164" fontId="3" fillId="2" borderId="0" xfId="0" applyNumberFormat="1" applyFont="1" applyFill="1"/>
    <xf numFmtId="164" fontId="3" fillId="0" borderId="0" xfId="0" applyNumberFormat="1" applyFont="1"/>
    <xf numFmtId="0" fontId="4" fillId="3" borderId="0" xfId="2"/>
    <xf numFmtId="10" fontId="3" fillId="2" borderId="0" xfId="1" applyNumberFormat="1" applyFont="1" applyFill="1"/>
    <xf numFmtId="10" fontId="3" fillId="0" borderId="0" xfId="1" applyNumberFormat="1" applyFont="1"/>
    <xf numFmtId="10" fontId="3" fillId="0" borderId="0" xfId="1" applyNumberFormat="1" applyFont="1" applyBorder="1"/>
    <xf numFmtId="0" fontId="2" fillId="0" borderId="3" xfId="0" applyFont="1" applyFill="1" applyBorder="1" applyAlignment="1">
      <alignment horizontal="center" wrapText="1"/>
    </xf>
    <xf numFmtId="0" fontId="2" fillId="0" borderId="4" xfId="0" applyFont="1" applyFill="1" applyBorder="1" applyAlignment="1">
      <alignment horizontal="center" wrapText="1"/>
    </xf>
    <xf numFmtId="0" fontId="2" fillId="0" borderId="5" xfId="0" applyFont="1" applyFill="1" applyBorder="1" applyAlignment="1">
      <alignment horizontal="center" wrapText="1"/>
    </xf>
    <xf numFmtId="2" fontId="0" fillId="0" borderId="0" xfId="0" applyNumberFormat="1"/>
    <xf numFmtId="10" fontId="0" fillId="0" borderId="0" xfId="1" applyNumberFormat="1" applyFont="1"/>
    <xf numFmtId="164" fontId="3" fillId="2" borderId="0" xfId="1" applyNumberFormat="1" applyFont="1" applyFill="1"/>
    <xf numFmtId="164" fontId="3" fillId="0" borderId="0" xfId="1" applyNumberFormat="1" applyFont="1"/>
    <xf numFmtId="0" fontId="2" fillId="0" borderId="6" xfId="0" applyFont="1" applyBorder="1" applyAlignment="1">
      <alignment horizontal="center" wrapText="1"/>
    </xf>
    <xf numFmtId="0" fontId="2" fillId="0" borderId="3" xfId="0" applyFont="1" applyBorder="1" applyAlignment="1">
      <alignment horizontal="center" wrapText="1"/>
    </xf>
    <xf numFmtId="0" fontId="2" fillId="0" borderId="5" xfId="0" applyFont="1" applyBorder="1" applyAlignment="1">
      <alignment horizontal="center" wrapText="1"/>
    </xf>
    <xf numFmtId="2" fontId="3" fillId="2" borderId="0" xfId="1" applyNumberFormat="1" applyFont="1" applyFill="1"/>
    <xf numFmtId="2" fontId="3" fillId="0" borderId="0" xfId="1" applyNumberFormat="1" applyFont="1"/>
  </cellXfs>
  <cellStyles count="3">
    <cellStyle name="Good" xfId="2" builtinId="26"/>
    <cellStyle name="Normal" xfId="0" builtinId="0"/>
    <cellStyle name="Percent" xfId="1" builtinId="5"/>
  </cellStyles>
  <dxfs count="125"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5</xdr:row>
      <xdr:rowOff>0</xdr:rowOff>
    </xdr:from>
    <xdr:to>
      <xdr:col>13</xdr:col>
      <xdr:colOff>590550</xdr:colOff>
      <xdr:row>28</xdr:row>
      <xdr:rowOff>95250</xdr:rowOff>
    </xdr:to>
    <xdr:pic>
      <xdr:nvPicPr>
        <xdr:cNvPr id="3" name="52W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49" y="952500"/>
          <a:ext cx="7886701" cy="44767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0</xdr:row>
          <xdr:rowOff>47625</xdr:rowOff>
        </xdr:from>
        <xdr:to>
          <xdr:col>25</xdr:col>
          <xdr:colOff>285750</xdr:colOff>
          <xdr:row>0</xdr:row>
          <xdr:rowOff>323850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1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28575</xdr:rowOff>
        </xdr:from>
        <xdr:to>
          <xdr:col>24</xdr:col>
          <xdr:colOff>419100</xdr:colOff>
          <xdr:row>0</xdr:row>
          <xdr:rowOff>323850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28575</xdr:rowOff>
        </xdr:from>
        <xdr:to>
          <xdr:col>24</xdr:col>
          <xdr:colOff>419100</xdr:colOff>
          <xdr:row>0</xdr:row>
          <xdr:rowOff>323850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28575</xdr:rowOff>
        </xdr:from>
        <xdr:to>
          <xdr:col>24</xdr:col>
          <xdr:colOff>419100</xdr:colOff>
          <xdr:row>0</xdr:row>
          <xdr:rowOff>323850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28575</xdr:rowOff>
        </xdr:from>
        <xdr:to>
          <xdr:col>24</xdr:col>
          <xdr:colOff>419100</xdr:colOff>
          <xdr:row>0</xdr:row>
          <xdr:rowOff>323850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5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28575</xdr:rowOff>
        </xdr:from>
        <xdr:to>
          <xdr:col>24</xdr:col>
          <xdr:colOff>419100</xdr:colOff>
          <xdr:row>0</xdr:row>
          <xdr:rowOff>323850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6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28575</xdr:rowOff>
        </xdr:from>
        <xdr:to>
          <xdr:col>24</xdr:col>
          <xdr:colOff>419100</xdr:colOff>
          <xdr:row>0</xdr:row>
          <xdr:rowOff>323850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7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28575</xdr:rowOff>
        </xdr:from>
        <xdr:to>
          <xdr:col>24</xdr:col>
          <xdr:colOff>419100</xdr:colOff>
          <xdr:row>0</xdr:row>
          <xdr:rowOff>323850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28575</xdr:rowOff>
        </xdr:from>
        <xdr:to>
          <xdr:col>24</xdr:col>
          <xdr:colOff>419100</xdr:colOff>
          <xdr:row>0</xdr:row>
          <xdr:rowOff>323850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28575</xdr:rowOff>
        </xdr:from>
        <xdr:to>
          <xdr:col>24</xdr:col>
          <xdr:colOff>419100</xdr:colOff>
          <xdr:row>0</xdr:row>
          <xdr:rowOff>323850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28575</xdr:rowOff>
        </xdr:from>
        <xdr:to>
          <xdr:col>24</xdr:col>
          <xdr:colOff>419100</xdr:colOff>
          <xdr:row>0</xdr:row>
          <xdr:rowOff>323850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28575</xdr:rowOff>
        </xdr:from>
        <xdr:to>
          <xdr:col>24</xdr:col>
          <xdr:colOff>419100</xdr:colOff>
          <xdr:row>0</xdr:row>
          <xdr:rowOff>323850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C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28575</xdr:rowOff>
        </xdr:from>
        <xdr:to>
          <xdr:col>24</xdr:col>
          <xdr:colOff>419100</xdr:colOff>
          <xdr:row>0</xdr:row>
          <xdr:rowOff>323850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28575</xdr:rowOff>
        </xdr:from>
        <xdr:to>
          <xdr:col>24</xdr:col>
          <xdr:colOff>419100</xdr:colOff>
          <xdr:row>0</xdr:row>
          <xdr:rowOff>323850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3"/>
  <sheetViews>
    <sheetView workbookViewId="0">
      <selection activeCell="P15" sqref="P15"/>
    </sheetView>
  </sheetViews>
  <sheetFormatPr defaultRowHeight="15"/>
  <sheetData>
    <row r="1" spans="1:2">
      <c r="A1" t="s">
        <v>35</v>
      </c>
      <c r="B1" s="16" t="s">
        <v>511</v>
      </c>
    </row>
    <row r="2" spans="1:2">
      <c r="A2" t="s">
        <v>34</v>
      </c>
      <c r="B2" s="13">
        <v>520</v>
      </c>
    </row>
    <row r="3" spans="1:2">
      <c r="A3" t="s">
        <v>36</v>
      </c>
      <c r="B3" t="str">
        <f>myplot_candlestick(B1, B2)</f>
        <v>Object variable or With block variable not set</v>
      </c>
    </row>
  </sheetData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59"/>
  <sheetViews>
    <sheetView zoomScale="80" zoomScaleNormal="80" workbookViewId="0">
      <pane ySplit="1" topLeftCell="A2" activePane="bottomLeft" state="frozen"/>
      <selection activeCell="E2" sqref="E2:E46"/>
      <selection pane="bottomLeft" activeCell="B50" sqref="B50"/>
    </sheetView>
  </sheetViews>
  <sheetFormatPr defaultRowHeight="15"/>
  <cols>
    <col min="1" max="1" width="10.28515625" bestFit="1" customWidth="1"/>
    <col min="2" max="2" width="37.85546875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  <col min="22" max="22" width="11.28515625" bestFit="1" customWidth="1"/>
    <col min="24" max="24" width="11.140625" customWidth="1"/>
  </cols>
  <sheetData>
    <row r="1" spans="1:25" ht="30.75" thickBot="1">
      <c r="A1" s="3" t="s">
        <v>2</v>
      </c>
      <c r="B1" s="4" t="s">
        <v>3</v>
      </c>
      <c r="C1" s="3" t="s">
        <v>5</v>
      </c>
      <c r="D1" s="3" t="s">
        <v>6</v>
      </c>
      <c r="E1" s="3" t="s">
        <v>7</v>
      </c>
      <c r="F1" s="3" t="s">
        <v>8</v>
      </c>
      <c r="G1" s="4" t="s">
        <v>14</v>
      </c>
      <c r="H1" s="7" t="s">
        <v>15</v>
      </c>
      <c r="I1" s="3" t="s">
        <v>9</v>
      </c>
      <c r="J1" s="3" t="s">
        <v>16</v>
      </c>
      <c r="K1" s="3" t="s">
        <v>10</v>
      </c>
      <c r="L1" s="3" t="s">
        <v>17</v>
      </c>
      <c r="M1" s="3" t="s">
        <v>11</v>
      </c>
      <c r="N1" s="3" t="s">
        <v>18</v>
      </c>
      <c r="O1" s="3" t="s">
        <v>12</v>
      </c>
      <c r="P1" s="3" t="s">
        <v>19</v>
      </c>
      <c r="Q1" s="3" t="s">
        <v>13</v>
      </c>
      <c r="R1" s="3" t="s">
        <v>20</v>
      </c>
      <c r="S1" s="20" t="s">
        <v>43</v>
      </c>
      <c r="T1" s="21" t="s">
        <v>44</v>
      </c>
      <c r="U1" s="22" t="s">
        <v>45</v>
      </c>
      <c r="V1" s="22" t="s">
        <v>46</v>
      </c>
    </row>
    <row r="2" spans="1:25">
      <c r="A2" s="1"/>
      <c r="B2" s="1"/>
      <c r="C2" s="5"/>
      <c r="D2" s="5"/>
      <c r="E2" s="17"/>
      <c r="F2" s="5"/>
      <c r="G2" s="5"/>
      <c r="H2" s="10"/>
      <c r="I2" s="5"/>
      <c r="J2" s="10"/>
      <c r="K2" s="5"/>
      <c r="L2" s="10"/>
      <c r="M2" s="5"/>
      <c r="N2" s="10"/>
      <c r="O2" s="5"/>
      <c r="P2" s="10"/>
      <c r="Q2" s="5"/>
      <c r="R2" s="10"/>
      <c r="T2" s="23"/>
      <c r="U2" s="23" t="e">
        <f>T2/S2</f>
        <v>#DIV/0!</v>
      </c>
      <c r="V2" s="24" t="e">
        <f>C2/U2-1</f>
        <v>#DIV/0!</v>
      </c>
    </row>
    <row r="3" spans="1:25">
      <c r="A3" s="2"/>
      <c r="B3" s="2"/>
      <c r="C3" s="6"/>
      <c r="D3" s="6"/>
      <c r="E3" s="18"/>
      <c r="F3" s="6"/>
      <c r="G3" s="6"/>
      <c r="H3" s="11"/>
      <c r="I3" s="6"/>
      <c r="J3" s="11"/>
      <c r="K3" s="6"/>
      <c r="L3" s="11"/>
      <c r="M3" s="6"/>
      <c r="N3" s="11"/>
      <c r="O3" s="6"/>
      <c r="P3" s="11"/>
      <c r="Q3" s="6"/>
      <c r="R3" s="11"/>
      <c r="T3" s="23"/>
      <c r="U3" s="23" t="e">
        <f t="shared" ref="U3:U7" si="0">T3/S3</f>
        <v>#DIV/0!</v>
      </c>
      <c r="V3" s="24" t="e">
        <f t="shared" ref="V3:V5" si="1">C3/U3-1</f>
        <v>#DIV/0!</v>
      </c>
      <c r="X3" t="s">
        <v>42</v>
      </c>
      <c r="Y3" t="s">
        <v>1</v>
      </c>
    </row>
    <row r="4" spans="1:25">
      <c r="A4" s="1"/>
      <c r="B4" s="1"/>
      <c r="C4" s="5"/>
      <c r="D4" s="5"/>
      <c r="E4" s="17"/>
      <c r="F4" s="5"/>
      <c r="G4" s="5"/>
      <c r="H4" s="10"/>
      <c r="I4" s="5"/>
      <c r="J4" s="10"/>
      <c r="K4" s="5"/>
      <c r="L4" s="10"/>
      <c r="M4" s="5"/>
      <c r="N4" s="10"/>
      <c r="O4" s="5"/>
      <c r="P4" s="10"/>
      <c r="Q4" s="5"/>
      <c r="R4" s="10"/>
      <c r="T4" s="23"/>
      <c r="U4" s="23" t="e">
        <f t="shared" si="0"/>
        <v>#DIV/0!</v>
      </c>
      <c r="V4" s="24" t="e">
        <f t="shared" si="1"/>
        <v>#DIV/0!</v>
      </c>
      <c r="X4" t="s">
        <v>37</v>
      </c>
    </row>
    <row r="5" spans="1:25">
      <c r="A5" s="2"/>
      <c r="B5" s="2"/>
      <c r="C5" s="6"/>
      <c r="D5" s="6"/>
      <c r="E5" s="18"/>
      <c r="F5" s="6"/>
      <c r="G5" s="6"/>
      <c r="H5" s="11"/>
      <c r="I5" s="6"/>
      <c r="J5" s="11"/>
      <c r="K5" s="6"/>
      <c r="L5" s="11"/>
      <c r="M5" s="6"/>
      <c r="N5" s="11"/>
      <c r="O5" s="6"/>
      <c r="P5" s="11"/>
      <c r="Q5" s="6"/>
      <c r="R5" s="11"/>
      <c r="T5" s="23"/>
      <c r="U5" s="23" t="e">
        <f t="shared" si="0"/>
        <v>#DIV/0!</v>
      </c>
      <c r="V5" s="24" t="e">
        <f t="shared" si="1"/>
        <v>#DIV/0!</v>
      </c>
    </row>
    <row r="6" spans="1:25">
      <c r="A6" s="1"/>
      <c r="B6" s="1"/>
      <c r="C6" s="5"/>
      <c r="D6" s="5"/>
      <c r="E6" s="17"/>
      <c r="F6" s="5"/>
      <c r="G6" s="5"/>
      <c r="H6" s="10"/>
      <c r="I6" s="5"/>
      <c r="J6" s="10"/>
      <c r="K6" s="5"/>
      <c r="L6" s="10"/>
      <c r="M6" s="5"/>
      <c r="N6" s="10"/>
      <c r="O6" s="5"/>
      <c r="P6" s="10"/>
      <c r="Q6" s="5"/>
      <c r="R6" s="10"/>
      <c r="T6" s="23"/>
      <c r="U6" s="23" t="e">
        <f t="shared" si="0"/>
        <v>#DIV/0!</v>
      </c>
      <c r="V6" s="24" t="e">
        <f t="shared" ref="V6" si="2">C6/U6-1</f>
        <v>#DIV/0!</v>
      </c>
    </row>
    <row r="7" spans="1:25">
      <c r="A7" s="2"/>
      <c r="B7" s="2"/>
      <c r="C7" s="6"/>
      <c r="D7" s="6"/>
      <c r="E7" s="18"/>
      <c r="F7" s="6"/>
      <c r="G7" s="6"/>
      <c r="H7" s="11"/>
      <c r="I7" s="6"/>
      <c r="J7" s="11"/>
      <c r="K7" s="6"/>
      <c r="L7" s="11"/>
      <c r="M7" s="6"/>
      <c r="N7" s="11"/>
      <c r="O7" s="6"/>
      <c r="P7" s="11"/>
      <c r="Q7" s="6"/>
      <c r="R7" s="11"/>
      <c r="T7" s="23"/>
      <c r="U7" s="23" t="e">
        <f t="shared" si="0"/>
        <v>#DIV/0!</v>
      </c>
      <c r="V7" s="24" t="e">
        <f t="shared" ref="V7" si="3">C7/U7-1</f>
        <v>#DIV/0!</v>
      </c>
    </row>
    <row r="8" spans="1:25">
      <c r="A8" s="1"/>
      <c r="B8" s="1"/>
      <c r="C8" s="5"/>
      <c r="D8" s="5"/>
      <c r="E8" s="17"/>
      <c r="F8" s="5"/>
      <c r="G8" s="5"/>
      <c r="H8" s="10"/>
      <c r="I8" s="5"/>
      <c r="J8" s="10"/>
      <c r="K8" s="5"/>
      <c r="L8" s="10"/>
      <c r="M8" s="5"/>
      <c r="N8" s="10"/>
      <c r="O8" s="5"/>
      <c r="P8" s="10"/>
      <c r="Q8" s="5"/>
      <c r="R8" s="10"/>
    </row>
    <row r="9" spans="1:25">
      <c r="A9" s="2"/>
      <c r="B9" s="2"/>
      <c r="C9" s="6"/>
      <c r="D9" s="6"/>
      <c r="E9" s="18"/>
      <c r="F9" s="6"/>
      <c r="G9" s="6"/>
      <c r="H9" s="11"/>
      <c r="I9" s="6"/>
      <c r="J9" s="11"/>
      <c r="K9" s="6"/>
      <c r="L9" s="11"/>
      <c r="M9" s="6"/>
      <c r="N9" s="11"/>
      <c r="O9" s="6"/>
      <c r="P9" s="11"/>
      <c r="Q9" s="6"/>
      <c r="R9" s="11"/>
    </row>
    <row r="10" spans="1:25">
      <c r="A10" s="1"/>
      <c r="B10" s="1"/>
      <c r="C10" s="5"/>
      <c r="D10" s="5"/>
      <c r="E10" s="17"/>
      <c r="F10" s="5"/>
      <c r="G10" s="5"/>
      <c r="H10" s="10"/>
      <c r="I10" s="5"/>
      <c r="J10" s="10"/>
      <c r="K10" s="5"/>
      <c r="L10" s="10"/>
      <c r="M10" s="5"/>
      <c r="N10" s="10"/>
      <c r="O10" s="5"/>
      <c r="P10" s="10"/>
      <c r="Q10" s="5"/>
      <c r="R10" s="10"/>
    </row>
    <row r="11" spans="1:25">
      <c r="A11" s="2"/>
      <c r="B11" s="2"/>
      <c r="C11" s="6"/>
      <c r="D11" s="6"/>
      <c r="E11" s="18"/>
      <c r="F11" s="6"/>
      <c r="G11" s="6"/>
      <c r="H11" s="11"/>
      <c r="I11" s="6"/>
      <c r="J11" s="11"/>
      <c r="K11" s="6"/>
      <c r="L11" s="11"/>
      <c r="M11" s="6"/>
      <c r="N11" s="11"/>
      <c r="O11" s="6"/>
      <c r="P11" s="11"/>
      <c r="Q11" s="6"/>
      <c r="R11" s="11"/>
    </row>
    <row r="12" spans="1:25">
      <c r="A12" s="1"/>
      <c r="B12" s="1"/>
      <c r="C12" s="5"/>
      <c r="D12" s="5"/>
      <c r="E12" s="17"/>
      <c r="F12" s="5"/>
      <c r="G12" s="5"/>
      <c r="H12" s="10"/>
      <c r="I12" s="5"/>
      <c r="J12" s="10"/>
      <c r="K12" s="5"/>
      <c r="L12" s="10"/>
      <c r="M12" s="5"/>
      <c r="N12" s="10"/>
      <c r="O12" s="5"/>
      <c r="P12" s="10"/>
      <c r="Q12" s="5"/>
      <c r="R12" s="10"/>
    </row>
    <row r="13" spans="1:25">
      <c r="A13" s="2"/>
      <c r="B13" s="2"/>
      <c r="C13" s="6"/>
      <c r="D13" s="6"/>
      <c r="E13" s="18"/>
      <c r="F13" s="6"/>
      <c r="G13" s="6"/>
      <c r="H13" s="11"/>
      <c r="I13" s="6"/>
      <c r="J13" s="11"/>
      <c r="K13" s="6"/>
      <c r="L13" s="11"/>
      <c r="M13" s="6"/>
      <c r="N13" s="11"/>
      <c r="O13" s="6"/>
      <c r="P13" s="11"/>
      <c r="Q13" s="6"/>
      <c r="R13" s="11"/>
    </row>
    <row r="14" spans="1:25">
      <c r="A14" s="1"/>
      <c r="B14" s="1"/>
      <c r="C14" s="5"/>
      <c r="D14" s="5"/>
      <c r="E14" s="17"/>
      <c r="F14" s="5"/>
      <c r="G14" s="5"/>
      <c r="H14" s="10"/>
      <c r="I14" s="5"/>
      <c r="J14" s="10"/>
      <c r="K14" s="5"/>
      <c r="L14" s="10"/>
      <c r="M14" s="5"/>
      <c r="N14" s="10"/>
      <c r="O14" s="5"/>
      <c r="P14" s="10"/>
      <c r="Q14" s="5"/>
      <c r="R14" s="10"/>
    </row>
    <row r="15" spans="1:25">
      <c r="A15" s="2"/>
      <c r="B15" s="2"/>
      <c r="C15" s="6"/>
      <c r="D15" s="6"/>
      <c r="E15" s="18"/>
      <c r="F15" s="6"/>
      <c r="G15" s="6"/>
      <c r="H15" s="11"/>
      <c r="I15" s="6"/>
      <c r="J15" s="11"/>
      <c r="K15" s="6"/>
      <c r="L15" s="11"/>
      <c r="M15" s="6"/>
      <c r="N15" s="11"/>
      <c r="O15" s="6"/>
      <c r="P15" s="11"/>
      <c r="Q15" s="6"/>
      <c r="R15" s="11"/>
    </row>
    <row r="16" spans="1:25">
      <c r="A16" s="1"/>
      <c r="B16" s="1"/>
      <c r="C16" s="5"/>
      <c r="D16" s="5"/>
      <c r="E16" s="17"/>
      <c r="F16" s="5"/>
      <c r="G16" s="5"/>
      <c r="H16" s="10"/>
      <c r="I16" s="5"/>
      <c r="J16" s="10"/>
      <c r="K16" s="5"/>
      <c r="L16" s="10"/>
      <c r="M16" s="5"/>
      <c r="N16" s="10"/>
      <c r="O16" s="5"/>
      <c r="P16" s="10"/>
      <c r="Q16" s="5"/>
      <c r="R16" s="10"/>
    </row>
    <row r="17" spans="1:18">
      <c r="A17" s="2"/>
      <c r="B17" s="2"/>
      <c r="C17" s="6"/>
      <c r="D17" s="6"/>
      <c r="E17" s="18"/>
      <c r="F17" s="6"/>
      <c r="G17" s="6"/>
      <c r="H17" s="11"/>
      <c r="I17" s="6"/>
      <c r="J17" s="11"/>
      <c r="K17" s="6"/>
      <c r="L17" s="11"/>
      <c r="M17" s="6"/>
      <c r="N17" s="11"/>
      <c r="O17" s="6"/>
      <c r="P17" s="11"/>
      <c r="Q17" s="6"/>
      <c r="R17" s="11"/>
    </row>
    <row r="18" spans="1:18">
      <c r="A18" s="1"/>
      <c r="B18" s="1"/>
      <c r="C18" s="5"/>
      <c r="D18" s="5"/>
      <c r="E18" s="17"/>
      <c r="F18" s="5"/>
      <c r="G18" s="5"/>
      <c r="H18" s="10"/>
      <c r="I18" s="5"/>
      <c r="J18" s="10"/>
      <c r="K18" s="5"/>
      <c r="L18" s="10"/>
      <c r="M18" s="5"/>
      <c r="N18" s="10"/>
      <c r="O18" s="5"/>
      <c r="P18" s="10"/>
      <c r="Q18" s="5"/>
      <c r="R18" s="10"/>
    </row>
    <row r="19" spans="1:18">
      <c r="A19" s="2"/>
      <c r="B19" s="2"/>
      <c r="C19" s="6"/>
      <c r="D19" s="6"/>
      <c r="E19" s="18"/>
      <c r="F19" s="6"/>
      <c r="G19" s="6"/>
      <c r="H19" s="11"/>
      <c r="I19" s="6"/>
      <c r="J19" s="11"/>
      <c r="K19" s="6"/>
      <c r="L19" s="11"/>
      <c r="M19" s="6"/>
      <c r="N19" s="11"/>
      <c r="O19" s="6"/>
      <c r="P19" s="11"/>
      <c r="Q19" s="6"/>
      <c r="R19" s="11"/>
    </row>
    <row r="20" spans="1:18">
      <c r="A20" s="1"/>
      <c r="B20" s="1"/>
      <c r="C20" s="5"/>
      <c r="D20" s="5"/>
      <c r="E20" s="17"/>
      <c r="F20" s="5"/>
      <c r="G20" s="5"/>
      <c r="H20" s="10"/>
      <c r="I20" s="5"/>
      <c r="J20" s="10"/>
      <c r="K20" s="5"/>
      <c r="L20" s="10"/>
      <c r="M20" s="5"/>
      <c r="N20" s="10"/>
      <c r="O20" s="5"/>
      <c r="P20" s="10"/>
      <c r="Q20" s="5"/>
      <c r="R20" s="10"/>
    </row>
    <row r="21" spans="1:18">
      <c r="A21" s="2"/>
      <c r="B21" s="2"/>
      <c r="C21" s="6"/>
      <c r="D21" s="6"/>
      <c r="E21" s="18"/>
      <c r="F21" s="6"/>
      <c r="G21" s="6"/>
      <c r="H21" s="11"/>
      <c r="I21" s="6"/>
      <c r="J21" s="11"/>
      <c r="K21" s="6"/>
      <c r="L21" s="11"/>
      <c r="M21" s="6"/>
      <c r="N21" s="11"/>
      <c r="O21" s="6"/>
      <c r="P21" s="11"/>
      <c r="Q21" s="6"/>
      <c r="R21" s="11"/>
    </row>
    <row r="22" spans="1:18">
      <c r="A22" s="1"/>
      <c r="B22" s="1"/>
      <c r="C22" s="5"/>
      <c r="D22" s="5"/>
      <c r="E22" s="17"/>
      <c r="F22" s="5"/>
      <c r="G22" s="5"/>
      <c r="H22" s="10"/>
      <c r="I22" s="5"/>
      <c r="J22" s="10"/>
      <c r="K22" s="5"/>
      <c r="L22" s="10"/>
      <c r="M22" s="5"/>
      <c r="N22" s="10"/>
      <c r="O22" s="5"/>
      <c r="P22" s="10"/>
      <c r="Q22" s="5"/>
      <c r="R22" s="10"/>
    </row>
    <row r="23" spans="1:18">
      <c r="A23" s="2"/>
      <c r="B23" s="2"/>
      <c r="C23" s="6"/>
      <c r="D23" s="6"/>
      <c r="E23" s="18"/>
      <c r="F23" s="6"/>
      <c r="G23" s="6"/>
      <c r="H23" s="11"/>
      <c r="I23" s="6"/>
      <c r="J23" s="11"/>
      <c r="K23" s="6"/>
      <c r="L23" s="11"/>
      <c r="M23" s="6"/>
      <c r="N23" s="11"/>
      <c r="O23" s="6"/>
      <c r="P23" s="11"/>
      <c r="Q23" s="6"/>
      <c r="R23" s="11"/>
    </row>
    <row r="24" spans="1:18">
      <c r="A24" s="1"/>
      <c r="B24" s="1"/>
      <c r="C24" s="5"/>
      <c r="D24" s="5"/>
      <c r="E24" s="17"/>
      <c r="F24" s="5"/>
      <c r="G24" s="5"/>
      <c r="H24" s="10"/>
      <c r="I24" s="5"/>
      <c r="J24" s="10"/>
      <c r="K24" s="5"/>
      <c r="L24" s="10"/>
      <c r="M24" s="5"/>
      <c r="N24" s="10"/>
      <c r="O24" s="5"/>
      <c r="P24" s="10"/>
      <c r="Q24" s="5"/>
      <c r="R24" s="10"/>
    </row>
    <row r="25" spans="1:18">
      <c r="A25" s="2"/>
      <c r="B25" s="2"/>
      <c r="C25" s="6"/>
      <c r="D25" s="6"/>
      <c r="E25" s="18"/>
      <c r="F25" s="6"/>
      <c r="G25" s="6"/>
      <c r="H25" s="11"/>
      <c r="I25" s="6"/>
      <c r="J25" s="11"/>
      <c r="K25" s="6"/>
      <c r="L25" s="11"/>
      <c r="M25" s="6"/>
      <c r="N25" s="11"/>
      <c r="O25" s="6"/>
      <c r="P25" s="11"/>
      <c r="Q25" s="6"/>
      <c r="R25" s="11"/>
    </row>
    <row r="26" spans="1:18">
      <c r="A26" s="1"/>
      <c r="B26" s="1"/>
      <c r="C26" s="5"/>
      <c r="D26" s="5"/>
      <c r="E26" s="17"/>
      <c r="F26" s="5"/>
      <c r="G26" s="5"/>
      <c r="H26" s="10"/>
      <c r="I26" s="5"/>
      <c r="J26" s="10"/>
      <c r="K26" s="5"/>
      <c r="L26" s="10"/>
      <c r="M26" s="5"/>
      <c r="N26" s="10"/>
      <c r="O26" s="5"/>
      <c r="P26" s="10"/>
      <c r="Q26" s="5"/>
      <c r="R26" s="10"/>
    </row>
    <row r="27" spans="1:18">
      <c r="A27" s="2"/>
      <c r="B27" s="2"/>
      <c r="C27" s="6"/>
      <c r="D27" s="6"/>
      <c r="E27" s="18"/>
      <c r="F27" s="6"/>
      <c r="G27" s="6"/>
      <c r="H27" s="11"/>
      <c r="I27" s="6"/>
      <c r="J27" s="11"/>
      <c r="K27" s="6"/>
      <c r="L27" s="11"/>
      <c r="M27" s="6"/>
      <c r="N27" s="11"/>
      <c r="O27" s="6"/>
      <c r="P27" s="11"/>
      <c r="Q27" s="6"/>
      <c r="R27" s="11"/>
    </row>
    <row r="28" spans="1:18">
      <c r="A28" s="1"/>
      <c r="B28" s="1"/>
      <c r="C28" s="5"/>
      <c r="D28" s="5"/>
      <c r="E28" s="17"/>
      <c r="F28" s="5"/>
      <c r="G28" s="5"/>
      <c r="H28" s="10"/>
      <c r="I28" s="5"/>
      <c r="J28" s="10"/>
      <c r="K28" s="5"/>
      <c r="L28" s="10"/>
      <c r="M28" s="5"/>
      <c r="N28" s="10"/>
      <c r="O28" s="5"/>
      <c r="P28" s="10"/>
      <c r="Q28" s="5"/>
      <c r="R28" s="10"/>
    </row>
    <row r="29" spans="1:18">
      <c r="A29" s="2"/>
      <c r="B29" s="2"/>
      <c r="C29" s="6"/>
      <c r="D29" s="6"/>
      <c r="E29" s="18"/>
      <c r="F29" s="6"/>
      <c r="G29" s="6"/>
      <c r="H29" s="11"/>
      <c r="I29" s="6"/>
      <c r="J29" s="11"/>
      <c r="K29" s="6"/>
      <c r="L29" s="11"/>
      <c r="M29" s="6"/>
      <c r="N29" s="11"/>
      <c r="O29" s="6"/>
      <c r="P29" s="11"/>
      <c r="Q29" s="6"/>
      <c r="R29" s="11"/>
    </row>
    <row r="30" spans="1:18">
      <c r="A30" s="1"/>
      <c r="B30" s="1"/>
      <c r="C30" s="5"/>
      <c r="D30" s="5"/>
      <c r="E30" s="17"/>
      <c r="F30" s="5"/>
      <c r="G30" s="5"/>
      <c r="H30" s="10"/>
      <c r="I30" s="5"/>
      <c r="J30" s="10"/>
      <c r="K30" s="5"/>
      <c r="L30" s="10"/>
      <c r="M30" s="5"/>
      <c r="N30" s="10"/>
      <c r="O30" s="5"/>
      <c r="P30" s="10"/>
      <c r="Q30" s="5"/>
      <c r="R30" s="10"/>
    </row>
    <row r="31" spans="1:18">
      <c r="A31" s="2"/>
      <c r="B31" s="2"/>
      <c r="C31" s="6"/>
      <c r="D31" s="6"/>
      <c r="E31" s="18"/>
      <c r="F31" s="6"/>
      <c r="G31" s="6"/>
      <c r="H31" s="11"/>
      <c r="I31" s="6"/>
      <c r="J31" s="11"/>
      <c r="K31" s="6"/>
      <c r="L31" s="11"/>
      <c r="M31" s="6"/>
      <c r="N31" s="11"/>
      <c r="O31" s="6"/>
      <c r="P31" s="11"/>
      <c r="Q31" s="6"/>
      <c r="R31" s="11"/>
    </row>
    <row r="32" spans="1:18">
      <c r="A32" s="1"/>
      <c r="B32" s="1"/>
      <c r="C32" s="5"/>
      <c r="D32" s="5"/>
      <c r="E32" s="17"/>
      <c r="F32" s="5"/>
      <c r="G32" s="5"/>
      <c r="H32" s="10"/>
      <c r="I32" s="5"/>
      <c r="J32" s="10"/>
      <c r="K32" s="5"/>
      <c r="L32" s="10"/>
      <c r="M32" s="5"/>
      <c r="N32" s="10"/>
      <c r="O32" s="5"/>
      <c r="P32" s="10"/>
      <c r="Q32" s="5"/>
      <c r="R32" s="10"/>
    </row>
    <row r="33" spans="1:18">
      <c r="A33" s="2"/>
      <c r="B33" s="2"/>
      <c r="C33" s="6"/>
      <c r="D33" s="6"/>
      <c r="E33" s="18"/>
      <c r="F33" s="6"/>
      <c r="G33" s="6"/>
      <c r="H33" s="11"/>
      <c r="I33" s="6"/>
      <c r="J33" s="11"/>
      <c r="K33" s="6"/>
      <c r="L33" s="11"/>
      <c r="M33" s="6"/>
      <c r="N33" s="11"/>
      <c r="O33" s="6"/>
      <c r="P33" s="11"/>
      <c r="Q33" s="6"/>
      <c r="R33" s="11"/>
    </row>
    <row r="34" spans="1:18">
      <c r="A34" s="1"/>
      <c r="B34" s="1"/>
      <c r="C34" s="5"/>
      <c r="D34" s="5"/>
      <c r="E34" s="17"/>
      <c r="F34" s="5"/>
      <c r="G34" s="5"/>
      <c r="H34" s="10"/>
      <c r="I34" s="5"/>
      <c r="J34" s="10"/>
      <c r="K34" s="5"/>
      <c r="L34" s="10"/>
      <c r="M34" s="5"/>
      <c r="N34" s="10"/>
      <c r="O34" s="5"/>
      <c r="P34" s="10"/>
      <c r="Q34" s="5"/>
      <c r="R34" s="10"/>
    </row>
    <row r="35" spans="1:18">
      <c r="A35" s="2"/>
      <c r="B35" s="2"/>
      <c r="C35" s="6"/>
      <c r="D35" s="6"/>
      <c r="E35" s="18"/>
      <c r="F35" s="6"/>
      <c r="G35" s="6"/>
      <c r="H35" s="11"/>
      <c r="I35" s="6"/>
      <c r="J35" s="11"/>
      <c r="K35" s="6"/>
      <c r="L35" s="11"/>
      <c r="M35" s="6"/>
      <c r="N35" s="11"/>
      <c r="O35" s="6"/>
      <c r="P35" s="11"/>
      <c r="Q35" s="6"/>
      <c r="R35" s="11"/>
    </row>
    <row r="36" spans="1:18">
      <c r="A36" s="1"/>
      <c r="B36" s="1"/>
      <c r="C36" s="5"/>
      <c r="D36" s="5"/>
      <c r="E36" s="17"/>
      <c r="F36" s="5"/>
      <c r="G36" s="5"/>
      <c r="H36" s="10"/>
      <c r="I36" s="5"/>
      <c r="J36" s="10"/>
      <c r="K36" s="5"/>
      <c r="L36" s="10"/>
      <c r="M36" s="5"/>
      <c r="N36" s="10"/>
      <c r="O36" s="5"/>
      <c r="P36" s="10"/>
      <c r="Q36" s="5"/>
      <c r="R36" s="10"/>
    </row>
    <row r="37" spans="1:18">
      <c r="A37" s="2"/>
      <c r="B37" s="2"/>
      <c r="C37" s="6"/>
      <c r="D37" s="6"/>
      <c r="E37" s="18"/>
      <c r="F37" s="6"/>
      <c r="G37" s="6"/>
      <c r="H37" s="11"/>
      <c r="I37" s="6"/>
      <c r="J37" s="11"/>
      <c r="K37" s="6"/>
      <c r="L37" s="11"/>
      <c r="M37" s="6"/>
      <c r="N37" s="11"/>
      <c r="O37" s="6"/>
      <c r="P37" s="11"/>
      <c r="Q37" s="6"/>
      <c r="R37" s="11"/>
    </row>
    <row r="38" spans="1:18">
      <c r="A38" s="1"/>
      <c r="B38" s="1"/>
      <c r="C38" s="5"/>
      <c r="D38" s="5"/>
      <c r="E38" s="17"/>
      <c r="F38" s="5"/>
      <c r="G38" s="5"/>
      <c r="H38" s="10"/>
      <c r="I38" s="5"/>
      <c r="J38" s="10"/>
      <c r="K38" s="5"/>
      <c r="L38" s="10"/>
      <c r="M38" s="5"/>
      <c r="N38" s="10"/>
      <c r="O38" s="5"/>
      <c r="P38" s="10"/>
      <c r="Q38" s="5"/>
      <c r="R38" s="10"/>
    </row>
    <row r="39" spans="1:18">
      <c r="A39" s="2"/>
      <c r="B39" s="2"/>
      <c r="C39" s="6"/>
      <c r="D39" s="6"/>
      <c r="E39" s="18"/>
      <c r="F39" s="6"/>
      <c r="G39" s="6"/>
      <c r="H39" s="11"/>
      <c r="I39" s="6"/>
      <c r="J39" s="11"/>
      <c r="K39" s="6"/>
      <c r="L39" s="11"/>
      <c r="M39" s="6"/>
      <c r="N39" s="11"/>
      <c r="O39" s="6"/>
      <c r="P39" s="11"/>
      <c r="Q39" s="6"/>
      <c r="R39" s="11"/>
    </row>
    <row r="40" spans="1:18">
      <c r="A40" s="1"/>
      <c r="B40" s="1"/>
      <c r="C40" s="5"/>
      <c r="D40" s="5"/>
      <c r="E40" s="17"/>
      <c r="F40" s="5"/>
      <c r="G40" s="5"/>
      <c r="H40" s="10"/>
      <c r="I40" s="5"/>
      <c r="J40" s="10"/>
      <c r="K40" s="5"/>
      <c r="L40" s="10"/>
      <c r="M40" s="5"/>
      <c r="N40" s="10"/>
      <c r="O40" s="5"/>
      <c r="P40" s="10"/>
      <c r="Q40" s="5"/>
      <c r="R40" s="10"/>
    </row>
    <row r="41" spans="1:18">
      <c r="A41" s="2"/>
      <c r="B41" s="2"/>
      <c r="C41" s="6"/>
      <c r="D41" s="6"/>
      <c r="E41" s="18"/>
      <c r="F41" s="6"/>
      <c r="G41" s="6"/>
      <c r="H41" s="11"/>
      <c r="I41" s="6"/>
      <c r="J41" s="11"/>
      <c r="K41" s="6"/>
      <c r="L41" s="11"/>
      <c r="M41" s="6"/>
      <c r="N41" s="11"/>
      <c r="O41" s="6"/>
      <c r="P41" s="11"/>
      <c r="Q41" s="6"/>
      <c r="R41" s="11"/>
    </row>
    <row r="42" spans="1:18">
      <c r="A42" s="1"/>
      <c r="B42" s="1"/>
      <c r="C42" s="5"/>
      <c r="D42" s="5"/>
      <c r="E42" s="17"/>
      <c r="F42" s="5"/>
      <c r="G42" s="5"/>
      <c r="H42" s="10"/>
      <c r="I42" s="5"/>
      <c r="J42" s="10"/>
      <c r="K42" s="5"/>
      <c r="L42" s="10"/>
      <c r="M42" s="5"/>
      <c r="N42" s="10"/>
      <c r="O42" s="5"/>
      <c r="P42" s="10"/>
      <c r="Q42" s="5"/>
      <c r="R42" s="10"/>
    </row>
    <row r="43" spans="1:18">
      <c r="A43" s="8"/>
      <c r="B43" s="8"/>
      <c r="C43" s="9"/>
      <c r="D43" s="9"/>
      <c r="E43" s="19"/>
      <c r="F43" s="9"/>
      <c r="G43" s="9"/>
      <c r="H43" s="12"/>
      <c r="I43" s="9"/>
      <c r="J43" s="12"/>
      <c r="K43" s="9"/>
      <c r="L43" s="12"/>
      <c r="M43" s="9"/>
      <c r="N43" s="12"/>
      <c r="O43" s="9"/>
      <c r="P43" s="12"/>
      <c r="Q43" s="9"/>
      <c r="R43" s="12"/>
    </row>
    <row r="44" spans="1:18">
      <c r="A44" s="1"/>
      <c r="B44" s="1"/>
      <c r="C44" s="5"/>
      <c r="D44" s="5"/>
      <c r="E44" s="17"/>
      <c r="F44" s="5"/>
      <c r="G44" s="5"/>
      <c r="H44" s="10"/>
      <c r="I44" s="5"/>
      <c r="J44" s="10"/>
      <c r="K44" s="5"/>
      <c r="L44" s="10"/>
      <c r="M44" s="5"/>
      <c r="N44" s="10"/>
      <c r="O44" s="5"/>
      <c r="P44" s="10"/>
      <c r="Q44" s="5"/>
      <c r="R44" s="10"/>
    </row>
    <row r="45" spans="1:18">
      <c r="A45" s="8"/>
      <c r="B45" s="8"/>
      <c r="C45" s="9"/>
      <c r="D45" s="9"/>
      <c r="E45" s="19"/>
      <c r="F45" s="9"/>
      <c r="G45" s="9"/>
      <c r="H45" s="12"/>
      <c r="I45" s="9"/>
      <c r="J45" s="12"/>
      <c r="K45" s="9"/>
      <c r="L45" s="12"/>
      <c r="M45" s="9"/>
      <c r="N45" s="12"/>
      <c r="O45" s="9"/>
      <c r="P45" s="12"/>
      <c r="Q45" s="9"/>
      <c r="R45" s="12"/>
    </row>
    <row r="46" spans="1:18">
      <c r="A46" s="1"/>
      <c r="B46" s="1"/>
      <c r="C46" s="5"/>
      <c r="D46" s="5"/>
      <c r="E46" s="17"/>
      <c r="F46" s="5"/>
      <c r="G46" s="5"/>
      <c r="H46" s="10"/>
      <c r="I46" s="5"/>
      <c r="J46" s="10"/>
      <c r="K46" s="5"/>
      <c r="L46" s="10"/>
      <c r="M46" s="5"/>
      <c r="N46" s="10"/>
      <c r="O46" s="5"/>
      <c r="P46" s="10"/>
      <c r="Q46" s="5"/>
      <c r="R46" s="10"/>
    </row>
    <row r="47" spans="1:18">
      <c r="A47" s="2"/>
      <c r="B47" s="2"/>
      <c r="C47" s="6"/>
      <c r="D47" s="6"/>
      <c r="E47" s="18"/>
      <c r="F47" s="6"/>
      <c r="G47" s="6"/>
      <c r="H47" s="11"/>
      <c r="I47" s="6"/>
      <c r="J47" s="11"/>
      <c r="K47" s="6"/>
      <c r="L47" s="11"/>
      <c r="M47" s="6"/>
      <c r="N47" s="11"/>
      <c r="O47" s="6"/>
      <c r="P47" s="11"/>
      <c r="Q47" s="6"/>
      <c r="R47" s="11"/>
    </row>
    <row r="48" spans="1:18">
      <c r="A48" s="1"/>
      <c r="B48" s="1"/>
      <c r="C48" s="5"/>
      <c r="D48" s="5"/>
      <c r="E48" s="17"/>
      <c r="F48" s="5"/>
      <c r="G48" s="5"/>
      <c r="H48" s="10"/>
      <c r="I48" s="5"/>
      <c r="J48" s="10"/>
      <c r="K48" s="5"/>
      <c r="L48" s="10"/>
      <c r="M48" s="5"/>
      <c r="N48" s="10"/>
      <c r="O48" s="5"/>
      <c r="P48" s="10"/>
      <c r="Q48" s="5"/>
      <c r="R48" s="10"/>
    </row>
    <row r="49" spans="1:18">
      <c r="A49" s="2"/>
      <c r="B49" s="2"/>
      <c r="C49" s="6"/>
      <c r="D49" s="6"/>
      <c r="E49" s="18"/>
      <c r="F49" s="6"/>
      <c r="G49" s="6"/>
      <c r="H49" s="11"/>
      <c r="I49" s="6"/>
      <c r="J49" s="11"/>
      <c r="K49" s="6"/>
      <c r="L49" s="11"/>
      <c r="M49" s="6"/>
      <c r="N49" s="11"/>
      <c r="O49" s="6"/>
      <c r="P49" s="11"/>
      <c r="Q49" s="6"/>
      <c r="R49" s="11"/>
    </row>
    <row r="50" spans="1:18">
      <c r="A50" s="1"/>
      <c r="B50" s="1"/>
      <c r="C50" s="5"/>
      <c r="D50" s="5"/>
      <c r="E50" s="17"/>
      <c r="F50" s="5"/>
      <c r="G50" s="5"/>
      <c r="H50" s="10"/>
      <c r="I50" s="5"/>
      <c r="J50" s="10"/>
      <c r="K50" s="5"/>
      <c r="L50" s="10"/>
      <c r="M50" s="5"/>
      <c r="N50" s="10"/>
      <c r="O50" s="5"/>
      <c r="P50" s="10"/>
      <c r="Q50" s="5"/>
      <c r="R50" s="10"/>
    </row>
    <row r="51" spans="1:18">
      <c r="A51" s="2"/>
      <c r="B51" s="2"/>
      <c r="C51" s="6"/>
      <c r="D51" s="6"/>
      <c r="E51" s="18"/>
      <c r="F51" s="6"/>
      <c r="G51" s="6"/>
      <c r="H51" s="11"/>
      <c r="I51" s="6"/>
      <c r="J51" s="11"/>
      <c r="K51" s="6"/>
      <c r="L51" s="11"/>
      <c r="M51" s="6"/>
      <c r="N51" s="11"/>
      <c r="O51" s="6"/>
      <c r="P51" s="11"/>
      <c r="Q51" s="6"/>
      <c r="R51" s="11"/>
    </row>
    <row r="52" spans="1:18">
      <c r="A52" s="1"/>
      <c r="B52" s="1"/>
      <c r="C52" s="5"/>
      <c r="D52" s="5"/>
      <c r="E52" s="17"/>
      <c r="F52" s="5"/>
      <c r="G52" s="5"/>
      <c r="H52" s="10"/>
      <c r="I52" s="5"/>
      <c r="J52" s="10"/>
      <c r="K52" s="5"/>
      <c r="L52" s="10"/>
      <c r="M52" s="5"/>
      <c r="N52" s="10"/>
      <c r="O52" s="5"/>
      <c r="P52" s="10"/>
      <c r="Q52" s="5"/>
      <c r="R52" s="10"/>
    </row>
    <row r="53" spans="1:18">
      <c r="A53" s="8"/>
      <c r="B53" s="8"/>
      <c r="C53" s="9"/>
      <c r="D53" s="9"/>
      <c r="E53" s="19"/>
      <c r="F53" s="9"/>
      <c r="G53" s="9"/>
      <c r="H53" s="12"/>
      <c r="I53" s="9"/>
      <c r="J53" s="12"/>
      <c r="K53" s="9"/>
      <c r="L53" s="12"/>
      <c r="M53" s="9"/>
      <c r="N53" s="12"/>
      <c r="O53" s="9"/>
      <c r="P53" s="12"/>
      <c r="Q53" s="9"/>
      <c r="R53" s="12"/>
    </row>
    <row r="54" spans="1:18">
      <c r="A54" s="1"/>
      <c r="B54" s="1"/>
      <c r="C54" s="5"/>
      <c r="D54" s="5"/>
      <c r="E54" s="17"/>
      <c r="F54" s="5"/>
      <c r="G54" s="5"/>
      <c r="H54" s="10"/>
      <c r="I54" s="5"/>
      <c r="J54" s="10"/>
      <c r="K54" s="5"/>
      <c r="L54" s="10"/>
      <c r="M54" s="5"/>
      <c r="N54" s="10"/>
      <c r="O54" s="5"/>
      <c r="P54" s="10"/>
      <c r="Q54" s="5"/>
      <c r="R54" s="10"/>
    </row>
    <row r="55" spans="1:18">
      <c r="A55" s="8"/>
      <c r="B55" s="8"/>
      <c r="C55" s="9"/>
      <c r="D55" s="9"/>
      <c r="E55" s="19"/>
      <c r="F55" s="9"/>
      <c r="G55" s="9"/>
      <c r="H55" s="12"/>
      <c r="I55" s="9"/>
      <c r="J55" s="12"/>
      <c r="K55" s="9"/>
      <c r="L55" s="12"/>
      <c r="M55" s="9"/>
      <c r="N55" s="12"/>
      <c r="O55" s="9"/>
      <c r="P55" s="12"/>
      <c r="Q55" s="9"/>
      <c r="R55" s="12"/>
    </row>
    <row r="56" spans="1:18">
      <c r="A56" s="1"/>
      <c r="B56" s="1"/>
      <c r="C56" s="5"/>
      <c r="D56" s="5"/>
      <c r="E56" s="17"/>
      <c r="F56" s="5"/>
      <c r="G56" s="5"/>
      <c r="H56" s="10"/>
      <c r="I56" s="5"/>
      <c r="J56" s="10"/>
      <c r="K56" s="5"/>
      <c r="L56" s="10"/>
      <c r="M56" s="5"/>
      <c r="N56" s="10"/>
      <c r="O56" s="5"/>
      <c r="P56" s="10"/>
      <c r="Q56" s="5"/>
      <c r="R56" s="10"/>
    </row>
    <row r="57" spans="1:18">
      <c r="A57" s="2"/>
      <c r="B57" s="2"/>
      <c r="C57" s="6"/>
      <c r="D57" s="6"/>
      <c r="E57" s="18"/>
      <c r="F57" s="6"/>
      <c r="G57" s="6"/>
      <c r="H57" s="11"/>
      <c r="I57" s="6"/>
      <c r="J57" s="11"/>
      <c r="K57" s="6"/>
      <c r="L57" s="11"/>
      <c r="M57" s="6"/>
      <c r="N57" s="11"/>
      <c r="O57" s="6"/>
      <c r="P57" s="11"/>
      <c r="Q57" s="6"/>
      <c r="R57" s="11"/>
    </row>
    <row r="58" spans="1:18">
      <c r="A58" s="1"/>
      <c r="B58" s="1"/>
      <c r="C58" s="5"/>
      <c r="D58" s="5"/>
      <c r="E58" s="17"/>
      <c r="F58" s="5"/>
      <c r="G58" s="5"/>
      <c r="H58" s="10"/>
      <c r="I58" s="5"/>
      <c r="J58" s="10"/>
      <c r="K58" s="5"/>
      <c r="L58" s="10"/>
      <c r="M58" s="5"/>
      <c r="N58" s="10"/>
      <c r="O58" s="5"/>
      <c r="P58" s="10"/>
      <c r="Q58" s="5"/>
      <c r="R58" s="10"/>
    </row>
    <row r="59" spans="1:18">
      <c r="A59" s="2"/>
      <c r="B59" s="2"/>
      <c r="C59" s="6"/>
      <c r="D59" s="6"/>
      <c r="E59" s="18"/>
      <c r="F59" s="6"/>
      <c r="G59" s="6"/>
      <c r="H59" s="11"/>
      <c r="I59" s="6"/>
      <c r="J59" s="11"/>
      <c r="K59" s="6"/>
      <c r="L59" s="11"/>
      <c r="M59" s="6"/>
      <c r="N59" s="11"/>
      <c r="O59" s="6"/>
      <c r="P59" s="11"/>
      <c r="Q59" s="6"/>
      <c r="R59" s="11"/>
    </row>
  </sheetData>
  <conditionalFormatting sqref="H2:H43">
    <cfRule type="cellIs" dxfId="124" priority="57" operator="between">
      <formula>0</formula>
      <formula>0.05</formula>
    </cfRule>
    <cfRule type="cellIs" dxfId="123" priority="60" operator="between">
      <formula>-0.05</formula>
      <formula>0</formula>
    </cfRule>
  </conditionalFormatting>
  <conditionalFormatting sqref="J2:J43 L2:L43 N2:N43">
    <cfRule type="cellIs" dxfId="122" priority="59" operator="lessThan">
      <formula>-0.02</formula>
    </cfRule>
  </conditionalFormatting>
  <conditionalFormatting sqref="R2:R43">
    <cfRule type="cellIs" dxfId="121" priority="58" operator="between">
      <formula>-0.05</formula>
      <formula>0.05</formula>
    </cfRule>
  </conditionalFormatting>
  <conditionalFormatting sqref="P2:P43">
    <cfRule type="cellIs" dxfId="120" priority="56" operator="between">
      <formula>-0.05</formula>
      <formula>0.05</formula>
    </cfRule>
  </conditionalFormatting>
  <conditionalFormatting sqref="H44">
    <cfRule type="cellIs" dxfId="119" priority="52" operator="between">
      <formula>0</formula>
      <formula>0.05</formula>
    </cfRule>
    <cfRule type="cellIs" dxfId="118" priority="55" operator="between">
      <formula>-0.05</formula>
      <formula>0</formula>
    </cfRule>
  </conditionalFormatting>
  <conditionalFormatting sqref="J44 L44 N44">
    <cfRule type="cellIs" dxfId="117" priority="54" operator="lessThan">
      <formula>-0.02</formula>
    </cfRule>
  </conditionalFormatting>
  <conditionalFormatting sqref="R44">
    <cfRule type="cellIs" dxfId="116" priority="53" operator="between">
      <formula>-0.05</formula>
      <formula>0.05</formula>
    </cfRule>
  </conditionalFormatting>
  <conditionalFormatting sqref="P44">
    <cfRule type="cellIs" dxfId="115" priority="51" operator="between">
      <formula>-0.05</formula>
      <formula>0.05</formula>
    </cfRule>
  </conditionalFormatting>
  <conditionalFormatting sqref="H45">
    <cfRule type="cellIs" dxfId="114" priority="47" operator="between">
      <formula>0</formula>
      <formula>0.05</formula>
    </cfRule>
    <cfRule type="cellIs" dxfId="113" priority="50" operator="between">
      <formula>-0.05</formula>
      <formula>0</formula>
    </cfRule>
  </conditionalFormatting>
  <conditionalFormatting sqref="J45 L45 N45">
    <cfRule type="cellIs" dxfId="112" priority="49" operator="lessThan">
      <formula>-0.02</formula>
    </cfRule>
  </conditionalFormatting>
  <conditionalFormatting sqref="R45">
    <cfRule type="cellIs" dxfId="111" priority="48" operator="between">
      <formula>-0.05</formula>
      <formula>0.05</formula>
    </cfRule>
  </conditionalFormatting>
  <conditionalFormatting sqref="P45">
    <cfRule type="cellIs" dxfId="110" priority="46" operator="between">
      <formula>-0.05</formula>
      <formula>0.05</formula>
    </cfRule>
  </conditionalFormatting>
  <conditionalFormatting sqref="H46">
    <cfRule type="cellIs" dxfId="109" priority="42" operator="between">
      <formula>0</formula>
      <formula>0.05</formula>
    </cfRule>
    <cfRule type="cellIs" dxfId="108" priority="45" operator="between">
      <formula>-0.05</formula>
      <formula>0</formula>
    </cfRule>
  </conditionalFormatting>
  <conditionalFormatting sqref="J46 L46 N46">
    <cfRule type="cellIs" dxfId="107" priority="44" operator="lessThan">
      <formula>-0.02</formula>
    </cfRule>
  </conditionalFormatting>
  <conditionalFormatting sqref="R46">
    <cfRule type="cellIs" dxfId="106" priority="43" operator="between">
      <formula>-0.05</formula>
      <formula>0.05</formula>
    </cfRule>
  </conditionalFormatting>
  <conditionalFormatting sqref="P46">
    <cfRule type="cellIs" dxfId="105" priority="41" operator="between">
      <formula>-0.05</formula>
      <formula>0.05</formula>
    </cfRule>
  </conditionalFormatting>
  <conditionalFormatting sqref="H47">
    <cfRule type="cellIs" dxfId="104" priority="37" operator="between">
      <formula>0</formula>
      <formula>0.05</formula>
    </cfRule>
    <cfRule type="cellIs" dxfId="103" priority="40" operator="between">
      <formula>-0.05</formula>
      <formula>0</formula>
    </cfRule>
  </conditionalFormatting>
  <conditionalFormatting sqref="J47 L47 N47">
    <cfRule type="cellIs" dxfId="102" priority="39" operator="lessThan">
      <formula>-0.02</formula>
    </cfRule>
  </conditionalFormatting>
  <conditionalFormatting sqref="R47">
    <cfRule type="cellIs" dxfId="101" priority="38" operator="between">
      <formula>-0.05</formula>
      <formula>0.05</formula>
    </cfRule>
  </conditionalFormatting>
  <conditionalFormatting sqref="P47">
    <cfRule type="cellIs" dxfId="100" priority="36" operator="between">
      <formula>-0.05</formula>
      <formula>0.05</formula>
    </cfRule>
  </conditionalFormatting>
  <conditionalFormatting sqref="H48:H53">
    <cfRule type="cellIs" dxfId="99" priority="32" operator="between">
      <formula>0</formula>
      <formula>0.05</formula>
    </cfRule>
    <cfRule type="cellIs" dxfId="98" priority="35" operator="between">
      <formula>-0.05</formula>
      <formula>0</formula>
    </cfRule>
  </conditionalFormatting>
  <conditionalFormatting sqref="J48:J53 L48:L53 N48:N53">
    <cfRule type="cellIs" dxfId="97" priority="34" operator="lessThan">
      <formula>-0.02</formula>
    </cfRule>
  </conditionalFormatting>
  <conditionalFormatting sqref="R48:R53">
    <cfRule type="cellIs" dxfId="96" priority="33" operator="between">
      <formula>-0.05</formula>
      <formula>0.05</formula>
    </cfRule>
  </conditionalFormatting>
  <conditionalFormatting sqref="P48:P53">
    <cfRule type="cellIs" dxfId="95" priority="31" operator="between">
      <formula>-0.05</formula>
      <formula>0.05</formula>
    </cfRule>
  </conditionalFormatting>
  <conditionalFormatting sqref="H54">
    <cfRule type="cellIs" dxfId="94" priority="27" operator="between">
      <formula>0</formula>
      <formula>0.05</formula>
    </cfRule>
    <cfRule type="cellIs" dxfId="93" priority="30" operator="between">
      <formula>-0.05</formula>
      <formula>0</formula>
    </cfRule>
  </conditionalFormatting>
  <conditionalFormatting sqref="J54 L54 N54">
    <cfRule type="cellIs" dxfId="92" priority="29" operator="lessThan">
      <formula>-0.02</formula>
    </cfRule>
  </conditionalFormatting>
  <conditionalFormatting sqref="R54">
    <cfRule type="cellIs" dxfId="91" priority="28" operator="between">
      <formula>-0.05</formula>
      <formula>0.05</formula>
    </cfRule>
  </conditionalFormatting>
  <conditionalFormatting sqref="P54">
    <cfRule type="cellIs" dxfId="90" priority="26" operator="between">
      <formula>-0.05</formula>
      <formula>0.05</formula>
    </cfRule>
  </conditionalFormatting>
  <conditionalFormatting sqref="H55">
    <cfRule type="cellIs" dxfId="89" priority="22" operator="between">
      <formula>0</formula>
      <formula>0.05</formula>
    </cfRule>
    <cfRule type="cellIs" dxfId="88" priority="25" operator="between">
      <formula>-0.05</formula>
      <formula>0</formula>
    </cfRule>
  </conditionalFormatting>
  <conditionalFormatting sqref="J55 L55 N55">
    <cfRule type="cellIs" dxfId="87" priority="24" operator="lessThan">
      <formula>-0.02</formula>
    </cfRule>
  </conditionalFormatting>
  <conditionalFormatting sqref="R55">
    <cfRule type="cellIs" dxfId="86" priority="23" operator="between">
      <formula>-0.05</formula>
      <formula>0.05</formula>
    </cfRule>
  </conditionalFormatting>
  <conditionalFormatting sqref="P55">
    <cfRule type="cellIs" dxfId="85" priority="21" operator="between">
      <formula>-0.05</formula>
      <formula>0.05</formula>
    </cfRule>
  </conditionalFormatting>
  <conditionalFormatting sqref="H56">
    <cfRule type="cellIs" dxfId="84" priority="17" operator="between">
      <formula>0</formula>
      <formula>0.05</formula>
    </cfRule>
    <cfRule type="cellIs" dxfId="83" priority="20" operator="between">
      <formula>-0.05</formula>
      <formula>0</formula>
    </cfRule>
  </conditionalFormatting>
  <conditionalFormatting sqref="J56 L56 N56">
    <cfRule type="cellIs" dxfId="82" priority="19" operator="lessThan">
      <formula>-0.02</formula>
    </cfRule>
  </conditionalFormatting>
  <conditionalFormatting sqref="R56">
    <cfRule type="cellIs" dxfId="81" priority="18" operator="between">
      <formula>-0.05</formula>
      <formula>0.05</formula>
    </cfRule>
  </conditionalFormatting>
  <conditionalFormatting sqref="P56">
    <cfRule type="cellIs" dxfId="80" priority="16" operator="between">
      <formula>-0.05</formula>
      <formula>0.05</formula>
    </cfRule>
  </conditionalFormatting>
  <conditionalFormatting sqref="H57">
    <cfRule type="cellIs" dxfId="79" priority="12" operator="between">
      <formula>0</formula>
      <formula>0.05</formula>
    </cfRule>
    <cfRule type="cellIs" dxfId="78" priority="15" operator="between">
      <formula>-0.05</formula>
      <formula>0</formula>
    </cfRule>
  </conditionalFormatting>
  <conditionalFormatting sqref="J57 L57 N57">
    <cfRule type="cellIs" dxfId="77" priority="14" operator="lessThan">
      <formula>-0.02</formula>
    </cfRule>
  </conditionalFormatting>
  <conditionalFormatting sqref="R57">
    <cfRule type="cellIs" dxfId="76" priority="13" operator="between">
      <formula>-0.05</formula>
      <formula>0.05</formula>
    </cfRule>
  </conditionalFormatting>
  <conditionalFormatting sqref="P57">
    <cfRule type="cellIs" dxfId="75" priority="11" operator="between">
      <formula>-0.05</formula>
      <formula>0.05</formula>
    </cfRule>
  </conditionalFormatting>
  <conditionalFormatting sqref="H58">
    <cfRule type="cellIs" dxfId="74" priority="7" operator="between">
      <formula>0</formula>
      <formula>0.05</formula>
    </cfRule>
    <cfRule type="cellIs" dxfId="73" priority="10" operator="between">
      <formula>-0.05</formula>
      <formula>0</formula>
    </cfRule>
  </conditionalFormatting>
  <conditionalFormatting sqref="J58 L58 N58">
    <cfRule type="cellIs" dxfId="72" priority="9" operator="lessThan">
      <formula>-0.02</formula>
    </cfRule>
  </conditionalFormatting>
  <conditionalFormatting sqref="R58">
    <cfRule type="cellIs" dxfId="71" priority="8" operator="between">
      <formula>-0.05</formula>
      <formula>0.05</formula>
    </cfRule>
  </conditionalFormatting>
  <conditionalFormatting sqref="P58">
    <cfRule type="cellIs" dxfId="70" priority="6" operator="between">
      <formula>-0.05</formula>
      <formula>0.05</formula>
    </cfRule>
  </conditionalFormatting>
  <conditionalFormatting sqref="H59">
    <cfRule type="cellIs" dxfId="69" priority="2" operator="between">
      <formula>0</formula>
      <formula>0.05</formula>
    </cfRule>
    <cfRule type="cellIs" dxfId="68" priority="5" operator="between">
      <formula>-0.05</formula>
      <formula>0</formula>
    </cfRule>
  </conditionalFormatting>
  <conditionalFormatting sqref="J59 L59 N59">
    <cfRule type="cellIs" dxfId="67" priority="4" operator="lessThan">
      <formula>-0.02</formula>
    </cfRule>
  </conditionalFormatting>
  <conditionalFormatting sqref="R59">
    <cfRule type="cellIs" dxfId="66" priority="3" operator="between">
      <formula>-0.05</formula>
      <formula>0.05</formula>
    </cfRule>
  </conditionalFormatting>
  <conditionalFormatting sqref="P59">
    <cfRule type="cellIs" dxfId="65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UpdateCurrentSheet">
                <anchor moveWithCells="1" sizeWithCells="1">
                  <from>
                    <xdr:col>23</xdr:col>
                    <xdr:colOff>19050</xdr:colOff>
                    <xdr:row>0</xdr:row>
                    <xdr:rowOff>47625</xdr:rowOff>
                  </from>
                  <to>
                    <xdr:col>25</xdr:col>
                    <xdr:colOff>285750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6"/>
  </sheetPr>
  <dimension ref="A1:Y60"/>
  <sheetViews>
    <sheetView zoomScale="80" zoomScaleNormal="80" workbookViewId="0">
      <pane ySplit="1" topLeftCell="A2" activePane="bottomLeft" state="frozen"/>
      <selection activeCell="B41" sqref="B41"/>
      <selection pane="bottomLeft" activeCell="X2" sqref="X2"/>
    </sheetView>
  </sheetViews>
  <sheetFormatPr defaultRowHeight="15"/>
  <cols>
    <col min="1" max="1" width="10.28515625" bestFit="1" customWidth="1"/>
    <col min="2" max="2" width="52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18" width="10.28515625" bestFit="1" customWidth="1"/>
    <col min="20" max="20" width="10.28515625" bestFit="1" customWidth="1"/>
    <col min="24" max="24" width="10.7109375" customWidth="1"/>
  </cols>
  <sheetData>
    <row r="1" spans="1:25" ht="30.75" thickBot="1">
      <c r="A1" s="3" t="s">
        <v>2</v>
      </c>
      <c r="B1" s="4" t="s">
        <v>3</v>
      </c>
      <c r="C1" s="3" t="s">
        <v>5</v>
      </c>
      <c r="D1" s="3" t="s">
        <v>6</v>
      </c>
      <c r="E1" s="3" t="s">
        <v>7</v>
      </c>
      <c r="F1" s="3" t="s">
        <v>8</v>
      </c>
      <c r="G1" s="27" t="s">
        <v>14</v>
      </c>
      <c r="H1" s="7" t="s">
        <v>15</v>
      </c>
      <c r="I1" s="3" t="s">
        <v>9</v>
      </c>
      <c r="J1" s="3" t="s">
        <v>16</v>
      </c>
      <c r="K1" s="3" t="s">
        <v>10</v>
      </c>
      <c r="L1" s="3" t="s">
        <v>17</v>
      </c>
      <c r="M1" s="3" t="s">
        <v>11</v>
      </c>
      <c r="N1" s="3" t="s">
        <v>18</v>
      </c>
      <c r="O1" s="3" t="s">
        <v>12</v>
      </c>
      <c r="P1" s="3" t="s">
        <v>19</v>
      </c>
      <c r="Q1" s="3" t="s">
        <v>13</v>
      </c>
      <c r="R1" s="3" t="s">
        <v>20</v>
      </c>
      <c r="S1" s="28" t="s">
        <v>115</v>
      </c>
      <c r="T1" s="29" t="s">
        <v>116</v>
      </c>
    </row>
    <row r="2" spans="1:25">
      <c r="A2" s="1" t="s">
        <v>47</v>
      </c>
      <c r="B2" s="1" t="s">
        <v>68</v>
      </c>
      <c r="C2" s="5">
        <v>250.76009999999999</v>
      </c>
      <c r="D2" s="5">
        <v>4.0099000000026308E-2</v>
      </c>
      <c r="E2" s="14">
        <v>1.0355E-2</v>
      </c>
      <c r="F2" s="5">
        <v>250.72000099999997</v>
      </c>
      <c r="G2" s="5"/>
      <c r="H2" s="10" t="s">
        <v>21</v>
      </c>
      <c r="I2" s="5">
        <v>248.16999799999999</v>
      </c>
      <c r="J2" s="10">
        <v>1.0436805499752566E-2</v>
      </c>
      <c r="K2" s="5">
        <v>247.85499987499998</v>
      </c>
      <c r="L2" s="10">
        <v>1.1720966397551491E-2</v>
      </c>
      <c r="M2" s="5">
        <v>243.41283336666672</v>
      </c>
      <c r="N2" s="10">
        <v>3.0184384823563004E-2</v>
      </c>
      <c r="O2" s="5">
        <v>250.72000099999997</v>
      </c>
      <c r="P2" s="10">
        <v>1.5993538545022723E-4</v>
      </c>
      <c r="Q2" s="5">
        <v>209.66999799999999</v>
      </c>
      <c r="R2" s="10">
        <v>0.19597511514260613</v>
      </c>
      <c r="S2" s="17">
        <v>4.0000000000000002E-4</v>
      </c>
      <c r="T2" s="5" t="s">
        <v>117</v>
      </c>
      <c r="X2" t="s">
        <v>37</v>
      </c>
    </row>
    <row r="3" spans="1:25">
      <c r="A3" s="2" t="s">
        <v>23</v>
      </c>
      <c r="B3" s="2" t="s">
        <v>69</v>
      </c>
      <c r="C3" s="6">
        <v>127.78</v>
      </c>
      <c r="D3" s="6">
        <v>1.999800000000107E-2</v>
      </c>
      <c r="E3" s="15">
        <v>1.0200000000000001E-2</v>
      </c>
      <c r="F3" s="6">
        <v>127.760002</v>
      </c>
      <c r="G3" s="6"/>
      <c r="H3" s="11" t="s">
        <v>21</v>
      </c>
      <c r="I3" s="6">
        <v>126.32</v>
      </c>
      <c r="J3" s="11">
        <v>1.1557948068397828E-2</v>
      </c>
      <c r="K3" s="6">
        <v>126.30775017500002</v>
      </c>
      <c r="L3" s="11">
        <v>1.1656052957638607E-2</v>
      </c>
      <c r="M3" s="6">
        <v>124.22075020000003</v>
      </c>
      <c r="N3" s="11">
        <v>2.8652618779627881E-2</v>
      </c>
      <c r="O3" s="6">
        <v>127.760002</v>
      </c>
      <c r="P3" s="11">
        <v>1.565278622961408E-4</v>
      </c>
      <c r="Q3" s="6">
        <v>106.790001</v>
      </c>
      <c r="R3" s="11">
        <v>0.19655397325073531</v>
      </c>
      <c r="S3" s="18">
        <v>4.0000000000000002E-4</v>
      </c>
      <c r="T3" s="6" t="s">
        <v>117</v>
      </c>
      <c r="X3" t="s">
        <v>42</v>
      </c>
      <c r="Y3" t="s">
        <v>102</v>
      </c>
    </row>
    <row r="4" spans="1:25">
      <c r="A4" s="1" t="s">
        <v>48</v>
      </c>
      <c r="B4" s="1" t="s">
        <v>70</v>
      </c>
      <c r="C4" s="5">
        <v>145.27000000000001</v>
      </c>
      <c r="D4" s="5">
        <v>-3.9999999899009708E-6</v>
      </c>
      <c r="E4" s="14">
        <v>9.7000000000000003E-3</v>
      </c>
      <c r="F4" s="5">
        <v>145.270004</v>
      </c>
      <c r="G4" s="5"/>
      <c r="H4" s="10" t="s">
        <v>21</v>
      </c>
      <c r="I4" s="5">
        <v>143.33999599999999</v>
      </c>
      <c r="J4" s="10">
        <v>1.3464518305135398E-2</v>
      </c>
      <c r="K4" s="5">
        <v>143.90099824999999</v>
      </c>
      <c r="L4" s="10">
        <v>9.5134972421917485E-3</v>
      </c>
      <c r="M4" s="5">
        <v>142.14083237500006</v>
      </c>
      <c r="N4" s="10">
        <v>2.2014558186520983E-2</v>
      </c>
      <c r="O4" s="5">
        <v>146.11999499999999</v>
      </c>
      <c r="P4" s="10">
        <v>-5.8171025806562637E-3</v>
      </c>
      <c r="Q4" s="5">
        <v>122.839996</v>
      </c>
      <c r="R4" s="10">
        <v>0.18259528435673356</v>
      </c>
      <c r="S4" s="17">
        <v>5.9999999999999995E-4</v>
      </c>
      <c r="T4" s="5" t="s">
        <v>118</v>
      </c>
      <c r="X4" t="s">
        <v>37</v>
      </c>
    </row>
    <row r="5" spans="1:25">
      <c r="A5" s="2" t="s">
        <v>49</v>
      </c>
      <c r="B5" s="2" t="s">
        <v>71</v>
      </c>
      <c r="C5" s="6">
        <v>98.1</v>
      </c>
      <c r="D5" s="6">
        <v>3.0000000000001137E-2</v>
      </c>
      <c r="E5" s="15">
        <v>1.18E-2</v>
      </c>
      <c r="F5" s="6">
        <v>98.07</v>
      </c>
      <c r="G5" s="6"/>
      <c r="H5" s="11" t="s">
        <v>21</v>
      </c>
      <c r="I5" s="6">
        <v>97.889999000000003</v>
      </c>
      <c r="J5" s="11">
        <v>2.1452753309354478E-3</v>
      </c>
      <c r="K5" s="6">
        <v>97.54550002500001</v>
      </c>
      <c r="L5" s="11">
        <v>5.6845264503013748E-3</v>
      </c>
      <c r="M5" s="6">
        <v>96.379249816666658</v>
      </c>
      <c r="N5" s="11">
        <v>1.7853948714132484E-2</v>
      </c>
      <c r="O5" s="6">
        <v>98.5</v>
      </c>
      <c r="P5" s="11">
        <v>-4.0609137055838129E-3</v>
      </c>
      <c r="Q5" s="6">
        <v>84.650002000000001</v>
      </c>
      <c r="R5" s="11">
        <v>0.15888951780532734</v>
      </c>
      <c r="S5" s="18">
        <v>5.9999999999999995E-4</v>
      </c>
      <c r="T5" s="6" t="s">
        <v>119</v>
      </c>
    </row>
    <row r="6" spans="1:25">
      <c r="A6" s="1" t="s">
        <v>50</v>
      </c>
      <c r="B6" s="1" t="s">
        <v>72</v>
      </c>
      <c r="C6" s="5">
        <v>136.6403</v>
      </c>
      <c r="D6" s="5">
        <v>5.0304000000011229E-2</v>
      </c>
      <c r="E6" s="14">
        <v>1.0952E-2</v>
      </c>
      <c r="F6" s="5">
        <v>136.58999599999999</v>
      </c>
      <c r="G6" s="5"/>
      <c r="H6" s="10" t="s">
        <v>21</v>
      </c>
      <c r="I6" s="5">
        <v>134.679993</v>
      </c>
      <c r="J6" s="10">
        <v>1.4555294786806172E-2</v>
      </c>
      <c r="K6" s="5">
        <v>135.46049805000004</v>
      </c>
      <c r="L6" s="10">
        <v>8.7095645371426667E-3</v>
      </c>
      <c r="M6" s="5">
        <v>134.47358293333329</v>
      </c>
      <c r="N6" s="10">
        <v>1.6112585233494459E-2</v>
      </c>
      <c r="O6" s="5">
        <v>139.25</v>
      </c>
      <c r="P6" s="10">
        <v>-1.8741113105924634E-2</v>
      </c>
      <c r="Q6" s="5">
        <v>114.16999799999999</v>
      </c>
      <c r="R6" s="10">
        <v>0.19681442054505438</v>
      </c>
      <c r="S6" s="17">
        <v>5.9999999999999995E-4</v>
      </c>
      <c r="T6" s="5" t="s">
        <v>120</v>
      </c>
    </row>
    <row r="7" spans="1:25">
      <c r="A7" s="2" t="s">
        <v>51</v>
      </c>
      <c r="B7" s="2" t="s">
        <v>73</v>
      </c>
      <c r="C7" s="6">
        <v>132.85499999999999</v>
      </c>
      <c r="D7" s="6">
        <v>-1.4904000000001361E-2</v>
      </c>
      <c r="E7" s="15">
        <v>8.1600000000000006E-3</v>
      </c>
      <c r="F7" s="6">
        <v>132.86990399999999</v>
      </c>
      <c r="G7" s="6"/>
      <c r="H7" s="11" t="s">
        <v>21</v>
      </c>
      <c r="I7" s="6">
        <v>130.179993</v>
      </c>
      <c r="J7" s="11">
        <v>2.0548526223995056E-2</v>
      </c>
      <c r="K7" s="6">
        <v>130.37924732500002</v>
      </c>
      <c r="L7" s="11">
        <v>1.89888554029507E-2</v>
      </c>
      <c r="M7" s="6">
        <v>127.08733243333332</v>
      </c>
      <c r="N7" s="11">
        <v>4.538349697199151E-2</v>
      </c>
      <c r="O7" s="6">
        <v>132.86990399999999</v>
      </c>
      <c r="P7" s="11">
        <v>-1.1216987106421605E-4</v>
      </c>
      <c r="Q7" s="6">
        <v>107.029999</v>
      </c>
      <c r="R7" s="11">
        <v>0.24128750108649433</v>
      </c>
      <c r="S7" s="18">
        <v>5.9999999999999995E-4</v>
      </c>
      <c r="T7" s="6" t="s">
        <v>121</v>
      </c>
    </row>
    <row r="8" spans="1:25">
      <c r="A8" s="1" t="s">
        <v>52</v>
      </c>
      <c r="B8" s="1" t="s">
        <v>74</v>
      </c>
      <c r="C8" s="5">
        <v>120.91</v>
      </c>
      <c r="D8" s="5">
        <v>-3.0002000000010298E-2</v>
      </c>
      <c r="E8" s="14">
        <v>7.7999999999999996E-3</v>
      </c>
      <c r="F8" s="5">
        <v>120.94000200000001</v>
      </c>
      <c r="G8" s="5"/>
      <c r="H8" s="10" t="s">
        <v>21</v>
      </c>
      <c r="I8" s="5">
        <v>117.860001</v>
      </c>
      <c r="J8" s="10">
        <v>2.587815182523201E-2</v>
      </c>
      <c r="K8" s="5">
        <v>118.85800069999998</v>
      </c>
      <c r="L8" s="10">
        <v>1.7264292583713425E-2</v>
      </c>
      <c r="M8" s="5">
        <v>116.96641663333328</v>
      </c>
      <c r="N8" s="10">
        <v>3.3715518352836815E-2</v>
      </c>
      <c r="O8" s="5">
        <v>120.94000200000001</v>
      </c>
      <c r="P8" s="10">
        <v>-2.4807342073640548E-4</v>
      </c>
      <c r="Q8" s="5">
        <v>99.940002000000007</v>
      </c>
      <c r="R8" s="10">
        <v>0.20982587132627817</v>
      </c>
      <c r="S8" s="17">
        <v>6.9999999999999999E-4</v>
      </c>
      <c r="T8" s="5" t="s">
        <v>122</v>
      </c>
    </row>
    <row r="9" spans="1:25">
      <c r="A9" s="2" t="s">
        <v>53</v>
      </c>
      <c r="B9" s="2" t="s">
        <v>75</v>
      </c>
      <c r="C9" s="6">
        <v>123.12</v>
      </c>
      <c r="D9" s="6">
        <v>6.6297000000005823E-2</v>
      </c>
      <c r="E9" s="15">
        <v>1.18E-2</v>
      </c>
      <c r="F9" s="6">
        <v>123.053703</v>
      </c>
      <c r="G9" s="6"/>
      <c r="H9" s="11" t="s">
        <v>21</v>
      </c>
      <c r="I9" s="6">
        <v>121.870003</v>
      </c>
      <c r="J9" s="11">
        <v>1.0256806180598987E-2</v>
      </c>
      <c r="K9" s="6">
        <v>122.46784282499998</v>
      </c>
      <c r="L9" s="11">
        <v>5.3251299276326769E-3</v>
      </c>
      <c r="M9" s="6">
        <v>122.33236425833333</v>
      </c>
      <c r="N9" s="11">
        <v>6.4384903082834732E-3</v>
      </c>
      <c r="O9" s="6">
        <v>126.379997</v>
      </c>
      <c r="P9" s="11">
        <v>-2.5795197637170419E-2</v>
      </c>
      <c r="Q9" s="6">
        <v>105.08000200000001</v>
      </c>
      <c r="R9" s="11">
        <v>0.17167869867379704</v>
      </c>
      <c r="S9" s="18">
        <v>6.9999999999999999E-4</v>
      </c>
      <c r="T9" s="6" t="s">
        <v>123</v>
      </c>
    </row>
    <row r="10" spans="1:25">
      <c r="A10" s="1" t="s">
        <v>54</v>
      </c>
      <c r="B10" s="1" t="s">
        <v>76</v>
      </c>
      <c r="C10" s="5">
        <v>173.81</v>
      </c>
      <c r="D10" s="5">
        <v>9.7999999979947461E-5</v>
      </c>
      <c r="E10" s="14">
        <v>1.2200000000000001E-2</v>
      </c>
      <c r="F10" s="5">
        <v>173.83000200000001</v>
      </c>
      <c r="G10" s="5"/>
      <c r="H10" s="10" t="s">
        <v>21</v>
      </c>
      <c r="I10" s="5">
        <v>171.14749915000004</v>
      </c>
      <c r="J10" s="10">
        <v>1.5674204200020636E-2</v>
      </c>
      <c r="K10" s="5">
        <v>173.24325067499996</v>
      </c>
      <c r="L10" s="10">
        <v>3.387429655778984E-3</v>
      </c>
      <c r="M10" s="5">
        <v>172.76366704166668</v>
      </c>
      <c r="N10" s="10">
        <v>6.1727849182322547E-3</v>
      </c>
      <c r="O10" s="5">
        <v>178.75</v>
      </c>
      <c r="P10" s="10">
        <v>-2.7523916083916133E-2</v>
      </c>
      <c r="Q10" s="5">
        <v>147.25</v>
      </c>
      <c r="R10" s="10">
        <v>0.18051001697792857</v>
      </c>
      <c r="S10" s="17">
        <v>6.9999999999999999E-4</v>
      </c>
      <c r="T10" s="5" t="s">
        <v>118</v>
      </c>
    </row>
    <row r="11" spans="1:25">
      <c r="A11" s="2" t="s">
        <v>55</v>
      </c>
      <c r="B11" s="2" t="s">
        <v>77</v>
      </c>
      <c r="C11" s="6">
        <v>147.97069999999999</v>
      </c>
      <c r="D11" s="6">
        <v>-1.4803000000000566E-2</v>
      </c>
      <c r="E11" s="15">
        <v>9.6249999999999999E-3</v>
      </c>
      <c r="F11" s="6">
        <v>147.954803</v>
      </c>
      <c r="G11" s="6"/>
      <c r="H11" s="11" t="s">
        <v>21</v>
      </c>
      <c r="I11" s="6">
        <v>144.97924040000004</v>
      </c>
      <c r="J11" s="11">
        <v>2.0421955528468594E-2</v>
      </c>
      <c r="K11" s="6">
        <v>146.17736932499994</v>
      </c>
      <c r="L11" s="11">
        <v>1.2058163880902528E-2</v>
      </c>
      <c r="M11" s="6">
        <v>144.17920648333342</v>
      </c>
      <c r="N11" s="11">
        <v>2.6084160180901872E-2</v>
      </c>
      <c r="O11" s="6">
        <v>150.05999800000001</v>
      </c>
      <c r="P11" s="11">
        <v>-1.4127669120720721E-2</v>
      </c>
      <c r="Q11" s="6">
        <v>120.860001</v>
      </c>
      <c r="R11" s="11">
        <v>0.22406088677758662</v>
      </c>
      <c r="S11" s="18">
        <v>6.9999999999999999E-4</v>
      </c>
      <c r="T11" s="6" t="s">
        <v>124</v>
      </c>
    </row>
    <row r="12" spans="1:25">
      <c r="A12" s="1" t="s">
        <v>56</v>
      </c>
      <c r="B12" s="1" t="s">
        <v>78</v>
      </c>
      <c r="C12" s="5">
        <v>104.9376</v>
      </c>
      <c r="D12" s="5">
        <v>-4.769799999999691E-2</v>
      </c>
      <c r="E12" s="14">
        <v>8.3370000000000007E-3</v>
      </c>
      <c r="F12" s="5">
        <v>104.985298</v>
      </c>
      <c r="G12" s="5"/>
      <c r="H12" s="10" t="s">
        <v>21</v>
      </c>
      <c r="I12" s="5">
        <v>102.889999</v>
      </c>
      <c r="J12" s="10">
        <v>1.9900874913994393E-2</v>
      </c>
      <c r="K12" s="5">
        <v>102.94663277500001</v>
      </c>
      <c r="L12" s="10">
        <v>1.9339799382767975E-2</v>
      </c>
      <c r="M12" s="5">
        <v>100.19079423333334</v>
      </c>
      <c r="N12" s="10">
        <v>4.737766381621733E-2</v>
      </c>
      <c r="O12" s="5">
        <v>104.985298</v>
      </c>
      <c r="P12" s="10">
        <v>-4.5433028155994482E-4</v>
      </c>
      <c r="Q12" s="5">
        <v>83.720000999999996</v>
      </c>
      <c r="R12" s="10">
        <v>0.25343524542002815</v>
      </c>
      <c r="S12" s="17">
        <v>6.9999999999999999E-4</v>
      </c>
      <c r="T12" s="5" t="s">
        <v>121</v>
      </c>
    </row>
    <row r="13" spans="1:25">
      <c r="A13" s="2" t="s">
        <v>57</v>
      </c>
      <c r="B13" s="2" t="s">
        <v>79</v>
      </c>
      <c r="C13" s="6">
        <v>103.97</v>
      </c>
      <c r="D13" s="6">
        <v>3.9999999999992042E-2</v>
      </c>
      <c r="E13" s="15">
        <v>1.2200000000000001E-2</v>
      </c>
      <c r="F13" s="6">
        <v>103.93</v>
      </c>
      <c r="G13" s="6"/>
      <c r="H13" s="11" t="s">
        <v>21</v>
      </c>
      <c r="I13" s="6">
        <v>103.75</v>
      </c>
      <c r="J13" s="11">
        <v>2.1204819277107489E-3</v>
      </c>
      <c r="K13" s="6">
        <v>103.70474937500001</v>
      </c>
      <c r="L13" s="11">
        <v>2.5577480934921848E-3</v>
      </c>
      <c r="M13" s="6">
        <v>102.75391636666662</v>
      </c>
      <c r="N13" s="11">
        <v>1.183491273455628E-2</v>
      </c>
      <c r="O13" s="6">
        <v>105.290001</v>
      </c>
      <c r="P13" s="11">
        <v>-1.2536812493714411E-2</v>
      </c>
      <c r="Q13" s="6">
        <v>89.5</v>
      </c>
      <c r="R13" s="11">
        <v>0.16167597765363118</v>
      </c>
      <c r="S13" s="18">
        <v>6.9999999999999999E-4</v>
      </c>
      <c r="T13" s="6" t="s">
        <v>125</v>
      </c>
    </row>
    <row r="14" spans="1:25">
      <c r="A14" s="1" t="s">
        <v>58</v>
      </c>
      <c r="B14" s="1" t="s">
        <v>80</v>
      </c>
      <c r="C14" s="5">
        <v>69.7</v>
      </c>
      <c r="D14" s="5">
        <v>4.6603000000004613E-2</v>
      </c>
      <c r="E14" s="14">
        <v>1.09E-2</v>
      </c>
      <c r="F14" s="5">
        <v>69.653396999999998</v>
      </c>
      <c r="G14" s="5"/>
      <c r="H14" s="10" t="s">
        <v>21</v>
      </c>
      <c r="I14" s="5">
        <v>69.209998999999996</v>
      </c>
      <c r="J14" s="10">
        <v>7.0799162993775422E-3</v>
      </c>
      <c r="K14" s="5">
        <v>69.437584874999999</v>
      </c>
      <c r="L14" s="10">
        <v>3.7791510962312813E-3</v>
      </c>
      <c r="M14" s="5">
        <v>69.31144506666665</v>
      </c>
      <c r="N14" s="10">
        <v>5.6059274620465782E-3</v>
      </c>
      <c r="O14" s="5">
        <v>71.930000000000007</v>
      </c>
      <c r="P14" s="10">
        <v>-3.1002363408869749E-2</v>
      </c>
      <c r="Q14" s="5">
        <v>57.790001000000004</v>
      </c>
      <c r="R14" s="10">
        <v>0.20609099833723832</v>
      </c>
      <c r="S14" s="17">
        <v>6.9999999999999999E-4</v>
      </c>
      <c r="T14" s="5" t="s">
        <v>120</v>
      </c>
    </row>
    <row r="15" spans="1:25">
      <c r="A15" s="2" t="s">
        <v>478</v>
      </c>
      <c r="B15" s="2" t="s">
        <v>81</v>
      </c>
      <c r="C15" s="6">
        <v>93.834999999999994</v>
      </c>
      <c r="D15" s="6">
        <v>-3.5010000000141872E-3</v>
      </c>
      <c r="E15" s="15">
        <v>8.3300000000000006E-3</v>
      </c>
      <c r="F15" s="6">
        <v>93.838501000000008</v>
      </c>
      <c r="G15" s="6"/>
      <c r="H15" s="11" t="s">
        <v>21</v>
      </c>
      <c r="I15" s="6">
        <v>93.589995999999999</v>
      </c>
      <c r="J15" s="11">
        <v>2.6178438986148578E-3</v>
      </c>
      <c r="K15" s="6">
        <v>93.018962674999969</v>
      </c>
      <c r="L15" s="11">
        <v>8.7728061196639118E-3</v>
      </c>
      <c r="M15" s="6">
        <v>92.138820850000002</v>
      </c>
      <c r="N15" s="11">
        <v>1.8408952213110341E-2</v>
      </c>
      <c r="O15" s="6">
        <v>94.400002000000001</v>
      </c>
      <c r="P15" s="11">
        <v>-5.9851905511613124E-3</v>
      </c>
      <c r="Q15" s="6">
        <v>81.279999000000004</v>
      </c>
      <c r="R15" s="11">
        <v>0.15446605751065512</v>
      </c>
      <c r="S15" s="18">
        <v>8.0000000000000004E-4</v>
      </c>
      <c r="T15" s="6" t="s">
        <v>117</v>
      </c>
    </row>
    <row r="16" spans="1:25">
      <c r="A16" s="1" t="s">
        <v>479</v>
      </c>
      <c r="B16" s="1" t="s">
        <v>82</v>
      </c>
      <c r="C16" s="5">
        <v>80.064999999999998</v>
      </c>
      <c r="D16" s="5">
        <v>1.9903999999996813E-2</v>
      </c>
      <c r="E16" s="14">
        <v>1.0279999999999999E-2</v>
      </c>
      <c r="F16" s="5">
        <v>80.089995999999999</v>
      </c>
      <c r="G16" s="5"/>
      <c r="H16" s="10" t="s">
        <v>21</v>
      </c>
      <c r="I16" s="5">
        <v>78.93850024999999</v>
      </c>
      <c r="J16" s="10">
        <v>1.4839397078613814E-2</v>
      </c>
      <c r="K16" s="5">
        <v>79.072999624999994</v>
      </c>
      <c r="L16" s="10">
        <v>1.3113204000321899E-2</v>
      </c>
      <c r="M16" s="5">
        <v>78.286666383333355</v>
      </c>
      <c r="N16" s="10">
        <v>2.328919726558687E-2</v>
      </c>
      <c r="O16" s="5">
        <v>80.089995999999999</v>
      </c>
      <c r="P16" s="10">
        <v>2.4852042694556431E-4</v>
      </c>
      <c r="Q16" s="5">
        <v>69.970000999999996</v>
      </c>
      <c r="R16" s="10">
        <v>0.14491780556070033</v>
      </c>
      <c r="S16" s="17">
        <v>8.0000000000000004E-4</v>
      </c>
      <c r="T16" s="5" t="s">
        <v>119</v>
      </c>
    </row>
    <row r="17" spans="1:20">
      <c r="A17" s="2" t="s">
        <v>59</v>
      </c>
      <c r="B17" s="2" t="s">
        <v>83</v>
      </c>
      <c r="C17" s="6">
        <v>103.54</v>
      </c>
      <c r="D17" s="6">
        <v>-2.0000000091613401E-6</v>
      </c>
      <c r="E17" s="15">
        <v>1.0800000000000001E-2</v>
      </c>
      <c r="F17" s="6">
        <v>103.58000200000001</v>
      </c>
      <c r="G17" s="6"/>
      <c r="H17" s="11" t="s">
        <v>21</v>
      </c>
      <c r="I17" s="6">
        <v>101.64450074999999</v>
      </c>
      <c r="J17" s="11">
        <v>1.9041849147948264E-2</v>
      </c>
      <c r="K17" s="6">
        <v>102.4582504</v>
      </c>
      <c r="L17" s="11">
        <v>1.0948357946975129E-2</v>
      </c>
      <c r="M17" s="6">
        <v>101.3601669666667</v>
      </c>
      <c r="N17" s="11">
        <v>2.1900447678458557E-2</v>
      </c>
      <c r="O17" s="6">
        <v>104.889999</v>
      </c>
      <c r="P17" s="11">
        <v>-1.2489265063297506E-2</v>
      </c>
      <c r="Q17" s="6">
        <v>85.419997999999993</v>
      </c>
      <c r="R17" s="11">
        <v>0.21259660998821395</v>
      </c>
      <c r="S17" s="18">
        <v>8.0000000000000004E-4</v>
      </c>
      <c r="T17" s="6" t="s">
        <v>118</v>
      </c>
    </row>
    <row r="18" spans="1:20">
      <c r="A18" s="1" t="s">
        <v>480</v>
      </c>
      <c r="B18" s="1" t="s">
        <v>84</v>
      </c>
      <c r="C18" s="5">
        <v>85.594999999999999</v>
      </c>
      <c r="D18" s="5">
        <v>-8.9996999999996774E-2</v>
      </c>
      <c r="E18" s="14">
        <v>7.8300000000000002E-3</v>
      </c>
      <c r="F18" s="5">
        <v>85.769997000000004</v>
      </c>
      <c r="G18" s="5"/>
      <c r="H18" s="10" t="s">
        <v>21</v>
      </c>
      <c r="I18" s="5">
        <v>83.722999950000002</v>
      </c>
      <c r="J18" s="10">
        <v>2.3374700514419366E-2</v>
      </c>
      <c r="K18" s="5">
        <v>83.734749600000001</v>
      </c>
      <c r="L18" s="10">
        <v>2.3231100699440121E-2</v>
      </c>
      <c r="M18" s="5">
        <v>83.321333449999955</v>
      </c>
      <c r="N18" s="10">
        <v>2.8308074923158344E-2</v>
      </c>
      <c r="O18" s="5">
        <v>88.739998</v>
      </c>
      <c r="P18" s="10">
        <v>-3.448273686010217E-2</v>
      </c>
      <c r="Q18" s="5">
        <v>78.069999999999993</v>
      </c>
      <c r="R18" s="10">
        <v>9.7476623542974483E-2</v>
      </c>
      <c r="S18" s="17">
        <v>1.1999999999999999E-3</v>
      </c>
      <c r="T18" s="5" t="s">
        <v>126</v>
      </c>
    </row>
    <row r="19" spans="1:20">
      <c r="A19" s="2" t="s">
        <v>60</v>
      </c>
      <c r="B19" s="2" t="s">
        <v>85</v>
      </c>
      <c r="C19" s="6">
        <v>138.51</v>
      </c>
      <c r="D19" s="6">
        <v>-1.0004000000009228E-2</v>
      </c>
      <c r="E19" s="15">
        <v>1.0200000000000001E-2</v>
      </c>
      <c r="F19" s="6">
        <v>138.520004</v>
      </c>
      <c r="G19" s="6"/>
      <c r="H19" s="11" t="s">
        <v>21</v>
      </c>
      <c r="I19" s="6">
        <v>136.990005</v>
      </c>
      <c r="J19" s="11">
        <v>1.1095663512093346E-2</v>
      </c>
      <c r="K19" s="6">
        <v>136.89225037499997</v>
      </c>
      <c r="L19" s="11">
        <v>1.1817685957885793E-2</v>
      </c>
      <c r="M19" s="6">
        <v>134.58500030833335</v>
      </c>
      <c r="N19" s="11">
        <v>2.9163723168811551E-2</v>
      </c>
      <c r="O19" s="6">
        <v>138.520004</v>
      </c>
      <c r="P19" s="11">
        <v>-7.2220615875862038E-5</v>
      </c>
      <c r="Q19" s="6">
        <v>115.91999799999999</v>
      </c>
      <c r="R19" s="11">
        <v>0.19487579701303992</v>
      </c>
      <c r="S19" s="18">
        <v>1.5E-3</v>
      </c>
      <c r="T19" s="6" t="s">
        <v>117</v>
      </c>
    </row>
    <row r="20" spans="1:20">
      <c r="A20" s="1" t="s">
        <v>61</v>
      </c>
      <c r="B20" s="1" t="s">
        <v>86</v>
      </c>
      <c r="C20" s="5">
        <v>105.89100000000001</v>
      </c>
      <c r="D20" s="5">
        <v>1.1003000000002316E-2</v>
      </c>
      <c r="E20" s="14">
        <v>1.167E-2</v>
      </c>
      <c r="F20" s="5">
        <v>105.879997</v>
      </c>
      <c r="G20" s="5"/>
      <c r="H20" s="10" t="s">
        <v>21</v>
      </c>
      <c r="I20" s="5">
        <v>105.720001</v>
      </c>
      <c r="J20" s="10">
        <v>1.6174706619611623E-3</v>
      </c>
      <c r="K20" s="5">
        <v>105.47249977500003</v>
      </c>
      <c r="L20" s="10">
        <v>3.9678610622935206E-3</v>
      </c>
      <c r="M20" s="5">
        <v>104.66449975833332</v>
      </c>
      <c r="N20" s="10">
        <v>1.17183977805142E-2</v>
      </c>
      <c r="O20" s="5">
        <v>107.43</v>
      </c>
      <c r="P20" s="10">
        <v>-1.4325607372242422E-2</v>
      </c>
      <c r="Q20" s="5">
        <v>92.099997999999999</v>
      </c>
      <c r="R20" s="10">
        <v>0.14973943864797912</v>
      </c>
      <c r="S20" s="17">
        <v>1.8E-3</v>
      </c>
      <c r="T20" s="5" t="s">
        <v>119</v>
      </c>
    </row>
    <row r="21" spans="1:20">
      <c r="A21" s="2" t="s">
        <v>62</v>
      </c>
      <c r="B21" s="2" t="s">
        <v>87</v>
      </c>
      <c r="C21" s="6">
        <v>110.37</v>
      </c>
      <c r="D21" s="6">
        <v>-1.9998999999998546E-2</v>
      </c>
      <c r="E21" s="15">
        <v>9.7999999999999997E-3</v>
      </c>
      <c r="F21" s="6">
        <v>110.389999</v>
      </c>
      <c r="G21" s="6"/>
      <c r="H21" s="11" t="s">
        <v>21</v>
      </c>
      <c r="I21" s="6">
        <v>109.57</v>
      </c>
      <c r="J21" s="11">
        <v>7.3012685954185752E-3</v>
      </c>
      <c r="K21" s="6">
        <v>109.19199995000004</v>
      </c>
      <c r="L21" s="11">
        <v>1.0788336604690585E-2</v>
      </c>
      <c r="M21" s="6">
        <v>107.21774979166672</v>
      </c>
      <c r="N21" s="11">
        <v>2.9400451086302182E-2</v>
      </c>
      <c r="O21" s="6">
        <v>110.389999</v>
      </c>
      <c r="P21" s="11">
        <v>-1.8116677399371284E-4</v>
      </c>
      <c r="Q21" s="6">
        <v>92.669997999999993</v>
      </c>
      <c r="R21" s="11">
        <v>0.19100034943348132</v>
      </c>
      <c r="S21" s="18">
        <v>2E-3</v>
      </c>
      <c r="T21" s="6" t="s">
        <v>117</v>
      </c>
    </row>
    <row r="22" spans="1:20">
      <c r="A22" s="1" t="s">
        <v>63</v>
      </c>
      <c r="B22" s="1" t="s">
        <v>88</v>
      </c>
      <c r="C22" s="5">
        <v>147.26</v>
      </c>
      <c r="D22" s="5">
        <v>9.9930000000085784E-3</v>
      </c>
      <c r="E22" s="14">
        <v>1.01E-2</v>
      </c>
      <c r="F22" s="5">
        <v>147.320007</v>
      </c>
      <c r="G22" s="5"/>
      <c r="H22" s="10" t="s">
        <v>21</v>
      </c>
      <c r="I22" s="5">
        <v>145.13599930000001</v>
      </c>
      <c r="J22" s="10">
        <v>1.5116860810424848E-2</v>
      </c>
      <c r="K22" s="5">
        <v>145.58024900000001</v>
      </c>
      <c r="L22" s="10">
        <v>1.2019151031950726E-2</v>
      </c>
      <c r="M22" s="5">
        <v>143.24899962499995</v>
      </c>
      <c r="N22" s="10">
        <v>2.8488857762939856E-2</v>
      </c>
      <c r="O22" s="5">
        <v>147.320007</v>
      </c>
      <c r="P22" s="10">
        <v>6.783192726844689E-5</v>
      </c>
      <c r="Q22" s="5">
        <v>123.07</v>
      </c>
      <c r="R22" s="10">
        <v>0.19712358820183651</v>
      </c>
      <c r="S22" s="17">
        <v>2E-3</v>
      </c>
      <c r="T22" s="5" t="s">
        <v>117</v>
      </c>
    </row>
    <row r="23" spans="1:20">
      <c r="A23" s="2" t="s">
        <v>64</v>
      </c>
      <c r="B23" s="2" t="s">
        <v>89</v>
      </c>
      <c r="C23" s="6">
        <v>116.55</v>
      </c>
      <c r="D23" s="6">
        <v>2.0000999999993496E-2</v>
      </c>
      <c r="E23" s="15">
        <v>1.15E-2</v>
      </c>
      <c r="F23" s="6">
        <v>116.529999</v>
      </c>
      <c r="G23" s="6"/>
      <c r="H23" s="11" t="s">
        <v>21</v>
      </c>
      <c r="I23" s="6">
        <v>116.209999</v>
      </c>
      <c r="J23" s="11">
        <v>2.9257465185934528E-3</v>
      </c>
      <c r="K23" s="6">
        <v>116.08724992500001</v>
      </c>
      <c r="L23" s="11">
        <v>3.986226526159875E-3</v>
      </c>
      <c r="M23" s="6">
        <v>115.45625025000008</v>
      </c>
      <c r="N23" s="11">
        <v>9.4732831495185632E-3</v>
      </c>
      <c r="O23" s="6">
        <v>118.41999799999999</v>
      </c>
      <c r="P23" s="11">
        <v>-1.5791234855450642E-2</v>
      </c>
      <c r="Q23" s="6">
        <v>102.199997</v>
      </c>
      <c r="R23" s="11">
        <v>0.14041099237997035</v>
      </c>
      <c r="S23" s="18">
        <v>2E-3</v>
      </c>
      <c r="T23" s="6" t="s">
        <v>119</v>
      </c>
    </row>
    <row r="24" spans="1:20">
      <c r="A24" s="1" t="s">
        <v>65</v>
      </c>
      <c r="B24" s="1" t="s">
        <v>90</v>
      </c>
      <c r="C24" s="5">
        <v>124.67</v>
      </c>
      <c r="D24" s="5">
        <v>-2.99969999999945E-2</v>
      </c>
      <c r="E24" s="14">
        <v>8.9999999999999993E-3</v>
      </c>
      <c r="F24" s="5">
        <v>124.699997</v>
      </c>
      <c r="G24" s="5"/>
      <c r="H24" s="10" t="s">
        <v>21</v>
      </c>
      <c r="I24" s="5">
        <v>122.300003</v>
      </c>
      <c r="J24" s="10">
        <v>1.937855226381302E-2</v>
      </c>
      <c r="K24" s="5">
        <v>122.27075022499999</v>
      </c>
      <c r="L24" s="10">
        <v>1.9622434397310595E-2</v>
      </c>
      <c r="M24" s="5">
        <v>118.91891654166669</v>
      </c>
      <c r="N24" s="10">
        <v>4.8361384593663459E-2</v>
      </c>
      <c r="O24" s="5">
        <v>124.699997</v>
      </c>
      <c r="P24" s="10">
        <v>-2.4055333377426269E-4</v>
      </c>
      <c r="Q24" s="5">
        <v>99.720000999999996</v>
      </c>
      <c r="R24" s="10">
        <v>0.25020054903529343</v>
      </c>
      <c r="S24" s="17">
        <v>2E-3</v>
      </c>
      <c r="T24" s="5" t="s">
        <v>121</v>
      </c>
    </row>
    <row r="25" spans="1:20">
      <c r="A25" s="2" t="s">
        <v>66</v>
      </c>
      <c r="B25" s="2" t="s">
        <v>91</v>
      </c>
      <c r="C25" s="6">
        <v>171.12</v>
      </c>
      <c r="D25" s="6">
        <v>9.9989999999934298E-3</v>
      </c>
      <c r="E25" s="15">
        <v>8.5000000000000006E-3</v>
      </c>
      <c r="F25" s="6">
        <v>171.11000100000001</v>
      </c>
      <c r="G25" s="6"/>
      <c r="H25" s="11" t="s">
        <v>21</v>
      </c>
      <c r="I25" s="6">
        <v>167.16999799999999</v>
      </c>
      <c r="J25" s="11">
        <v>2.3628653749221185E-2</v>
      </c>
      <c r="K25" s="6">
        <v>168.42400019999999</v>
      </c>
      <c r="L25" s="11">
        <v>1.6007218667164702E-2</v>
      </c>
      <c r="M25" s="6">
        <v>165.90549916666677</v>
      </c>
      <c r="N25" s="11">
        <v>3.1430548472023867E-2</v>
      </c>
      <c r="O25" s="6">
        <v>173.61000100000001</v>
      </c>
      <c r="P25" s="11">
        <v>-1.4342497469371107E-2</v>
      </c>
      <c r="Q25" s="6">
        <v>135.220001</v>
      </c>
      <c r="R25" s="11">
        <v>0.26549326086752512</v>
      </c>
      <c r="S25" s="18">
        <v>2.3999999999999998E-3</v>
      </c>
      <c r="T25" s="6" t="s">
        <v>124</v>
      </c>
    </row>
    <row r="26" spans="1:20">
      <c r="A26" s="1" t="s">
        <v>67</v>
      </c>
      <c r="B26" s="1" t="s">
        <v>92</v>
      </c>
      <c r="C26" s="5">
        <v>116.93</v>
      </c>
      <c r="D26" s="5">
        <v>9.0004000000007522E-2</v>
      </c>
      <c r="E26" s="14">
        <v>1.26E-2</v>
      </c>
      <c r="F26" s="5">
        <v>116.839996</v>
      </c>
      <c r="G26" s="5"/>
      <c r="H26" s="10" t="s">
        <v>21</v>
      </c>
      <c r="I26" s="5">
        <v>116.029999</v>
      </c>
      <c r="J26" s="10">
        <v>7.7566233539310137E-3</v>
      </c>
      <c r="K26" s="5">
        <v>116.726</v>
      </c>
      <c r="L26" s="10">
        <v>1.7476826071312068E-3</v>
      </c>
      <c r="M26" s="5">
        <v>117.27033321666676</v>
      </c>
      <c r="N26" s="10">
        <v>-2.9021254338721381E-3</v>
      </c>
      <c r="O26" s="5">
        <v>122.019997</v>
      </c>
      <c r="P26" s="10">
        <v>-4.1714449476670579E-2</v>
      </c>
      <c r="Q26" s="5">
        <v>98.870002999999997</v>
      </c>
      <c r="R26" s="10">
        <v>0.18266406849406103</v>
      </c>
      <c r="S26" s="17">
        <v>2.3999999999999998E-3</v>
      </c>
      <c r="T26" s="5" t="s">
        <v>123</v>
      </c>
    </row>
    <row r="27" spans="1:20">
      <c r="A27" s="2" t="s">
        <v>93</v>
      </c>
      <c r="B27" s="2" t="s">
        <v>104</v>
      </c>
      <c r="C27" s="6">
        <v>111.34</v>
      </c>
      <c r="D27" s="6">
        <v>4.0000000041118255E-6</v>
      </c>
      <c r="E27" s="15">
        <v>9.7000000000000003E-3</v>
      </c>
      <c r="F27" s="6">
        <v>111.339996</v>
      </c>
      <c r="G27" s="6"/>
      <c r="H27" s="11" t="s">
        <v>21</v>
      </c>
      <c r="I27" s="6">
        <v>108.610001</v>
      </c>
      <c r="J27" s="11">
        <v>2.5135797577241492E-2</v>
      </c>
      <c r="K27" s="6">
        <v>109.19674940000002</v>
      </c>
      <c r="L27" s="11">
        <v>1.9627421253621824E-2</v>
      </c>
      <c r="M27" s="6">
        <v>107.27616649166666</v>
      </c>
      <c r="N27" s="11">
        <v>3.7881979205968586E-2</v>
      </c>
      <c r="O27" s="6">
        <v>111.339996</v>
      </c>
      <c r="P27" s="11">
        <v>3.5925993735475004E-8</v>
      </c>
      <c r="Q27" s="6">
        <v>91.470000999999996</v>
      </c>
      <c r="R27" s="11">
        <v>0.2172296794880324</v>
      </c>
      <c r="S27" s="18">
        <v>2.5000000000000001E-3</v>
      </c>
      <c r="T27" s="6" t="s">
        <v>122</v>
      </c>
    </row>
    <row r="28" spans="1:20">
      <c r="A28" s="1" t="s">
        <v>94</v>
      </c>
      <c r="B28" s="1" t="s">
        <v>105</v>
      </c>
      <c r="C28" s="5">
        <v>83.82</v>
      </c>
      <c r="D28" s="5">
        <v>1.9996999999989384E-2</v>
      </c>
      <c r="E28" s="14">
        <v>1.1599999999999999E-2</v>
      </c>
      <c r="F28" s="5">
        <v>83.800003000000004</v>
      </c>
      <c r="G28" s="5"/>
      <c r="H28" s="10" t="s">
        <v>21</v>
      </c>
      <c r="I28" s="5">
        <v>83.290001000000004</v>
      </c>
      <c r="J28" s="10">
        <v>6.3632968379960797E-3</v>
      </c>
      <c r="K28" s="5">
        <v>83.590250424999994</v>
      </c>
      <c r="L28" s="10">
        <v>2.7485211951379096E-3</v>
      </c>
      <c r="M28" s="5">
        <v>83.317083800000006</v>
      </c>
      <c r="N28" s="10">
        <v>6.0361714196242033E-3</v>
      </c>
      <c r="O28" s="5">
        <v>85.309997999999993</v>
      </c>
      <c r="P28" s="10">
        <v>-1.7465690246528887E-2</v>
      </c>
      <c r="Q28" s="5">
        <v>73.290001000000004</v>
      </c>
      <c r="R28" s="10">
        <v>0.14367579282745524</v>
      </c>
      <c r="S28" s="17">
        <v>2.5000000000000001E-3</v>
      </c>
      <c r="T28" s="5" t="s">
        <v>125</v>
      </c>
    </row>
    <row r="29" spans="1:20">
      <c r="A29" s="2" t="s">
        <v>95</v>
      </c>
      <c r="B29" s="2" t="s">
        <v>106</v>
      </c>
      <c r="C29" s="6">
        <v>138.55000000000001</v>
      </c>
      <c r="D29" s="6">
        <v>7.0996000000008053E-2</v>
      </c>
      <c r="E29" s="15">
        <v>1.0200000000000001E-2</v>
      </c>
      <c r="F29" s="6">
        <v>138.479004</v>
      </c>
      <c r="G29" s="6"/>
      <c r="H29" s="11" t="s">
        <v>21</v>
      </c>
      <c r="I29" s="6">
        <v>137.470001</v>
      </c>
      <c r="J29" s="11">
        <v>7.8562522160745552E-3</v>
      </c>
      <c r="K29" s="6">
        <v>138.04397505000003</v>
      </c>
      <c r="L29" s="11">
        <v>3.6656793591802739E-3</v>
      </c>
      <c r="M29" s="6">
        <v>138.16449101666666</v>
      </c>
      <c r="N29" s="11">
        <v>2.790217518963356E-3</v>
      </c>
      <c r="O29" s="6">
        <v>144.60000600000001</v>
      </c>
      <c r="P29" s="11">
        <v>-4.1839597157416364E-2</v>
      </c>
      <c r="Q29" s="6">
        <v>117.099998</v>
      </c>
      <c r="R29" s="11">
        <v>0.18317679219772498</v>
      </c>
      <c r="S29" s="18">
        <v>2.5000000000000001E-3</v>
      </c>
      <c r="T29" s="6" t="s">
        <v>123</v>
      </c>
    </row>
    <row r="30" spans="1:20">
      <c r="A30" s="1" t="s">
        <v>96</v>
      </c>
      <c r="B30" s="1" t="s">
        <v>107</v>
      </c>
      <c r="C30" s="5">
        <v>94.840199999999996</v>
      </c>
      <c r="D30" s="5">
        <v>-2.4798000000004095E-2</v>
      </c>
      <c r="E30" s="14">
        <v>6.6889999999999996E-3</v>
      </c>
      <c r="F30" s="5">
        <v>94.864998</v>
      </c>
      <c r="G30" s="5"/>
      <c r="H30" s="10" t="s">
        <v>21</v>
      </c>
      <c r="I30" s="5">
        <v>92.989998</v>
      </c>
      <c r="J30" s="10">
        <v>1.9896785028428399E-2</v>
      </c>
      <c r="K30" s="5">
        <v>93.115375</v>
      </c>
      <c r="L30" s="10">
        <v>1.8523525250260686E-2</v>
      </c>
      <c r="M30" s="5">
        <v>92.851541525000002</v>
      </c>
      <c r="N30" s="10">
        <v>2.1417613992596563E-2</v>
      </c>
      <c r="O30" s="5">
        <v>99.699996999999996</v>
      </c>
      <c r="P30" s="10">
        <v>-4.8744204074549824E-2</v>
      </c>
      <c r="Q30" s="5">
        <v>88.18</v>
      </c>
      <c r="R30" s="10">
        <v>7.5529598548423449E-2</v>
      </c>
      <c r="S30" s="17">
        <v>2.5000000000000001E-3</v>
      </c>
      <c r="T30" s="5" t="s">
        <v>126</v>
      </c>
    </row>
    <row r="31" spans="1:20">
      <c r="A31" s="2" t="s">
        <v>97</v>
      </c>
      <c r="B31" s="2" t="s">
        <v>108</v>
      </c>
      <c r="C31" s="6">
        <v>53.17</v>
      </c>
      <c r="D31" s="6">
        <v>-1.9799999999996487E-2</v>
      </c>
      <c r="E31" s="15">
        <v>7.7999999999999996E-3</v>
      </c>
      <c r="F31" s="6">
        <v>53.189799999999998</v>
      </c>
      <c r="G31" s="6"/>
      <c r="H31" s="11" t="s">
        <v>21</v>
      </c>
      <c r="I31" s="6">
        <v>52.360001000000004</v>
      </c>
      <c r="J31" s="11">
        <v>1.5469804899354234E-2</v>
      </c>
      <c r="K31" s="6">
        <v>52.431994925000005</v>
      </c>
      <c r="L31" s="11">
        <v>1.407547197194492E-2</v>
      </c>
      <c r="M31" s="6">
        <v>51.458331541666681</v>
      </c>
      <c r="N31" s="11">
        <v>3.3263193870701979E-2</v>
      </c>
      <c r="O31" s="6">
        <v>53.189799999999998</v>
      </c>
      <c r="P31" s="11">
        <v>-3.7225182271782842E-4</v>
      </c>
      <c r="Q31" s="6">
        <v>45.810001</v>
      </c>
      <c r="R31" s="11">
        <v>0.16066358522891111</v>
      </c>
      <c r="S31" s="18">
        <v>3.3E-3</v>
      </c>
      <c r="T31" s="6" t="s">
        <v>127</v>
      </c>
    </row>
    <row r="32" spans="1:20">
      <c r="A32" s="1" t="s">
        <v>98</v>
      </c>
      <c r="B32" s="1" t="s">
        <v>109</v>
      </c>
      <c r="C32" s="5">
        <v>44.646500000000003</v>
      </c>
      <c r="D32" s="5">
        <v>1.649900000000315E-2</v>
      </c>
      <c r="E32" s="14">
        <v>5.5519999999999996E-3</v>
      </c>
      <c r="F32" s="5">
        <v>44.630001</v>
      </c>
      <c r="G32" s="5"/>
      <c r="H32" s="10" t="s">
        <v>21</v>
      </c>
      <c r="I32" s="5">
        <v>43.990002000000004</v>
      </c>
      <c r="J32" s="10">
        <v>1.4923800185323799E-2</v>
      </c>
      <c r="K32" s="5">
        <v>44.080750299999991</v>
      </c>
      <c r="L32" s="10">
        <v>1.2834393610582806E-2</v>
      </c>
      <c r="M32" s="5">
        <v>43.412583408333347</v>
      </c>
      <c r="N32" s="10">
        <v>2.8423016894907782E-2</v>
      </c>
      <c r="O32" s="5">
        <v>44.630001</v>
      </c>
      <c r="P32" s="10">
        <v>3.6968406072857007E-4</v>
      </c>
      <c r="Q32" s="5">
        <v>39.860001000000004</v>
      </c>
      <c r="R32" s="10">
        <v>0.12008276166375409</v>
      </c>
      <c r="S32" s="17">
        <v>3.3999999999999998E-3</v>
      </c>
      <c r="T32" s="5" t="s">
        <v>128</v>
      </c>
    </row>
    <row r="33" spans="1:20">
      <c r="A33" s="2" t="s">
        <v>99</v>
      </c>
      <c r="B33" s="2" t="s">
        <v>110</v>
      </c>
      <c r="C33" s="6">
        <v>37.914999999999999</v>
      </c>
      <c r="D33" s="6">
        <v>-9.9999999747524271E-7</v>
      </c>
      <c r="E33" s="15">
        <v>2.2499999999999998E-3</v>
      </c>
      <c r="F33" s="6">
        <v>37.887000999999998</v>
      </c>
      <c r="G33" s="6"/>
      <c r="H33" s="11" t="s">
        <v>21</v>
      </c>
      <c r="I33" s="6">
        <v>37.583850600000005</v>
      </c>
      <c r="J33" s="11">
        <v>8.065948410299173E-3</v>
      </c>
      <c r="K33" s="6">
        <v>37.536675649999992</v>
      </c>
      <c r="L33" s="11">
        <v>9.3328549727340615E-3</v>
      </c>
      <c r="M33" s="6">
        <v>37.098225174999996</v>
      </c>
      <c r="N33" s="11">
        <v>2.1261794096056885E-2</v>
      </c>
      <c r="O33" s="6">
        <v>37.887000999999998</v>
      </c>
      <c r="P33" s="11">
        <v>-2.6394276986252407E-8</v>
      </c>
      <c r="Q33" s="6">
        <v>34.979999999999997</v>
      </c>
      <c r="R33" s="11">
        <v>8.3104631217838953E-2</v>
      </c>
      <c r="S33" s="18">
        <v>3.3999999999999998E-3</v>
      </c>
      <c r="T33" s="6" t="s">
        <v>129</v>
      </c>
    </row>
    <row r="34" spans="1:20">
      <c r="A34" s="1" t="s">
        <v>100</v>
      </c>
      <c r="B34" s="1" t="s">
        <v>111</v>
      </c>
      <c r="C34" s="5">
        <v>34.484099999999998</v>
      </c>
      <c r="D34" s="5">
        <v>2.0000000020559128E-6</v>
      </c>
      <c r="E34" s="14">
        <v>1.281E-3</v>
      </c>
      <c r="F34" s="5">
        <v>34.509997999999996</v>
      </c>
      <c r="G34" s="5"/>
      <c r="H34" s="10" t="s">
        <v>21</v>
      </c>
      <c r="I34" s="5">
        <v>34.25549985</v>
      </c>
      <c r="J34" s="10">
        <v>7.4294682931037581E-3</v>
      </c>
      <c r="K34" s="5">
        <v>34.217499700000005</v>
      </c>
      <c r="L34" s="10">
        <v>8.5482663129823333E-3</v>
      </c>
      <c r="M34" s="5">
        <v>33.886333258333337</v>
      </c>
      <c r="N34" s="10">
        <v>1.840466883543046E-2</v>
      </c>
      <c r="O34" s="5">
        <v>34.509997999999996</v>
      </c>
      <c r="P34" s="10">
        <v>5.7954219645495186E-8</v>
      </c>
      <c r="Q34" s="5">
        <v>32.279998999999997</v>
      </c>
      <c r="R34" s="10">
        <v>6.908305666304404E-2</v>
      </c>
      <c r="S34" s="17">
        <v>3.5000000000000001E-3</v>
      </c>
      <c r="T34" s="5" t="s">
        <v>129</v>
      </c>
    </row>
    <row r="35" spans="1:20">
      <c r="A35" s="2" t="s">
        <v>102</v>
      </c>
      <c r="B35" s="2" t="s">
        <v>113</v>
      </c>
      <c r="C35" s="6">
        <v>48.97</v>
      </c>
      <c r="D35" s="6">
        <v>-3.9997999999997091E-2</v>
      </c>
      <c r="E35" s="15">
        <v>3.7000000000000002E-3</v>
      </c>
      <c r="F35" s="6">
        <v>49.009997999999996</v>
      </c>
      <c r="G35" s="6"/>
      <c r="H35" s="11" t="s">
        <v>21</v>
      </c>
      <c r="I35" s="6">
        <v>48.130001</v>
      </c>
      <c r="J35" s="11">
        <v>1.7452711043991043E-2</v>
      </c>
      <c r="K35" s="6">
        <v>48.208500199999996</v>
      </c>
      <c r="L35" s="11">
        <v>1.5795965376247167E-2</v>
      </c>
      <c r="M35" s="6">
        <v>47.898416691666668</v>
      </c>
      <c r="N35" s="11">
        <v>2.2371998540815285E-2</v>
      </c>
      <c r="O35" s="6">
        <v>50.57</v>
      </c>
      <c r="P35" s="11">
        <v>-3.1639311844967377E-2</v>
      </c>
      <c r="Q35" s="6">
        <v>44.939999</v>
      </c>
      <c r="R35" s="11">
        <v>8.9675146632735681E-2</v>
      </c>
      <c r="S35" s="18">
        <v>5.0000000000000001E-3</v>
      </c>
      <c r="T35" s="6" t="s">
        <v>131</v>
      </c>
    </row>
    <row r="36" spans="1:20">
      <c r="A36" s="1"/>
      <c r="B36" s="1"/>
      <c r="C36" s="5"/>
      <c r="D36" s="5"/>
      <c r="E36" s="14"/>
      <c r="F36" s="5"/>
      <c r="G36" s="5"/>
      <c r="H36" s="10"/>
      <c r="I36" s="5"/>
      <c r="J36" s="10"/>
      <c r="K36" s="5"/>
      <c r="L36" s="10"/>
      <c r="M36" s="5"/>
      <c r="N36" s="10"/>
      <c r="O36" s="5"/>
      <c r="P36" s="10"/>
      <c r="Q36" s="5"/>
      <c r="R36" s="10"/>
      <c r="S36" s="17"/>
      <c r="T36" s="5"/>
    </row>
    <row r="37" spans="1:20">
      <c r="A37" s="2"/>
      <c r="B37" s="2"/>
      <c r="C37" s="6"/>
      <c r="D37" s="6"/>
      <c r="E37" s="15"/>
      <c r="F37" s="6"/>
      <c r="G37" s="6"/>
      <c r="H37" s="11"/>
      <c r="I37" s="6"/>
      <c r="J37" s="11"/>
      <c r="K37" s="6"/>
      <c r="L37" s="11"/>
      <c r="M37" s="6"/>
      <c r="N37" s="11"/>
      <c r="O37" s="6"/>
      <c r="P37" s="11"/>
      <c r="Q37" s="6"/>
      <c r="R37" s="11"/>
      <c r="S37" s="18"/>
      <c r="T37" s="6"/>
    </row>
    <row r="38" spans="1:20">
      <c r="A38" s="1"/>
      <c r="B38" s="1"/>
      <c r="C38" s="5"/>
      <c r="D38" s="5"/>
      <c r="E38" s="14"/>
      <c r="F38" s="5"/>
      <c r="G38" s="5"/>
      <c r="H38" s="10"/>
      <c r="I38" s="5"/>
      <c r="J38" s="10"/>
      <c r="K38" s="5"/>
      <c r="L38" s="10"/>
      <c r="M38" s="5"/>
      <c r="N38" s="10"/>
      <c r="O38" s="5"/>
      <c r="P38" s="10"/>
      <c r="Q38" s="5"/>
      <c r="R38" s="10"/>
      <c r="S38" s="5"/>
      <c r="T38" s="5"/>
    </row>
    <row r="39" spans="1:20">
      <c r="A39" s="2"/>
      <c r="B39" s="2"/>
      <c r="C39" s="6"/>
      <c r="D39" s="6"/>
      <c r="E39" s="15"/>
      <c r="F39" s="6"/>
      <c r="G39" s="6"/>
      <c r="H39" s="11"/>
      <c r="I39" s="6"/>
      <c r="J39" s="11"/>
      <c r="K39" s="6"/>
      <c r="L39" s="11"/>
      <c r="M39" s="6"/>
      <c r="N39" s="11"/>
      <c r="O39" s="6"/>
      <c r="P39" s="11"/>
      <c r="Q39" s="6"/>
      <c r="R39" s="11"/>
      <c r="S39" s="6"/>
      <c r="T39" s="6"/>
    </row>
    <row r="40" spans="1:20">
      <c r="A40" s="1"/>
      <c r="B40" s="1"/>
      <c r="C40" s="5"/>
      <c r="D40" s="5"/>
      <c r="E40" s="14"/>
      <c r="F40" s="5"/>
      <c r="G40" s="5"/>
      <c r="H40" s="10"/>
      <c r="I40" s="5"/>
      <c r="J40" s="10"/>
      <c r="K40" s="5"/>
      <c r="L40" s="10"/>
      <c r="M40" s="5"/>
      <c r="N40" s="10"/>
      <c r="O40" s="5"/>
      <c r="P40" s="10"/>
      <c r="Q40" s="5"/>
      <c r="R40" s="10"/>
      <c r="S40" s="5"/>
      <c r="T40" s="5"/>
    </row>
    <row r="41" spans="1:20">
      <c r="A41" s="2"/>
      <c r="B41" s="2"/>
      <c r="C41" s="6"/>
      <c r="D41" s="6"/>
      <c r="E41" s="15"/>
      <c r="F41" s="6"/>
      <c r="G41" s="6"/>
      <c r="H41" s="11"/>
      <c r="I41" s="6"/>
      <c r="J41" s="11"/>
      <c r="K41" s="6"/>
      <c r="L41" s="11"/>
      <c r="M41" s="6"/>
      <c r="N41" s="11"/>
      <c r="O41" s="6"/>
      <c r="P41" s="11"/>
      <c r="Q41" s="6"/>
      <c r="R41" s="11"/>
      <c r="S41" s="6"/>
      <c r="T41" s="6"/>
    </row>
    <row r="42" spans="1:20">
      <c r="A42" s="1"/>
      <c r="B42" s="1"/>
      <c r="C42" s="5"/>
      <c r="D42" s="5"/>
      <c r="E42" s="14"/>
      <c r="F42" s="5"/>
      <c r="G42" s="5"/>
      <c r="H42" s="10"/>
      <c r="I42" s="5"/>
      <c r="J42" s="10"/>
      <c r="K42" s="5"/>
      <c r="L42" s="10"/>
      <c r="M42" s="5"/>
      <c r="N42" s="10"/>
      <c r="O42" s="5"/>
      <c r="P42" s="10"/>
      <c r="Q42" s="5"/>
      <c r="R42" s="10"/>
      <c r="S42" s="5"/>
      <c r="T42" s="5"/>
    </row>
    <row r="43" spans="1:20">
      <c r="A43" s="2"/>
      <c r="B43" s="2"/>
      <c r="C43" s="6"/>
      <c r="D43" s="6"/>
      <c r="E43" s="15"/>
      <c r="F43" s="6"/>
      <c r="G43" s="6"/>
      <c r="H43" s="11"/>
      <c r="I43" s="6"/>
      <c r="J43" s="11"/>
      <c r="K43" s="6"/>
      <c r="L43" s="11"/>
      <c r="M43" s="6"/>
      <c r="N43" s="11"/>
      <c r="O43" s="6"/>
      <c r="P43" s="11"/>
      <c r="Q43" s="6"/>
      <c r="R43" s="11"/>
      <c r="S43" s="6"/>
      <c r="T43" s="6"/>
    </row>
    <row r="44" spans="1:20">
      <c r="A44" s="1"/>
      <c r="B44" s="1"/>
      <c r="C44" s="5"/>
      <c r="D44" s="5"/>
      <c r="E44" s="14"/>
      <c r="F44" s="5"/>
      <c r="G44" s="5"/>
      <c r="H44" s="10"/>
      <c r="I44" s="5"/>
      <c r="J44" s="10"/>
      <c r="K44" s="5"/>
      <c r="L44" s="10"/>
      <c r="M44" s="5"/>
      <c r="N44" s="10"/>
      <c r="O44" s="5"/>
      <c r="P44" s="10"/>
      <c r="Q44" s="5"/>
      <c r="R44" s="10"/>
      <c r="S44" s="5"/>
      <c r="T44" s="5"/>
    </row>
    <row r="45" spans="1:20">
      <c r="A45" s="2"/>
      <c r="B45" s="2"/>
      <c r="C45" s="6"/>
      <c r="D45" s="6"/>
      <c r="E45" s="15"/>
      <c r="F45" s="6"/>
      <c r="G45" s="6"/>
      <c r="H45" s="11"/>
      <c r="I45" s="6"/>
      <c r="J45" s="11"/>
      <c r="K45" s="6"/>
      <c r="L45" s="11"/>
      <c r="M45" s="6"/>
      <c r="N45" s="11"/>
      <c r="O45" s="6"/>
      <c r="P45" s="11"/>
      <c r="Q45" s="6"/>
      <c r="R45" s="11"/>
      <c r="S45" s="6"/>
      <c r="T45" s="6"/>
    </row>
    <row r="46" spans="1:20">
      <c r="A46" s="1"/>
      <c r="B46" s="1"/>
      <c r="C46" s="5"/>
      <c r="D46" s="5"/>
      <c r="E46" s="14"/>
      <c r="F46" s="5"/>
      <c r="G46" s="5"/>
      <c r="H46" s="10"/>
      <c r="I46" s="5"/>
      <c r="J46" s="10"/>
      <c r="K46" s="5"/>
      <c r="L46" s="10"/>
      <c r="M46" s="5"/>
      <c r="N46" s="10"/>
      <c r="O46" s="5"/>
      <c r="P46" s="10"/>
      <c r="Q46" s="5"/>
      <c r="R46" s="10"/>
      <c r="S46" s="5"/>
      <c r="T46" s="5"/>
    </row>
    <row r="47" spans="1:20">
      <c r="A47" s="2"/>
      <c r="B47" s="2"/>
      <c r="C47" s="6"/>
      <c r="D47" s="6"/>
      <c r="E47" s="15"/>
      <c r="F47" s="6"/>
      <c r="G47" s="6"/>
      <c r="H47" s="11"/>
      <c r="I47" s="6"/>
      <c r="J47" s="11"/>
      <c r="K47" s="6"/>
      <c r="L47" s="11"/>
      <c r="M47" s="6"/>
      <c r="N47" s="11"/>
      <c r="O47" s="6"/>
      <c r="P47" s="11"/>
      <c r="Q47" s="6"/>
      <c r="R47" s="11"/>
      <c r="S47" s="6"/>
      <c r="T47" s="6"/>
    </row>
    <row r="48" spans="1:20">
      <c r="A48" s="1"/>
      <c r="B48" s="1"/>
      <c r="C48" s="5"/>
      <c r="D48" s="5"/>
      <c r="E48" s="14"/>
      <c r="F48" s="5"/>
      <c r="G48" s="5"/>
      <c r="H48" s="10"/>
      <c r="I48" s="5"/>
      <c r="J48" s="10"/>
      <c r="K48" s="5"/>
      <c r="L48" s="10"/>
      <c r="M48" s="5"/>
      <c r="N48" s="10"/>
      <c r="O48" s="5"/>
      <c r="P48" s="10"/>
      <c r="Q48" s="5"/>
      <c r="R48" s="10"/>
      <c r="S48" s="5"/>
      <c r="T48" s="5"/>
    </row>
    <row r="49" spans="1:20">
      <c r="A49" s="2"/>
      <c r="B49" s="2"/>
      <c r="C49" s="6"/>
      <c r="D49" s="6"/>
      <c r="E49" s="15"/>
      <c r="F49" s="6"/>
      <c r="G49" s="6"/>
      <c r="H49" s="11"/>
      <c r="I49" s="6"/>
      <c r="J49" s="11"/>
      <c r="K49" s="6"/>
      <c r="L49" s="11"/>
      <c r="M49" s="6"/>
      <c r="N49" s="11"/>
      <c r="O49" s="6"/>
      <c r="P49" s="11"/>
      <c r="Q49" s="6"/>
      <c r="R49" s="11"/>
      <c r="S49" s="6"/>
      <c r="T49" s="6"/>
    </row>
    <row r="50" spans="1:20">
      <c r="A50" s="1"/>
      <c r="B50" s="1"/>
      <c r="C50" s="5"/>
      <c r="D50" s="5"/>
      <c r="E50" s="14"/>
      <c r="F50" s="5"/>
      <c r="G50" s="5"/>
      <c r="H50" s="10"/>
      <c r="I50" s="5"/>
      <c r="J50" s="10"/>
      <c r="K50" s="5"/>
      <c r="L50" s="10"/>
      <c r="M50" s="5"/>
      <c r="N50" s="10"/>
      <c r="O50" s="5"/>
      <c r="P50" s="10"/>
      <c r="Q50" s="5"/>
      <c r="R50" s="10"/>
      <c r="S50" s="5"/>
      <c r="T50" s="5"/>
    </row>
    <row r="51" spans="1:20">
      <c r="A51" s="2"/>
      <c r="B51" s="2"/>
      <c r="C51" s="6"/>
      <c r="D51" s="6"/>
      <c r="E51" s="15"/>
      <c r="F51" s="6"/>
      <c r="G51" s="6"/>
      <c r="H51" s="11"/>
      <c r="I51" s="6"/>
      <c r="J51" s="11"/>
      <c r="K51" s="6"/>
      <c r="L51" s="11"/>
      <c r="M51" s="6"/>
      <c r="N51" s="11"/>
      <c r="O51" s="6"/>
      <c r="P51" s="11"/>
      <c r="Q51" s="6"/>
      <c r="R51" s="11"/>
      <c r="S51" s="6"/>
      <c r="T51" s="6"/>
    </row>
    <row r="52" spans="1:20">
      <c r="A52" s="1"/>
      <c r="B52" s="1"/>
      <c r="C52" s="5"/>
      <c r="D52" s="5"/>
      <c r="E52" s="14"/>
      <c r="F52" s="5"/>
      <c r="G52" s="5"/>
      <c r="H52" s="10"/>
      <c r="I52" s="5"/>
      <c r="J52" s="10"/>
      <c r="K52" s="5"/>
      <c r="L52" s="10"/>
      <c r="M52" s="5"/>
      <c r="N52" s="10"/>
      <c r="O52" s="5"/>
      <c r="P52" s="10"/>
      <c r="Q52" s="5"/>
      <c r="R52" s="10"/>
      <c r="S52" s="5"/>
      <c r="T52" s="5"/>
    </row>
    <row r="53" spans="1:20">
      <c r="A53" s="2"/>
      <c r="B53" s="2"/>
      <c r="C53" s="6"/>
      <c r="D53" s="6"/>
      <c r="E53" s="15"/>
      <c r="F53" s="6"/>
      <c r="G53" s="6"/>
      <c r="H53" s="11"/>
      <c r="I53" s="6"/>
      <c r="J53" s="11"/>
      <c r="K53" s="6"/>
      <c r="L53" s="11"/>
      <c r="M53" s="6"/>
      <c r="N53" s="11"/>
      <c r="O53" s="6"/>
      <c r="P53" s="11"/>
      <c r="Q53" s="6"/>
      <c r="R53" s="11"/>
      <c r="S53" s="6"/>
      <c r="T53" s="6"/>
    </row>
    <row r="54" spans="1:20">
      <c r="A54" s="1"/>
      <c r="B54" s="1"/>
      <c r="C54" s="5"/>
      <c r="D54" s="5"/>
      <c r="E54" s="14"/>
      <c r="F54" s="5"/>
      <c r="G54" s="5"/>
      <c r="H54" s="10"/>
      <c r="I54" s="5"/>
      <c r="J54" s="10"/>
      <c r="K54" s="5"/>
      <c r="L54" s="10"/>
      <c r="M54" s="5"/>
      <c r="N54" s="10"/>
      <c r="O54" s="5"/>
      <c r="P54" s="10"/>
      <c r="Q54" s="5"/>
      <c r="R54" s="10"/>
      <c r="S54" s="5"/>
      <c r="T54" s="5"/>
    </row>
    <row r="55" spans="1:20">
      <c r="A55" s="2"/>
      <c r="B55" s="2"/>
      <c r="C55" s="6"/>
      <c r="D55" s="6"/>
      <c r="E55" s="15"/>
      <c r="F55" s="6"/>
      <c r="G55" s="6"/>
      <c r="H55" s="11"/>
      <c r="I55" s="6"/>
      <c r="J55" s="11"/>
      <c r="K55" s="6"/>
      <c r="L55" s="11"/>
      <c r="M55" s="6"/>
      <c r="N55" s="11"/>
      <c r="O55" s="6"/>
      <c r="P55" s="11"/>
      <c r="Q55" s="6"/>
      <c r="R55" s="11"/>
      <c r="S55" s="6"/>
      <c r="T55" s="6"/>
    </row>
    <row r="56" spans="1:20">
      <c r="A56" s="1"/>
      <c r="B56" s="1"/>
      <c r="C56" s="5"/>
      <c r="D56" s="5"/>
      <c r="E56" s="14"/>
      <c r="F56" s="5"/>
      <c r="G56" s="5"/>
      <c r="H56" s="10"/>
      <c r="I56" s="5"/>
      <c r="J56" s="10"/>
      <c r="K56" s="5"/>
      <c r="L56" s="10"/>
      <c r="M56" s="5"/>
      <c r="N56" s="10"/>
      <c r="O56" s="5"/>
      <c r="P56" s="10"/>
      <c r="Q56" s="5"/>
      <c r="R56" s="10"/>
      <c r="S56" s="5"/>
      <c r="T56" s="5"/>
    </row>
    <row r="57" spans="1:20">
      <c r="A57" s="2"/>
      <c r="B57" s="2"/>
      <c r="C57" s="6"/>
      <c r="D57" s="6"/>
      <c r="E57" s="15"/>
      <c r="F57" s="6"/>
      <c r="G57" s="6"/>
      <c r="H57" s="11"/>
      <c r="I57" s="6"/>
      <c r="J57" s="11"/>
      <c r="K57" s="6"/>
      <c r="L57" s="11"/>
      <c r="M57" s="6"/>
      <c r="N57" s="11"/>
      <c r="O57" s="6"/>
      <c r="P57" s="11"/>
      <c r="Q57" s="6"/>
      <c r="R57" s="11"/>
      <c r="S57" s="6"/>
      <c r="T57" s="6"/>
    </row>
    <row r="58" spans="1:20">
      <c r="A58" s="1"/>
      <c r="B58" s="1"/>
      <c r="C58" s="5"/>
      <c r="D58" s="5"/>
      <c r="E58" s="14"/>
      <c r="F58" s="5"/>
      <c r="G58" s="5"/>
      <c r="H58" s="10"/>
      <c r="I58" s="5"/>
      <c r="J58" s="10"/>
      <c r="K58" s="5"/>
      <c r="L58" s="10"/>
      <c r="M58" s="5"/>
      <c r="N58" s="10"/>
      <c r="O58" s="5"/>
      <c r="P58" s="10"/>
      <c r="Q58" s="5"/>
      <c r="R58" s="10"/>
      <c r="S58" s="5"/>
      <c r="T58" s="5"/>
    </row>
    <row r="59" spans="1:20">
      <c r="A59" s="2"/>
      <c r="B59" s="2"/>
      <c r="C59" s="6"/>
      <c r="D59" s="6"/>
      <c r="E59" s="15"/>
      <c r="F59" s="6"/>
      <c r="G59" s="6"/>
      <c r="H59" s="11"/>
      <c r="I59" s="6"/>
      <c r="J59" s="11"/>
      <c r="K59" s="6"/>
      <c r="L59" s="11"/>
      <c r="M59" s="6"/>
      <c r="N59" s="11"/>
      <c r="O59" s="6"/>
      <c r="P59" s="11"/>
      <c r="Q59" s="6"/>
      <c r="R59" s="11"/>
      <c r="S59" s="6"/>
      <c r="T59" s="6"/>
    </row>
    <row r="60" spans="1:20">
      <c r="A60" s="1"/>
      <c r="B60" s="1"/>
      <c r="C60" s="5"/>
      <c r="D60" s="5"/>
      <c r="E60" s="14"/>
      <c r="F60" s="5"/>
      <c r="G60" s="5"/>
      <c r="H60" s="10"/>
      <c r="I60" s="5"/>
      <c r="J60" s="10"/>
      <c r="K60" s="5"/>
      <c r="L60" s="10"/>
      <c r="M60" s="5"/>
      <c r="N60" s="10"/>
      <c r="O60" s="5"/>
      <c r="P60" s="10"/>
      <c r="Q60" s="5"/>
      <c r="R60" s="10"/>
      <c r="S60" s="5"/>
      <c r="T60" s="5"/>
    </row>
  </sheetData>
  <phoneticPr fontId="5" type="noConversion"/>
  <conditionalFormatting sqref="J2:J60 L2:L60 N2:N60">
    <cfRule type="cellIs" dxfId="64" priority="7" operator="lessThan">
      <formula>-0.02</formula>
    </cfRule>
  </conditionalFormatting>
  <conditionalFormatting sqref="P2:P60">
    <cfRule type="cellIs" dxfId="63" priority="5" operator="between">
      <formula>-0.05</formula>
      <formula>0.05</formula>
    </cfRule>
  </conditionalFormatting>
  <conditionalFormatting sqref="H2:H60">
    <cfRule type="cellIs" dxfId="62" priority="3" operator="between">
      <formula>0</formula>
      <formula>0.05</formula>
    </cfRule>
    <cfRule type="cellIs" dxfId="61" priority="4" operator="between">
      <formula>-0.05</formula>
      <formula>0</formula>
    </cfRule>
  </conditionalFormatting>
  <conditionalFormatting sqref="R2:R60">
    <cfRule type="cellIs" dxfId="60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UpdateCurrentSheet">
                <anchor moveWithCells="1" sizeWithCells="1">
                  <from>
                    <xdr:col>23</xdr:col>
                    <xdr:colOff>38100</xdr:colOff>
                    <xdr:row>0</xdr:row>
                    <xdr:rowOff>28575</xdr:rowOff>
                  </from>
                  <to>
                    <xdr:col>24</xdr:col>
                    <xdr:colOff>419100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6"/>
  </sheetPr>
  <dimension ref="A1:Y60"/>
  <sheetViews>
    <sheetView zoomScale="80" zoomScaleNormal="80" workbookViewId="0">
      <pane ySplit="1" topLeftCell="A2" activePane="bottomLeft" state="frozen"/>
      <selection activeCell="D48" sqref="D48"/>
      <selection pane="bottomLeft" activeCell="K2" sqref="K2"/>
    </sheetView>
  </sheetViews>
  <sheetFormatPr defaultRowHeight="15"/>
  <cols>
    <col min="1" max="1" width="10.28515625" bestFit="1" customWidth="1"/>
    <col min="2" max="2" width="52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18" width="10.28515625" bestFit="1" customWidth="1"/>
    <col min="20" max="20" width="10.28515625" bestFit="1" customWidth="1"/>
    <col min="24" max="24" width="10.7109375" customWidth="1"/>
  </cols>
  <sheetData>
    <row r="1" spans="1:25" ht="30.75" thickBot="1">
      <c r="A1" s="3" t="s">
        <v>2</v>
      </c>
      <c r="B1" s="4" t="s">
        <v>3</v>
      </c>
      <c r="C1" s="3" t="s">
        <v>5</v>
      </c>
      <c r="D1" s="3" t="s">
        <v>6</v>
      </c>
      <c r="E1" s="3" t="s">
        <v>7</v>
      </c>
      <c r="F1" s="3" t="s">
        <v>8</v>
      </c>
      <c r="G1" s="27" t="s">
        <v>14</v>
      </c>
      <c r="H1" s="7" t="s">
        <v>15</v>
      </c>
      <c r="I1" s="3" t="s">
        <v>9</v>
      </c>
      <c r="J1" s="3" t="s">
        <v>16</v>
      </c>
      <c r="K1" s="3" t="s">
        <v>10</v>
      </c>
      <c r="L1" s="3" t="s">
        <v>17</v>
      </c>
      <c r="M1" s="3" t="s">
        <v>11</v>
      </c>
      <c r="N1" s="3" t="s">
        <v>18</v>
      </c>
      <c r="O1" s="3" t="s">
        <v>12</v>
      </c>
      <c r="P1" s="3" t="s">
        <v>19</v>
      </c>
      <c r="Q1" s="3" t="s">
        <v>13</v>
      </c>
      <c r="R1" s="3" t="s">
        <v>20</v>
      </c>
      <c r="S1" s="28" t="s">
        <v>115</v>
      </c>
      <c r="T1" s="29" t="s">
        <v>116</v>
      </c>
    </row>
    <row r="2" spans="1:25">
      <c r="A2" s="1" t="s">
        <v>22</v>
      </c>
      <c r="B2" s="1" t="s">
        <v>145</v>
      </c>
      <c r="C2" s="5">
        <v>81.476200000000006</v>
      </c>
      <c r="D2" s="5">
        <v>-7.7019999999947686E-3</v>
      </c>
      <c r="E2" s="14">
        <v>-1.7619999999999999E-3</v>
      </c>
      <c r="F2" s="5">
        <v>81.483902</v>
      </c>
      <c r="G2" s="5"/>
      <c r="H2" s="10" t="s">
        <v>21</v>
      </c>
      <c r="I2" s="5">
        <v>81.949996999999996</v>
      </c>
      <c r="J2" s="10">
        <v>-5.7815377345283858E-3</v>
      </c>
      <c r="K2" s="5">
        <v>82.024598099999992</v>
      </c>
      <c r="L2" s="10">
        <v>-6.6857761293923623E-3</v>
      </c>
      <c r="M2" s="5">
        <v>81.930949325</v>
      </c>
      <c r="N2" s="10">
        <v>-5.5503973620043556E-3</v>
      </c>
      <c r="O2" s="5">
        <v>83.370002999999997</v>
      </c>
      <c r="P2" s="25">
        <v>-2.2715640300504658E-2</v>
      </c>
      <c r="Q2" s="5">
        <v>80.040001000000004</v>
      </c>
      <c r="R2" s="25">
        <v>1.794351551794704E-2</v>
      </c>
      <c r="S2" s="17">
        <v>5.0000000000000001E-4</v>
      </c>
      <c r="T2" s="5" t="s">
        <v>177</v>
      </c>
    </row>
    <row r="3" spans="1:25">
      <c r="A3" s="2" t="s">
        <v>31</v>
      </c>
      <c r="B3" s="2" t="s">
        <v>146</v>
      </c>
      <c r="C3" s="6">
        <v>108.985</v>
      </c>
      <c r="D3" s="6">
        <v>5.1030000000054088E-3</v>
      </c>
      <c r="E3" s="15">
        <v>-1.8799999999999999E-3</v>
      </c>
      <c r="F3" s="6">
        <v>108.97989699999999</v>
      </c>
      <c r="G3" s="6"/>
      <c r="H3" s="11" t="s">
        <v>21</v>
      </c>
      <c r="I3" s="6">
        <v>109.68</v>
      </c>
      <c r="J3" s="11">
        <v>-6.3366156090445269E-3</v>
      </c>
      <c r="K3" s="6">
        <v>109.76299757499999</v>
      </c>
      <c r="L3" s="11">
        <v>-7.0879767516224268E-3</v>
      </c>
      <c r="M3" s="6">
        <v>109.64833253333329</v>
      </c>
      <c r="N3" s="11">
        <v>-6.0496363055191349E-3</v>
      </c>
      <c r="O3" s="6">
        <v>111.44000200000001</v>
      </c>
      <c r="P3" s="26">
        <v>-2.202980936773502E-2</v>
      </c>
      <c r="Q3" s="6">
        <v>107.120003</v>
      </c>
      <c r="R3" s="26">
        <v>1.741035238768629E-2</v>
      </c>
      <c r="S3" s="18">
        <v>5.9999999999999995E-4</v>
      </c>
      <c r="T3" s="6" t="s">
        <v>177</v>
      </c>
      <c r="X3" t="s">
        <v>42</v>
      </c>
      <c r="Y3" t="s">
        <v>103</v>
      </c>
    </row>
    <row r="4" spans="1:25">
      <c r="A4" s="1" t="s">
        <v>133</v>
      </c>
      <c r="B4" s="1" t="s">
        <v>147</v>
      </c>
      <c r="C4" s="5">
        <v>52.540999999999997</v>
      </c>
      <c r="D4" s="5">
        <v>9.9899999999308875E-4</v>
      </c>
      <c r="E4" s="14">
        <v>-1.5E-3</v>
      </c>
      <c r="F4" s="5">
        <v>52.540001000000004</v>
      </c>
      <c r="G4" s="5"/>
      <c r="H4" s="10" t="s">
        <v>21</v>
      </c>
      <c r="I4" s="5">
        <v>52.880001</v>
      </c>
      <c r="J4" s="10">
        <v>-6.4107600905681794E-3</v>
      </c>
      <c r="K4" s="5">
        <v>52.858750249999979</v>
      </c>
      <c r="L4" s="10">
        <v>-6.0113084115147597E-3</v>
      </c>
      <c r="M4" s="5">
        <v>52.809250200000015</v>
      </c>
      <c r="N4" s="10">
        <v>-5.0796062997314761E-3</v>
      </c>
      <c r="O4" s="5">
        <v>53.77</v>
      </c>
      <c r="P4" s="25">
        <v>-2.2856611493397905E-2</v>
      </c>
      <c r="Q4" s="5">
        <v>51.84</v>
      </c>
      <c r="R4" s="25">
        <v>1.3522376543209758E-2</v>
      </c>
      <c r="S4" s="17">
        <v>6.9999999999999999E-4</v>
      </c>
      <c r="T4" s="5" t="s">
        <v>178</v>
      </c>
      <c r="X4" t="s">
        <v>37</v>
      </c>
    </row>
    <row r="5" spans="1:25">
      <c r="A5" s="2" t="s">
        <v>26</v>
      </c>
      <c r="B5" s="2" t="s">
        <v>148</v>
      </c>
      <c r="C5" s="6">
        <v>60.579900000000002</v>
      </c>
      <c r="D5" s="6">
        <v>-1.0199999999827014E-4</v>
      </c>
      <c r="E5" s="15">
        <v>-3.3199999999999999E-4</v>
      </c>
      <c r="F5" s="6">
        <v>60.580002</v>
      </c>
      <c r="G5" s="6"/>
      <c r="H5" s="11" t="s">
        <v>21</v>
      </c>
      <c r="I5" s="6">
        <v>60.75</v>
      </c>
      <c r="J5" s="11">
        <v>-2.7999999999999137E-3</v>
      </c>
      <c r="K5" s="6">
        <v>60.722250175000021</v>
      </c>
      <c r="L5" s="11">
        <v>-2.3442835960421071E-3</v>
      </c>
      <c r="M5" s="6">
        <v>60.76291674999996</v>
      </c>
      <c r="N5" s="11">
        <v>-3.0119809875643888E-3</v>
      </c>
      <c r="O5" s="6">
        <v>61.150002000000001</v>
      </c>
      <c r="P5" s="26">
        <v>-9.3230086893537623E-3</v>
      </c>
      <c r="Q5" s="6">
        <v>60.580002</v>
      </c>
      <c r="R5" s="26">
        <v>-1.6837239457112574E-6</v>
      </c>
      <c r="S5" s="18">
        <v>6.9999999999999999E-4</v>
      </c>
      <c r="T5" s="6" t="s">
        <v>179</v>
      </c>
    </row>
    <row r="6" spans="1:25">
      <c r="A6" s="1" t="s">
        <v>39</v>
      </c>
      <c r="B6" s="1" t="s">
        <v>149</v>
      </c>
      <c r="C6" s="5">
        <v>75.55</v>
      </c>
      <c r="D6" s="5">
        <v>-3.2802000000003773E-2</v>
      </c>
      <c r="E6" s="14">
        <v>-7.9000000000000008E-3</v>
      </c>
      <c r="F6" s="5">
        <v>75.582802000000001</v>
      </c>
      <c r="G6" s="5"/>
      <c r="H6" s="10" t="s">
        <v>21</v>
      </c>
      <c r="I6" s="5">
        <v>76.760002</v>
      </c>
      <c r="J6" s="10">
        <v>-1.5763444091624779E-2</v>
      </c>
      <c r="K6" s="5">
        <v>77.45632034999997</v>
      </c>
      <c r="L6" s="10">
        <v>-2.4611553213294002E-2</v>
      </c>
      <c r="M6" s="5">
        <v>77.080606700000004</v>
      </c>
      <c r="N6" s="10">
        <v>-1.9857221751732879E-2</v>
      </c>
      <c r="O6" s="5">
        <v>81.25</v>
      </c>
      <c r="P6" s="25">
        <v>-7.0153846153846233E-2</v>
      </c>
      <c r="Q6" s="5">
        <v>72.089995999999999</v>
      </c>
      <c r="R6" s="25">
        <v>4.7995619253467625E-2</v>
      </c>
      <c r="S6" s="17">
        <v>6.9999999999999999E-4</v>
      </c>
      <c r="T6" s="5" t="s">
        <v>180</v>
      </c>
    </row>
    <row r="7" spans="1:25">
      <c r="A7" s="2" t="s">
        <v>134</v>
      </c>
      <c r="B7" s="2" t="s">
        <v>150</v>
      </c>
      <c r="C7" s="6">
        <v>64.209999999999994</v>
      </c>
      <c r="D7" s="6">
        <v>2.9999999999986926E-2</v>
      </c>
      <c r="E7" s="15">
        <v>-1.6000000000000001E-3</v>
      </c>
      <c r="F7" s="6">
        <v>64.180000000000007</v>
      </c>
      <c r="G7" s="6"/>
      <c r="H7" s="11" t="s">
        <v>21</v>
      </c>
      <c r="I7" s="6">
        <v>64.730002999999996</v>
      </c>
      <c r="J7" s="11">
        <v>-8.0334153545459364E-3</v>
      </c>
      <c r="K7" s="6">
        <v>64.793000050000003</v>
      </c>
      <c r="L7" s="11">
        <v>-8.9978863388038288E-3</v>
      </c>
      <c r="M7" s="6">
        <v>64.829083341666646</v>
      </c>
      <c r="N7" s="11">
        <v>-9.5494693084571258E-3</v>
      </c>
      <c r="O7" s="6">
        <v>66.269997000000004</v>
      </c>
      <c r="P7" s="26">
        <v>-3.1084911622977884E-2</v>
      </c>
      <c r="Q7" s="6">
        <v>63.529998999999997</v>
      </c>
      <c r="R7" s="26">
        <v>1.0703620505330136E-2</v>
      </c>
      <c r="S7" s="18">
        <v>6.9999999999999999E-4</v>
      </c>
      <c r="T7" s="6" t="s">
        <v>178</v>
      </c>
    </row>
    <row r="8" spans="1:25">
      <c r="A8" s="1" t="s">
        <v>25</v>
      </c>
      <c r="B8" s="1" t="s">
        <v>151</v>
      </c>
      <c r="C8" s="5">
        <v>79.930000000000007</v>
      </c>
      <c r="D8" s="5">
        <v>-1.197999999988042E-3</v>
      </c>
      <c r="E8" s="14">
        <v>-5.9999999999999995E-4</v>
      </c>
      <c r="F8" s="5">
        <v>79.931197999999995</v>
      </c>
      <c r="G8" s="5"/>
      <c r="H8" s="10" t="s">
        <v>21</v>
      </c>
      <c r="I8" s="5">
        <v>80.169997999999993</v>
      </c>
      <c r="J8" s="10">
        <v>-2.9936136458427187E-3</v>
      </c>
      <c r="K8" s="5">
        <v>80.097530599999985</v>
      </c>
      <c r="L8" s="10">
        <v>-2.0915825836954616E-3</v>
      </c>
      <c r="M8" s="5">
        <v>80.074177124999991</v>
      </c>
      <c r="N8" s="10">
        <v>-1.8005445722522051E-3</v>
      </c>
      <c r="O8" s="5">
        <v>80.379997000000003</v>
      </c>
      <c r="P8" s="25">
        <v>-5.5983704502998721E-3</v>
      </c>
      <c r="Q8" s="5">
        <v>78.980002999999996</v>
      </c>
      <c r="R8" s="25">
        <v>1.202832316934721E-2</v>
      </c>
      <c r="S8" s="17">
        <v>6.9999999999999999E-4</v>
      </c>
      <c r="T8" s="5" t="s">
        <v>181</v>
      </c>
    </row>
    <row r="9" spans="1:25">
      <c r="A9" s="2" t="s">
        <v>135</v>
      </c>
      <c r="B9" s="2" t="s">
        <v>152</v>
      </c>
      <c r="C9" s="6">
        <v>93.41</v>
      </c>
      <c r="D9" s="6">
        <v>-7.0000000000050022E-3</v>
      </c>
      <c r="E9" s="15">
        <v>-5.1000000000000004E-3</v>
      </c>
      <c r="F9" s="6">
        <v>93.417000000000002</v>
      </c>
      <c r="G9" s="6"/>
      <c r="H9" s="11" t="s">
        <v>21</v>
      </c>
      <c r="I9" s="6">
        <v>93.889999000000003</v>
      </c>
      <c r="J9" s="11">
        <v>-5.1123549378246924E-3</v>
      </c>
      <c r="K9" s="6">
        <v>94.03542462499999</v>
      </c>
      <c r="L9" s="11">
        <v>-6.6509469967738211E-3</v>
      </c>
      <c r="M9" s="6">
        <v>93.334308133333266</v>
      </c>
      <c r="N9" s="11">
        <v>8.1097581565181542E-4</v>
      </c>
      <c r="O9" s="6">
        <v>94.830002000000007</v>
      </c>
      <c r="P9" s="26">
        <v>-1.4974185068560963E-2</v>
      </c>
      <c r="Q9" s="6">
        <v>87.07</v>
      </c>
      <c r="R9" s="26">
        <v>7.2814976455725322E-2</v>
      </c>
      <c r="S9" s="18">
        <v>6.9999999999999999E-4</v>
      </c>
      <c r="T9" s="6" t="s">
        <v>182</v>
      </c>
    </row>
    <row r="10" spans="1:25">
      <c r="A10" s="1" t="s">
        <v>136</v>
      </c>
      <c r="B10" s="1" t="s">
        <v>153</v>
      </c>
      <c r="C10" s="5">
        <v>87.58</v>
      </c>
      <c r="D10" s="5">
        <v>-1.999800000000107E-2</v>
      </c>
      <c r="E10" s="14">
        <v>-2.7000000000000001E-3</v>
      </c>
      <c r="F10" s="5">
        <v>87.599997999999999</v>
      </c>
      <c r="G10" s="5"/>
      <c r="H10" s="10" t="s">
        <v>21</v>
      </c>
      <c r="I10" s="5">
        <v>88.040001000000004</v>
      </c>
      <c r="J10" s="10">
        <v>-5.2249090728656578E-3</v>
      </c>
      <c r="K10" s="5">
        <v>88.069250325000013</v>
      </c>
      <c r="L10" s="10">
        <v>-5.5552911282262807E-3</v>
      </c>
      <c r="M10" s="5">
        <v>87.846916908333284</v>
      </c>
      <c r="N10" s="10">
        <v>-3.0384322834210442E-3</v>
      </c>
      <c r="O10" s="5">
        <v>88.870002999999997</v>
      </c>
      <c r="P10" s="25">
        <v>-1.4515617828886551E-2</v>
      </c>
      <c r="Q10" s="5">
        <v>84.739998</v>
      </c>
      <c r="R10" s="25">
        <v>3.3514303363566311E-2</v>
      </c>
      <c r="S10" s="17">
        <v>6.9999999999999999E-4</v>
      </c>
      <c r="T10" s="5" t="s">
        <v>182</v>
      </c>
    </row>
    <row r="11" spans="1:25">
      <c r="A11" s="2" t="s">
        <v>41</v>
      </c>
      <c r="B11" s="2" t="s">
        <v>154</v>
      </c>
      <c r="C11" s="6">
        <v>114.5</v>
      </c>
      <c r="D11" s="6">
        <v>4.6996999999990408E-2</v>
      </c>
      <c r="E11" s="15">
        <v>-9.2999999999999992E-3</v>
      </c>
      <c r="F11" s="6">
        <v>114.45300300000001</v>
      </c>
      <c r="G11" s="6"/>
      <c r="H11" s="11" t="s">
        <v>21</v>
      </c>
      <c r="I11" s="6">
        <v>116.5</v>
      </c>
      <c r="J11" s="11">
        <v>-1.7167381974248941E-2</v>
      </c>
      <c r="K11" s="6">
        <v>118.74482517499999</v>
      </c>
      <c r="L11" s="11">
        <v>-3.5747453994261935E-2</v>
      </c>
      <c r="M11" s="6">
        <v>117.71994139999997</v>
      </c>
      <c r="N11" s="11">
        <v>-2.7352556939006178E-2</v>
      </c>
      <c r="O11" s="6">
        <v>129.41999799999999</v>
      </c>
      <c r="P11" s="26">
        <v>-0.11528355919152455</v>
      </c>
      <c r="Q11" s="6">
        <v>106.010002</v>
      </c>
      <c r="R11" s="26">
        <v>8.0086763888562063E-2</v>
      </c>
      <c r="S11" s="18">
        <v>6.9999999999999999E-4</v>
      </c>
      <c r="T11" s="6" t="s">
        <v>180</v>
      </c>
    </row>
    <row r="12" spans="1:25">
      <c r="A12" s="1" t="s">
        <v>471</v>
      </c>
      <c r="B12" s="1" t="s">
        <v>155</v>
      </c>
      <c r="C12" s="5">
        <v>79.614999999999995</v>
      </c>
      <c r="D12" s="5">
        <v>6.2020000000018172E-3</v>
      </c>
      <c r="E12" s="14">
        <v>-5.5999999999999995E-4</v>
      </c>
      <c r="F12" s="5">
        <v>79.923698000000002</v>
      </c>
      <c r="G12" s="5"/>
      <c r="H12" s="10" t="s">
        <v>21</v>
      </c>
      <c r="I12" s="5">
        <v>80.120002999999997</v>
      </c>
      <c r="J12" s="10">
        <v>-2.3727283185447368E-3</v>
      </c>
      <c r="K12" s="5">
        <v>80.015592575000028</v>
      </c>
      <c r="L12" s="10">
        <v>-1.0709484519495494E-3</v>
      </c>
      <c r="M12" s="5">
        <v>79.917531175000065</v>
      </c>
      <c r="N12" s="10">
        <v>1.5476985860396475E-4</v>
      </c>
      <c r="O12" s="5">
        <v>80.870002999999997</v>
      </c>
      <c r="P12" s="25">
        <v>-1.1624866639364351E-2</v>
      </c>
      <c r="Q12" s="5">
        <v>79.220000999999996</v>
      </c>
      <c r="R12" s="25">
        <v>8.9611081928666625E-3</v>
      </c>
      <c r="S12" s="17">
        <v>6.9999999999999999E-4</v>
      </c>
      <c r="T12" s="5" t="s">
        <v>181</v>
      </c>
    </row>
    <row r="13" spans="1:25">
      <c r="A13" s="2" t="s">
        <v>38</v>
      </c>
      <c r="B13" s="2" t="s">
        <v>156</v>
      </c>
      <c r="C13" s="6">
        <v>92.46</v>
      </c>
      <c r="D13" s="6">
        <v>1.0002999999997542E-2</v>
      </c>
      <c r="E13" s="15">
        <v>-6.6E-3</v>
      </c>
      <c r="F13" s="6">
        <v>92.449996999999996</v>
      </c>
      <c r="G13" s="6"/>
      <c r="H13" s="11" t="s">
        <v>21</v>
      </c>
      <c r="I13" s="6">
        <v>93.410004000000001</v>
      </c>
      <c r="J13" s="11">
        <v>-1.0170259707943163E-2</v>
      </c>
      <c r="K13" s="6">
        <v>93.896999850000014</v>
      </c>
      <c r="L13" s="11">
        <v>-1.5304001749743001E-2</v>
      </c>
      <c r="M13" s="6">
        <v>93.275249974999966</v>
      </c>
      <c r="N13" s="11">
        <v>-8.7402604144023455E-3</v>
      </c>
      <c r="O13" s="6">
        <v>96.080002000000007</v>
      </c>
      <c r="P13" s="26">
        <v>-3.7676955918464872E-2</v>
      </c>
      <c r="Q13" s="6">
        <v>87.410004000000001</v>
      </c>
      <c r="R13" s="26">
        <v>5.7773661696663314E-2</v>
      </c>
      <c r="S13" s="18">
        <v>6.9999999999999999E-4</v>
      </c>
      <c r="T13" s="6" t="s">
        <v>183</v>
      </c>
    </row>
    <row r="14" spans="1:25">
      <c r="A14" s="1" t="s">
        <v>472</v>
      </c>
      <c r="B14" s="1" t="s">
        <v>157</v>
      </c>
      <c r="C14" s="5">
        <v>84.14</v>
      </c>
      <c r="D14" s="5">
        <v>-1.0002000000000066E-2</v>
      </c>
      <c r="E14" s="14">
        <v>-2.3999999999999998E-3</v>
      </c>
      <c r="F14" s="5">
        <v>84.150002000000001</v>
      </c>
      <c r="G14" s="5"/>
      <c r="H14" s="10" t="s">
        <v>21</v>
      </c>
      <c r="I14" s="5">
        <v>84.739998</v>
      </c>
      <c r="J14" s="10">
        <v>-7.0804580382454185E-3</v>
      </c>
      <c r="K14" s="5">
        <v>84.877751050000001</v>
      </c>
      <c r="L14" s="10">
        <v>-8.6919250436477968E-3</v>
      </c>
      <c r="M14" s="5">
        <v>84.796250183333342</v>
      </c>
      <c r="N14" s="10">
        <v>-7.7391415530109198E-3</v>
      </c>
      <c r="O14" s="5">
        <v>86.809997999999993</v>
      </c>
      <c r="P14" s="25">
        <v>-3.075680292032712E-2</v>
      </c>
      <c r="Q14" s="5">
        <v>82.25</v>
      </c>
      <c r="R14" s="25">
        <v>2.297872340425533E-2</v>
      </c>
      <c r="S14" s="17">
        <v>6.9999999999999999E-4</v>
      </c>
      <c r="T14" s="5" t="s">
        <v>177</v>
      </c>
    </row>
    <row r="15" spans="1:25">
      <c r="A15" s="2" t="s">
        <v>137</v>
      </c>
      <c r="B15" s="2" t="s">
        <v>158</v>
      </c>
      <c r="C15" s="6">
        <v>106.48</v>
      </c>
      <c r="D15" s="6">
        <v>9.9990000000076407E-3</v>
      </c>
      <c r="E15" s="15">
        <v>-1.4E-3</v>
      </c>
      <c r="F15" s="6">
        <v>106.470001</v>
      </c>
      <c r="G15" s="6"/>
      <c r="H15" s="11" t="s">
        <v>21</v>
      </c>
      <c r="I15" s="6">
        <v>107.18</v>
      </c>
      <c r="J15" s="11">
        <v>-6.5310692293338857E-3</v>
      </c>
      <c r="K15" s="6">
        <v>107.16899994999999</v>
      </c>
      <c r="L15" s="11">
        <v>-6.4290975032093023E-3</v>
      </c>
      <c r="M15" s="6">
        <v>107.08683339166659</v>
      </c>
      <c r="N15" s="11">
        <v>-5.6667413952480317E-3</v>
      </c>
      <c r="O15" s="6">
        <v>109.699997</v>
      </c>
      <c r="P15" s="26">
        <v>-2.9352753765344186E-2</v>
      </c>
      <c r="Q15" s="6">
        <v>105.08000200000001</v>
      </c>
      <c r="R15" s="26">
        <v>1.332316305056791E-2</v>
      </c>
      <c r="S15" s="18">
        <v>1.1999999999999999E-3</v>
      </c>
      <c r="T15" s="6" t="s">
        <v>177</v>
      </c>
    </row>
    <row r="16" spans="1:25">
      <c r="A16" s="1" t="s">
        <v>138</v>
      </c>
      <c r="B16" s="1" t="s">
        <v>159</v>
      </c>
      <c r="C16" s="5">
        <v>120.43</v>
      </c>
      <c r="D16" s="5">
        <v>-2.7496999999996774E-2</v>
      </c>
      <c r="E16" s="14">
        <v>-3.7000000000000002E-3</v>
      </c>
      <c r="F16" s="5">
        <v>120.457497</v>
      </c>
      <c r="G16" s="5"/>
      <c r="H16" s="10" t="s">
        <v>21</v>
      </c>
      <c r="I16" s="5">
        <v>121.120003</v>
      </c>
      <c r="J16" s="10">
        <v>-5.6968542182086468E-3</v>
      </c>
      <c r="K16" s="5">
        <v>121.114437525</v>
      </c>
      <c r="L16" s="10">
        <v>-5.651163800011183E-3</v>
      </c>
      <c r="M16" s="5">
        <v>120.64139591666665</v>
      </c>
      <c r="N16" s="10">
        <v>-1.7522668322957902E-3</v>
      </c>
      <c r="O16" s="5">
        <v>121.610001</v>
      </c>
      <c r="P16" s="25">
        <v>-9.7031575552737337E-3</v>
      </c>
      <c r="Q16" s="5">
        <v>115.599998</v>
      </c>
      <c r="R16" s="25">
        <v>4.1782024944325702E-2</v>
      </c>
      <c r="S16" s="17">
        <v>1.5E-3</v>
      </c>
      <c r="T16" s="5" t="s">
        <v>182</v>
      </c>
    </row>
    <row r="17" spans="1:20">
      <c r="A17" s="2" t="s">
        <v>426</v>
      </c>
      <c r="B17" s="2" t="s">
        <v>160</v>
      </c>
      <c r="C17" s="6">
        <v>122.783</v>
      </c>
      <c r="D17" s="6">
        <v>-1.7003000000002544E-2</v>
      </c>
      <c r="E17" s="15">
        <v>-1.4400000000000001E-3</v>
      </c>
      <c r="F17" s="6">
        <v>122.800003</v>
      </c>
      <c r="G17" s="6"/>
      <c r="H17" s="11" t="s">
        <v>21</v>
      </c>
      <c r="I17" s="6">
        <v>123.69000200000001</v>
      </c>
      <c r="J17" s="11">
        <v>-7.3328643005439176E-3</v>
      </c>
      <c r="K17" s="6">
        <v>123.75650047500002</v>
      </c>
      <c r="L17" s="11">
        <v>-7.8662572977059586E-3</v>
      </c>
      <c r="M17" s="6">
        <v>123.84349995000001</v>
      </c>
      <c r="N17" s="11">
        <v>-8.5632265757037418E-3</v>
      </c>
      <c r="O17" s="6">
        <v>126.019997</v>
      </c>
      <c r="P17" s="26">
        <v>-2.5686375790026417E-2</v>
      </c>
      <c r="Q17" s="6">
        <v>121.519997</v>
      </c>
      <c r="R17" s="26">
        <v>1.0393375832621121E-2</v>
      </c>
      <c r="S17" s="18">
        <v>1.5E-3</v>
      </c>
      <c r="T17" s="6" t="s">
        <v>178</v>
      </c>
    </row>
    <row r="18" spans="1:20">
      <c r="A18" s="1" t="s">
        <v>40</v>
      </c>
      <c r="B18" s="1" t="s">
        <v>161</v>
      </c>
      <c r="C18" s="5">
        <v>122.5</v>
      </c>
      <c r="D18" s="5">
        <v>-8.9995999999999299E-2</v>
      </c>
      <c r="E18" s="14">
        <v>-7.4999999999999997E-3</v>
      </c>
      <c r="F18" s="5">
        <v>122.589996</v>
      </c>
      <c r="G18" s="5"/>
      <c r="H18" s="10" t="s">
        <v>21</v>
      </c>
      <c r="I18" s="5">
        <v>124.480003</v>
      </c>
      <c r="J18" s="10">
        <v>-1.5906193382723477E-2</v>
      </c>
      <c r="K18" s="5">
        <v>125.73974949999999</v>
      </c>
      <c r="L18" s="10">
        <v>-2.5765515780671988E-2</v>
      </c>
      <c r="M18" s="5">
        <v>125.06649996666668</v>
      </c>
      <c r="N18" s="10">
        <v>-2.0521082522903522E-2</v>
      </c>
      <c r="O18" s="5">
        <v>132.179993</v>
      </c>
      <c r="P18" s="25">
        <v>-7.3233420431486951E-2</v>
      </c>
      <c r="Q18" s="5">
        <v>116.510002</v>
      </c>
      <c r="R18" s="25">
        <v>5.1411877926154315E-2</v>
      </c>
      <c r="S18" s="17">
        <v>1.5E-3</v>
      </c>
      <c r="T18" s="5" t="s">
        <v>180</v>
      </c>
    </row>
    <row r="19" spans="1:20">
      <c r="A19" s="2" t="s">
        <v>27</v>
      </c>
      <c r="B19" s="2" t="s">
        <v>162</v>
      </c>
      <c r="C19" s="6">
        <v>84.275000000000006</v>
      </c>
      <c r="D19" s="6">
        <v>-1.9999999949504854E-6</v>
      </c>
      <c r="E19" s="15">
        <v>6.0000000000000002E-5</v>
      </c>
      <c r="F19" s="6">
        <v>84.275002000000001</v>
      </c>
      <c r="G19" s="6"/>
      <c r="H19" s="11" t="s">
        <v>21</v>
      </c>
      <c r="I19" s="6">
        <v>84.470000999999996</v>
      </c>
      <c r="J19" s="11">
        <v>-2.3085237089081057E-3</v>
      </c>
      <c r="K19" s="6">
        <v>84.460624825000011</v>
      </c>
      <c r="L19" s="11">
        <v>-2.1977676033608784E-3</v>
      </c>
      <c r="M19" s="6">
        <v>84.51037528333336</v>
      </c>
      <c r="N19" s="11">
        <v>-2.7851643368548284E-3</v>
      </c>
      <c r="O19" s="6">
        <v>84.989998</v>
      </c>
      <c r="P19" s="26">
        <v>-8.4127311074886357E-3</v>
      </c>
      <c r="Q19" s="6">
        <v>84.239998</v>
      </c>
      <c r="R19" s="26">
        <v>4.155033337014391E-4</v>
      </c>
      <c r="S19" s="18">
        <v>1.5E-3</v>
      </c>
      <c r="T19" s="6" t="s">
        <v>179</v>
      </c>
    </row>
    <row r="20" spans="1:20">
      <c r="A20" s="1" t="s">
        <v>139</v>
      </c>
      <c r="B20" s="1" t="s">
        <v>163</v>
      </c>
      <c r="C20" s="5">
        <v>109.69</v>
      </c>
      <c r="D20" s="5">
        <v>1.8902999999994563E-2</v>
      </c>
      <c r="E20" s="14">
        <v>-1.5E-3</v>
      </c>
      <c r="F20" s="5">
        <v>109.671097</v>
      </c>
      <c r="G20" s="5"/>
      <c r="H20" s="10" t="s">
        <v>21</v>
      </c>
      <c r="I20" s="5">
        <v>110.18</v>
      </c>
      <c r="J20" s="10">
        <v>-4.4472681067345698E-3</v>
      </c>
      <c r="K20" s="5">
        <v>110.15052792499998</v>
      </c>
      <c r="L20" s="10">
        <v>-4.1808962124407767E-3</v>
      </c>
      <c r="M20" s="5">
        <v>109.99825921666665</v>
      </c>
      <c r="N20" s="10">
        <v>-2.8024008639943032E-3</v>
      </c>
      <c r="O20" s="5">
        <v>110.790001</v>
      </c>
      <c r="P20" s="25">
        <v>-9.9287028619126083E-3</v>
      </c>
      <c r="Q20" s="5">
        <v>107.470001</v>
      </c>
      <c r="R20" s="25">
        <v>2.0656918017522008E-2</v>
      </c>
      <c r="S20" s="17">
        <v>2E-3</v>
      </c>
      <c r="T20" s="5" t="s">
        <v>182</v>
      </c>
    </row>
    <row r="21" spans="1:20">
      <c r="A21" s="2" t="s">
        <v>473</v>
      </c>
      <c r="B21" s="2" t="s">
        <v>164</v>
      </c>
      <c r="C21" s="6">
        <v>52.12</v>
      </c>
      <c r="D21" s="6">
        <v>-1.8000000000000682E-2</v>
      </c>
      <c r="E21" s="15">
        <v>-5.9999999999999995E-4</v>
      </c>
      <c r="F21" s="6">
        <v>52.137999999999998</v>
      </c>
      <c r="G21" s="6"/>
      <c r="H21" s="11" t="s">
        <v>21</v>
      </c>
      <c r="I21" s="6">
        <v>52.32</v>
      </c>
      <c r="J21" s="11">
        <v>-3.8226299694190669E-3</v>
      </c>
      <c r="K21" s="6">
        <v>52.289700100000005</v>
      </c>
      <c r="L21" s="11">
        <v>-3.2453829277174773E-3</v>
      </c>
      <c r="M21" s="6">
        <v>52.258233300000015</v>
      </c>
      <c r="N21" s="11">
        <v>-2.6451965799619837E-3</v>
      </c>
      <c r="O21" s="6">
        <v>52.869999</v>
      </c>
      <c r="P21" s="26">
        <v>-1.4185719958118459E-2</v>
      </c>
      <c r="Q21" s="6">
        <v>51.950001</v>
      </c>
      <c r="R21" s="26">
        <v>3.27235797358294E-3</v>
      </c>
      <c r="S21" s="18">
        <v>2E-3</v>
      </c>
      <c r="T21" s="6" t="s">
        <v>184</v>
      </c>
    </row>
    <row r="22" spans="1:20">
      <c r="A22" s="1" t="s">
        <v>430</v>
      </c>
      <c r="B22" s="1" t="s">
        <v>165</v>
      </c>
      <c r="C22" s="5">
        <v>112.965</v>
      </c>
      <c r="D22" s="5">
        <v>-5.0899999999998613E-2</v>
      </c>
      <c r="E22" s="14">
        <v>-2.5999999999999999E-3</v>
      </c>
      <c r="F22" s="5">
        <v>113.0159</v>
      </c>
      <c r="G22" s="5"/>
      <c r="H22" s="10" t="s">
        <v>21</v>
      </c>
      <c r="I22" s="5">
        <v>113.83000200000001</v>
      </c>
      <c r="J22" s="10">
        <v>-7.5990686532712015E-3</v>
      </c>
      <c r="K22" s="5">
        <v>114.00964740000002</v>
      </c>
      <c r="L22" s="10">
        <v>-9.1627982703507138E-3</v>
      </c>
      <c r="M22" s="5">
        <v>113.87254904999999</v>
      </c>
      <c r="N22" s="10">
        <v>-7.9698668166415798E-3</v>
      </c>
      <c r="O22" s="5">
        <v>116.010002</v>
      </c>
      <c r="P22" s="25">
        <v>-2.6247754051413552E-2</v>
      </c>
      <c r="Q22" s="5">
        <v>111.089996</v>
      </c>
      <c r="R22" s="25">
        <v>1.6878243473876786E-2</v>
      </c>
      <c r="S22" s="17">
        <v>2E-3</v>
      </c>
      <c r="T22" s="5" t="s">
        <v>184</v>
      </c>
    </row>
    <row r="23" spans="1:20">
      <c r="A23" s="2" t="s">
        <v>432</v>
      </c>
      <c r="B23" s="2" t="s">
        <v>166</v>
      </c>
      <c r="C23" s="6">
        <v>110.46</v>
      </c>
      <c r="D23" s="6">
        <v>0.13990099999999472</v>
      </c>
      <c r="E23" s="15">
        <v>-8.0000000000000004E-4</v>
      </c>
      <c r="F23" s="6">
        <v>110.320099</v>
      </c>
      <c r="G23" s="6"/>
      <c r="H23" s="11" t="s">
        <v>21</v>
      </c>
      <c r="I23" s="6">
        <v>110.970001</v>
      </c>
      <c r="J23" s="11">
        <v>-4.5958456826543648E-3</v>
      </c>
      <c r="K23" s="6">
        <v>110.97050249999999</v>
      </c>
      <c r="L23" s="11">
        <v>-4.6003441319912852E-3</v>
      </c>
      <c r="M23" s="6">
        <v>110.96891741666666</v>
      </c>
      <c r="N23" s="11">
        <v>-4.5861258135535543E-3</v>
      </c>
      <c r="O23" s="6">
        <v>112.279999</v>
      </c>
      <c r="P23" s="26">
        <v>-1.6209467547287804E-2</v>
      </c>
      <c r="Q23" s="6">
        <v>109.05999799999999</v>
      </c>
      <c r="R23" s="26">
        <v>1.283698904890862E-2</v>
      </c>
      <c r="S23" s="18">
        <v>2E-3</v>
      </c>
      <c r="T23" s="6" t="s">
        <v>177</v>
      </c>
    </row>
    <row r="24" spans="1:20">
      <c r="A24" s="1" t="s">
        <v>474</v>
      </c>
      <c r="B24" s="1" t="s">
        <v>167</v>
      </c>
      <c r="C24" s="5">
        <v>105.155</v>
      </c>
      <c r="D24" s="5">
        <v>-3.5002000000005751E-2</v>
      </c>
      <c r="E24" s="14">
        <v>-7.1000000000000002E-4</v>
      </c>
      <c r="F24" s="5">
        <v>105.19000200000001</v>
      </c>
      <c r="G24" s="5"/>
      <c r="H24" s="10" t="s">
        <v>21</v>
      </c>
      <c r="I24" s="5">
        <v>105.370003</v>
      </c>
      <c r="J24" s="10">
        <v>-2.0404573776086066E-3</v>
      </c>
      <c r="K24" s="5">
        <v>105.31875082499998</v>
      </c>
      <c r="L24" s="10">
        <v>-1.5548116903899567E-3</v>
      </c>
      <c r="M24" s="5">
        <v>105.32375035833329</v>
      </c>
      <c r="N24" s="10">
        <v>-1.6022061288091249E-3</v>
      </c>
      <c r="O24" s="5">
        <v>105.58000200000001</v>
      </c>
      <c r="P24" s="25">
        <v>-4.0254024621064755E-3</v>
      </c>
      <c r="Q24" s="5">
        <v>104.610001</v>
      </c>
      <c r="R24" s="25">
        <v>5.2098173672707748E-3</v>
      </c>
      <c r="S24" s="17">
        <v>2E-3</v>
      </c>
      <c r="T24" s="5" t="s">
        <v>181</v>
      </c>
    </row>
    <row r="25" spans="1:20">
      <c r="A25" s="2" t="s">
        <v>475</v>
      </c>
      <c r="B25" s="2" t="s">
        <v>168</v>
      </c>
      <c r="C25" s="6">
        <v>48.561999999999998</v>
      </c>
      <c r="D25" s="6">
        <v>-1.8002000000002738E-2</v>
      </c>
      <c r="E25" s="15">
        <v>-3.6999999999999999E-4</v>
      </c>
      <c r="F25" s="6">
        <v>48.580002</v>
      </c>
      <c r="G25" s="6"/>
      <c r="H25" s="11" t="s">
        <v>21</v>
      </c>
      <c r="I25" s="6">
        <v>48.610001000000004</v>
      </c>
      <c r="J25" s="11">
        <v>-9.8747169332513707E-4</v>
      </c>
      <c r="K25" s="6">
        <v>48.700750174999996</v>
      </c>
      <c r="L25" s="11">
        <v>-2.8490356822311602E-3</v>
      </c>
      <c r="M25" s="6">
        <v>48.712583299999977</v>
      </c>
      <c r="N25" s="11">
        <v>-3.0912608159703314E-3</v>
      </c>
      <c r="O25" s="6">
        <v>48.919998</v>
      </c>
      <c r="P25" s="26">
        <v>-7.3180297349971779E-3</v>
      </c>
      <c r="Q25" s="6">
        <v>47.759997999999996</v>
      </c>
      <c r="R25" s="26">
        <v>1.6792337386613898E-2</v>
      </c>
      <c r="S25" s="18">
        <v>2E-3</v>
      </c>
      <c r="T25" s="6" t="s">
        <v>185</v>
      </c>
    </row>
    <row r="26" spans="1:20">
      <c r="A26" s="1" t="s">
        <v>140</v>
      </c>
      <c r="B26" s="1" t="s">
        <v>169</v>
      </c>
      <c r="C26" s="5">
        <v>24.11</v>
      </c>
      <c r="D26" s="5">
        <v>-1.0000000010279564E-6</v>
      </c>
      <c r="E26" s="14">
        <v>-2.0999999999999999E-3</v>
      </c>
      <c r="F26" s="5">
        <v>24.110001</v>
      </c>
      <c r="G26" s="5"/>
      <c r="H26" s="10" t="s">
        <v>21</v>
      </c>
      <c r="I26" s="5">
        <v>24.059998999999998</v>
      </c>
      <c r="J26" s="10">
        <v>2.078179637497124E-3</v>
      </c>
      <c r="K26" s="5">
        <v>24.174250199999996</v>
      </c>
      <c r="L26" s="10">
        <v>-2.6577949457972094E-3</v>
      </c>
      <c r="M26" s="5">
        <v>24.071083466666668</v>
      </c>
      <c r="N26" s="10">
        <v>1.6167337622015054E-3</v>
      </c>
      <c r="O26" s="5">
        <v>24.34</v>
      </c>
      <c r="P26" s="25">
        <v>-9.4494658997534842E-3</v>
      </c>
      <c r="Q26" s="5">
        <v>22.790001</v>
      </c>
      <c r="R26" s="25">
        <v>5.7920093992097632E-2</v>
      </c>
      <c r="S26" s="17">
        <v>2.3999999999999998E-3</v>
      </c>
      <c r="T26" s="5" t="s">
        <v>186</v>
      </c>
    </row>
    <row r="27" spans="1:20">
      <c r="A27" s="2" t="s">
        <v>434</v>
      </c>
      <c r="B27" s="2" t="s">
        <v>170</v>
      </c>
      <c r="C27" s="6">
        <v>110.83</v>
      </c>
      <c r="D27" s="6">
        <v>1.0000000000005116E-2</v>
      </c>
      <c r="E27" s="15">
        <v>-1.6999999999999999E-3</v>
      </c>
      <c r="F27" s="6">
        <v>110.82</v>
      </c>
      <c r="G27" s="6"/>
      <c r="H27" s="11" t="s">
        <v>21</v>
      </c>
      <c r="I27" s="6">
        <v>110.879997</v>
      </c>
      <c r="J27" s="11">
        <v>-4.5091090686089075E-4</v>
      </c>
      <c r="K27" s="6">
        <v>111.11949992499997</v>
      </c>
      <c r="L27" s="11">
        <v>-2.605302626410011E-3</v>
      </c>
      <c r="M27" s="6">
        <v>110.74999971666668</v>
      </c>
      <c r="N27" s="11">
        <v>7.2235018995914224E-4</v>
      </c>
      <c r="O27" s="6">
        <v>111.660004</v>
      </c>
      <c r="P27" s="26">
        <v>-7.4333151555323607E-3</v>
      </c>
      <c r="Q27" s="6">
        <v>106.510002</v>
      </c>
      <c r="R27" s="26">
        <v>4.0559552331995929E-2</v>
      </c>
      <c r="S27" s="18">
        <v>2.5000000000000001E-3</v>
      </c>
      <c r="T27" s="6" t="s">
        <v>186</v>
      </c>
    </row>
    <row r="28" spans="1:20">
      <c r="A28" s="1" t="s">
        <v>476</v>
      </c>
      <c r="B28" s="1" t="s">
        <v>171</v>
      </c>
      <c r="C28" s="5">
        <v>49.01</v>
      </c>
      <c r="D28" s="5">
        <v>9.9999999999980105E-3</v>
      </c>
      <c r="E28" s="14">
        <v>-1.1999999999999999E-3</v>
      </c>
      <c r="F28" s="5">
        <v>49</v>
      </c>
      <c r="G28" s="5"/>
      <c r="H28" s="10" t="s">
        <v>21</v>
      </c>
      <c r="I28" s="5">
        <v>48.900002000000001</v>
      </c>
      <c r="J28" s="10">
        <v>2.2494477607586383E-3</v>
      </c>
      <c r="K28" s="5">
        <v>49.113000099999994</v>
      </c>
      <c r="L28" s="10">
        <v>-2.0972064380159194E-3</v>
      </c>
      <c r="M28" s="5">
        <v>48.969916808333359</v>
      </c>
      <c r="N28" s="10">
        <v>8.1852684830008293E-4</v>
      </c>
      <c r="O28" s="5">
        <v>49.509997999999996</v>
      </c>
      <c r="P28" s="25">
        <v>-1.0098929917145227E-2</v>
      </c>
      <c r="Q28" s="5">
        <v>46.91</v>
      </c>
      <c r="R28" s="25">
        <v>4.4766574291196015E-2</v>
      </c>
      <c r="S28" s="17">
        <v>3.0000000000000001E-3</v>
      </c>
      <c r="T28" s="5" t="s">
        <v>187</v>
      </c>
    </row>
    <row r="29" spans="1:20">
      <c r="A29" s="2" t="s">
        <v>141</v>
      </c>
      <c r="B29" s="2" t="s">
        <v>172</v>
      </c>
      <c r="C29" s="6">
        <v>37.195</v>
      </c>
      <c r="D29" s="6">
        <v>2.5002000000000635E-2</v>
      </c>
      <c r="E29" s="15">
        <v>-3.0799999999999998E-3</v>
      </c>
      <c r="F29" s="6">
        <v>37.169998</v>
      </c>
      <c r="G29" s="6"/>
      <c r="H29" s="11" t="s">
        <v>21</v>
      </c>
      <c r="I29" s="6">
        <v>37.290001000000004</v>
      </c>
      <c r="J29" s="11">
        <v>-2.547626641254408E-3</v>
      </c>
      <c r="K29" s="6">
        <v>37.188999950000003</v>
      </c>
      <c r="L29" s="11">
        <v>1.613393747630365E-4</v>
      </c>
      <c r="M29" s="6">
        <v>37.152666549999999</v>
      </c>
      <c r="N29" s="11">
        <v>1.1394458037898847E-3</v>
      </c>
      <c r="O29" s="6">
        <v>37.419998</v>
      </c>
      <c r="P29" s="26">
        <v>-6.0127742390578831E-3</v>
      </c>
      <c r="Q29" s="6">
        <v>35.130001</v>
      </c>
      <c r="R29" s="26">
        <v>5.8781637950992449E-2</v>
      </c>
      <c r="S29" s="18">
        <v>4.0000000000000001E-3</v>
      </c>
      <c r="T29" s="6" t="s">
        <v>188</v>
      </c>
    </row>
    <row r="30" spans="1:20">
      <c r="A30" s="1" t="s">
        <v>142</v>
      </c>
      <c r="B30" s="1" t="s">
        <v>173</v>
      </c>
      <c r="C30" s="5">
        <v>56.45</v>
      </c>
      <c r="D30" s="5">
        <v>-9.9989999999934298E-3</v>
      </c>
      <c r="E30" s="14">
        <v>-1.1000000000000001E-3</v>
      </c>
      <c r="F30" s="5">
        <v>56.459998999999996</v>
      </c>
      <c r="G30" s="5"/>
      <c r="H30" s="10" t="s">
        <v>21</v>
      </c>
      <c r="I30" s="5">
        <v>57.310001</v>
      </c>
      <c r="J30" s="10">
        <v>-1.5006124323745818E-2</v>
      </c>
      <c r="K30" s="5">
        <v>57.571000025000011</v>
      </c>
      <c r="L30" s="10">
        <v>-1.9471609395584899E-2</v>
      </c>
      <c r="M30" s="5">
        <v>56.620666691666678</v>
      </c>
      <c r="N30" s="10">
        <v>-3.0142119766278785E-3</v>
      </c>
      <c r="O30" s="5">
        <v>59.110001000000004</v>
      </c>
      <c r="P30" s="25">
        <v>-4.5000862036865819E-2</v>
      </c>
      <c r="Q30" s="5">
        <v>51.610001000000004</v>
      </c>
      <c r="R30" s="25">
        <v>9.3780253947292058E-2</v>
      </c>
      <c r="S30" s="17">
        <v>5.0000000000000001E-3</v>
      </c>
      <c r="T30" s="5" t="s">
        <v>189</v>
      </c>
    </row>
    <row r="31" spans="1:20">
      <c r="A31" s="2" t="s">
        <v>143</v>
      </c>
      <c r="B31" s="2" t="s">
        <v>174</v>
      </c>
      <c r="C31" s="6">
        <v>27.9</v>
      </c>
      <c r="D31" s="6">
        <v>9.9999999999766942E-5</v>
      </c>
      <c r="E31" s="15">
        <v>-6.9999999999999999E-4</v>
      </c>
      <c r="F31" s="6">
        <v>28.41</v>
      </c>
      <c r="G31" s="6"/>
      <c r="H31" s="11" t="s">
        <v>21</v>
      </c>
      <c r="I31" s="6">
        <v>28.719998999999998</v>
      </c>
      <c r="J31" s="11">
        <v>-1.0790355528912055E-2</v>
      </c>
      <c r="K31" s="6">
        <v>28.520500049999999</v>
      </c>
      <c r="L31" s="11">
        <v>-3.8709016253730688E-3</v>
      </c>
      <c r="M31" s="6">
        <v>27.757500024999995</v>
      </c>
      <c r="N31" s="11">
        <v>2.3510761935052971E-2</v>
      </c>
      <c r="O31" s="6">
        <v>29.01</v>
      </c>
      <c r="P31" s="26">
        <v>-2.0679076180627476E-2</v>
      </c>
      <c r="Q31" s="6">
        <v>25.59</v>
      </c>
      <c r="R31" s="26">
        <v>0.11020320437670961</v>
      </c>
      <c r="S31" s="18">
        <v>5.0000000000000001E-3</v>
      </c>
      <c r="T31" s="6" t="s">
        <v>189</v>
      </c>
    </row>
    <row r="32" spans="1:20">
      <c r="A32" s="1" t="s">
        <v>477</v>
      </c>
      <c r="B32" s="1" t="s">
        <v>175</v>
      </c>
      <c r="C32" s="5">
        <v>29.48</v>
      </c>
      <c r="D32" s="5">
        <v>1.0001000000002591E-2</v>
      </c>
      <c r="E32" s="14">
        <v>-3.3999999999999998E-3</v>
      </c>
      <c r="F32" s="5">
        <v>29.469998999999998</v>
      </c>
      <c r="G32" s="5"/>
      <c r="H32" s="10" t="s">
        <v>21</v>
      </c>
      <c r="I32" s="5">
        <v>29.67</v>
      </c>
      <c r="J32" s="10">
        <v>-6.4037748567576935E-3</v>
      </c>
      <c r="K32" s="5">
        <v>29.834000024999987</v>
      </c>
      <c r="L32" s="10">
        <v>-1.1865657461397894E-2</v>
      </c>
      <c r="M32" s="5">
        <v>29.596416616666669</v>
      </c>
      <c r="N32" s="10">
        <v>-3.9334699931582451E-3</v>
      </c>
      <c r="O32" s="5">
        <v>30.129998999999998</v>
      </c>
      <c r="P32" s="25">
        <v>-2.1573150400701846E-2</v>
      </c>
      <c r="Q32" s="5">
        <v>27.76</v>
      </c>
      <c r="R32" s="25">
        <v>6.1959654178674217E-2</v>
      </c>
      <c r="S32" s="17">
        <v>5.0000000000000001E-3</v>
      </c>
      <c r="T32" s="5" t="s">
        <v>190</v>
      </c>
    </row>
    <row r="33" spans="1:20">
      <c r="A33" s="2" t="s">
        <v>144</v>
      </c>
      <c r="B33" s="2" t="s">
        <v>176</v>
      </c>
      <c r="C33" s="6">
        <v>23.62</v>
      </c>
      <c r="D33" s="6">
        <v>-1.0000000010279564E-6</v>
      </c>
      <c r="E33" s="15">
        <v>-5.4999999999999997E-3</v>
      </c>
      <c r="F33" s="6">
        <v>23.620001000000002</v>
      </c>
      <c r="G33" s="6"/>
      <c r="H33" s="11" t="s">
        <v>21</v>
      </c>
      <c r="I33" s="6">
        <v>23.940001000000002</v>
      </c>
      <c r="J33" s="11">
        <v>-1.3366791421604463E-2</v>
      </c>
      <c r="K33" s="6">
        <v>23.884750175000001</v>
      </c>
      <c r="L33" s="11">
        <v>-1.1084485835531677E-2</v>
      </c>
      <c r="M33" s="6">
        <v>24.213250108333348</v>
      </c>
      <c r="N33" s="11">
        <v>-2.450105234444222E-2</v>
      </c>
      <c r="O33" s="6">
        <v>25.959999</v>
      </c>
      <c r="P33" s="26">
        <v>-9.013863983584891E-2</v>
      </c>
      <c r="Q33" s="6">
        <v>23.610001</v>
      </c>
      <c r="R33" s="26">
        <v>4.2350697062665255E-4</v>
      </c>
      <c r="S33" s="18">
        <v>7.4999999999999997E-3</v>
      </c>
      <c r="T33" s="6" t="s">
        <v>191</v>
      </c>
    </row>
    <row r="34" spans="1:20">
      <c r="A34" s="1" t="s">
        <v>103</v>
      </c>
      <c r="B34" s="1" t="s">
        <v>114</v>
      </c>
      <c r="C34" s="5">
        <v>18.760000000000002</v>
      </c>
      <c r="D34" s="5">
        <v>0</v>
      </c>
      <c r="E34" s="14">
        <v>-5.0000000000000001E-4</v>
      </c>
      <c r="F34" s="5">
        <v>18.760000000000002</v>
      </c>
      <c r="G34" s="5"/>
      <c r="H34" s="10" t="s">
        <v>21</v>
      </c>
      <c r="I34" s="5">
        <v>19.110001</v>
      </c>
      <c r="J34" s="10">
        <v>-1.831506968523966E-2</v>
      </c>
      <c r="K34" s="5">
        <v>19.225250025000001</v>
      </c>
      <c r="L34" s="10">
        <v>-2.4199946653229554E-2</v>
      </c>
      <c r="M34" s="5">
        <v>19.040916666666664</v>
      </c>
      <c r="N34" s="10">
        <v>-1.4753316323180998E-2</v>
      </c>
      <c r="O34" s="5">
        <v>19.620001000000002</v>
      </c>
      <c r="P34" s="25">
        <v>-4.3832872383645638E-2</v>
      </c>
      <c r="Q34" s="5">
        <v>17.200001</v>
      </c>
      <c r="R34" s="25">
        <v>9.0697611005952972E-2</v>
      </c>
      <c r="S34" s="17">
        <v>5.1000000000000004E-3</v>
      </c>
      <c r="T34" s="5" t="s">
        <v>132</v>
      </c>
    </row>
    <row r="35" spans="1:20">
      <c r="A35" s="2"/>
      <c r="B35" s="2"/>
      <c r="C35" s="6"/>
      <c r="D35" s="6"/>
      <c r="E35" s="15"/>
      <c r="F35" s="6"/>
      <c r="G35" s="6"/>
      <c r="H35" s="11"/>
      <c r="I35" s="6"/>
      <c r="J35" s="11"/>
      <c r="K35" s="6"/>
      <c r="L35" s="11"/>
      <c r="M35" s="6"/>
      <c r="N35" s="11"/>
      <c r="O35" s="6"/>
      <c r="P35" s="11"/>
      <c r="Q35" s="6"/>
      <c r="R35" s="11"/>
      <c r="S35" s="18"/>
      <c r="T35" s="6"/>
    </row>
    <row r="36" spans="1:20">
      <c r="A36" s="1"/>
      <c r="B36" s="1"/>
      <c r="C36" s="5"/>
      <c r="D36" s="5"/>
      <c r="E36" s="14"/>
      <c r="F36" s="5"/>
      <c r="G36" s="5"/>
      <c r="H36" s="10"/>
      <c r="I36" s="5"/>
      <c r="J36" s="10"/>
      <c r="K36" s="5"/>
      <c r="L36" s="10"/>
      <c r="M36" s="5"/>
      <c r="N36" s="10"/>
      <c r="O36" s="5"/>
      <c r="P36" s="10"/>
      <c r="Q36" s="5"/>
      <c r="R36" s="10"/>
      <c r="S36" s="17"/>
      <c r="T36" s="5"/>
    </row>
    <row r="37" spans="1:20">
      <c r="A37" s="2"/>
      <c r="B37" s="2"/>
      <c r="C37" s="6"/>
      <c r="D37" s="6"/>
      <c r="E37" s="15"/>
      <c r="F37" s="6"/>
      <c r="G37" s="6"/>
      <c r="H37" s="11"/>
      <c r="I37" s="6"/>
      <c r="J37" s="11"/>
      <c r="K37" s="6"/>
      <c r="L37" s="11"/>
      <c r="M37" s="6"/>
      <c r="N37" s="11"/>
      <c r="O37" s="6"/>
      <c r="P37" s="11"/>
      <c r="Q37" s="6"/>
      <c r="R37" s="11"/>
      <c r="S37" s="18"/>
      <c r="T37" s="6"/>
    </row>
    <row r="38" spans="1:20">
      <c r="A38" s="1"/>
      <c r="B38" s="1"/>
      <c r="C38" s="5"/>
      <c r="D38" s="5"/>
      <c r="E38" s="14"/>
      <c r="F38" s="5"/>
      <c r="G38" s="5"/>
      <c r="H38" s="10"/>
      <c r="I38" s="5"/>
      <c r="J38" s="10"/>
      <c r="K38" s="5"/>
      <c r="L38" s="10"/>
      <c r="M38" s="5"/>
      <c r="N38" s="10"/>
      <c r="O38" s="5"/>
      <c r="P38" s="10"/>
      <c r="Q38" s="5"/>
      <c r="R38" s="10"/>
      <c r="S38" s="5"/>
      <c r="T38" s="5"/>
    </row>
    <row r="39" spans="1:20">
      <c r="A39" s="2"/>
      <c r="B39" s="2"/>
      <c r="C39" s="6"/>
      <c r="D39" s="6"/>
      <c r="E39" s="15"/>
      <c r="F39" s="6"/>
      <c r="G39" s="6"/>
      <c r="H39" s="11"/>
      <c r="I39" s="6"/>
      <c r="J39" s="11"/>
      <c r="K39" s="6"/>
      <c r="L39" s="11"/>
      <c r="M39" s="6"/>
      <c r="N39" s="11"/>
      <c r="O39" s="6"/>
      <c r="P39" s="11"/>
      <c r="Q39" s="6"/>
      <c r="R39" s="11"/>
      <c r="S39" s="6"/>
      <c r="T39" s="6"/>
    </row>
    <row r="40" spans="1:20">
      <c r="A40" s="1"/>
      <c r="B40" s="1"/>
      <c r="C40" s="5"/>
      <c r="D40" s="5"/>
      <c r="E40" s="14"/>
      <c r="F40" s="5"/>
      <c r="G40" s="5"/>
      <c r="H40" s="10"/>
      <c r="I40" s="5"/>
      <c r="J40" s="10"/>
      <c r="K40" s="5"/>
      <c r="L40" s="10"/>
      <c r="M40" s="5"/>
      <c r="N40" s="10"/>
      <c r="O40" s="5"/>
      <c r="P40" s="10"/>
      <c r="Q40" s="5"/>
      <c r="R40" s="10"/>
      <c r="S40" s="5"/>
      <c r="T40" s="5"/>
    </row>
    <row r="41" spans="1:20">
      <c r="A41" s="2"/>
      <c r="B41" s="2"/>
      <c r="C41" s="6"/>
      <c r="D41" s="6"/>
      <c r="E41" s="15"/>
      <c r="F41" s="6"/>
      <c r="G41" s="6"/>
      <c r="H41" s="11"/>
      <c r="I41" s="6"/>
      <c r="J41" s="11"/>
      <c r="K41" s="6"/>
      <c r="L41" s="11"/>
      <c r="M41" s="6"/>
      <c r="N41" s="11"/>
      <c r="O41" s="6"/>
      <c r="P41" s="11"/>
      <c r="Q41" s="6"/>
      <c r="R41" s="11"/>
      <c r="S41" s="6"/>
      <c r="T41" s="6"/>
    </row>
    <row r="42" spans="1:20">
      <c r="A42" s="1"/>
      <c r="B42" s="1"/>
      <c r="C42" s="5"/>
      <c r="D42" s="5"/>
      <c r="E42" s="14"/>
      <c r="F42" s="5"/>
      <c r="G42" s="5"/>
      <c r="H42" s="10"/>
      <c r="I42" s="5"/>
      <c r="J42" s="10"/>
      <c r="K42" s="5"/>
      <c r="L42" s="10"/>
      <c r="M42" s="5"/>
      <c r="N42" s="10"/>
      <c r="O42" s="5"/>
      <c r="P42" s="10"/>
      <c r="Q42" s="5"/>
      <c r="R42" s="10"/>
      <c r="S42" s="5"/>
      <c r="T42" s="5"/>
    </row>
    <row r="43" spans="1:20">
      <c r="A43" s="2"/>
      <c r="B43" s="2"/>
      <c r="C43" s="6"/>
      <c r="D43" s="6"/>
      <c r="E43" s="15"/>
      <c r="F43" s="6"/>
      <c r="G43" s="6"/>
      <c r="H43" s="11"/>
      <c r="I43" s="6"/>
      <c r="J43" s="11"/>
      <c r="K43" s="6"/>
      <c r="L43" s="11"/>
      <c r="M43" s="6"/>
      <c r="N43" s="11"/>
      <c r="O43" s="6"/>
      <c r="P43" s="11"/>
      <c r="Q43" s="6"/>
      <c r="R43" s="11"/>
      <c r="S43" s="6"/>
      <c r="T43" s="6"/>
    </row>
    <row r="44" spans="1:20">
      <c r="A44" s="1"/>
      <c r="B44" s="1"/>
      <c r="C44" s="5"/>
      <c r="D44" s="5"/>
      <c r="E44" s="14"/>
      <c r="F44" s="5"/>
      <c r="G44" s="5"/>
      <c r="H44" s="10"/>
      <c r="I44" s="5"/>
      <c r="J44" s="10"/>
      <c r="K44" s="5"/>
      <c r="L44" s="10"/>
      <c r="M44" s="5"/>
      <c r="N44" s="10"/>
      <c r="O44" s="5"/>
      <c r="P44" s="10"/>
      <c r="Q44" s="5"/>
      <c r="R44" s="10"/>
      <c r="S44" s="5"/>
      <c r="T44" s="5"/>
    </row>
    <row r="45" spans="1:20">
      <c r="A45" s="2"/>
      <c r="B45" s="2"/>
      <c r="C45" s="6"/>
      <c r="D45" s="6"/>
      <c r="E45" s="15"/>
      <c r="F45" s="6"/>
      <c r="G45" s="6"/>
      <c r="H45" s="11"/>
      <c r="I45" s="6"/>
      <c r="J45" s="11"/>
      <c r="K45" s="6"/>
      <c r="L45" s="11"/>
      <c r="M45" s="6"/>
      <c r="N45" s="11"/>
      <c r="O45" s="6"/>
      <c r="P45" s="11"/>
      <c r="Q45" s="6"/>
      <c r="R45" s="11"/>
      <c r="S45" s="6"/>
      <c r="T45" s="6"/>
    </row>
    <row r="46" spans="1:20">
      <c r="A46" s="1"/>
      <c r="B46" s="1"/>
      <c r="C46" s="5"/>
      <c r="D46" s="5"/>
      <c r="E46" s="14"/>
      <c r="F46" s="5"/>
      <c r="G46" s="5"/>
      <c r="H46" s="10"/>
      <c r="I46" s="5"/>
      <c r="J46" s="10"/>
      <c r="K46" s="5"/>
      <c r="L46" s="10"/>
      <c r="M46" s="5"/>
      <c r="N46" s="10"/>
      <c r="O46" s="5"/>
      <c r="P46" s="10"/>
      <c r="Q46" s="5"/>
      <c r="R46" s="10"/>
      <c r="S46" s="5"/>
      <c r="T46" s="5"/>
    </row>
    <row r="47" spans="1:20">
      <c r="A47" s="2"/>
      <c r="B47" s="2"/>
      <c r="C47" s="6"/>
      <c r="D47" s="6"/>
      <c r="E47" s="15"/>
      <c r="F47" s="6"/>
      <c r="G47" s="6"/>
      <c r="H47" s="11"/>
      <c r="I47" s="6"/>
      <c r="J47" s="11"/>
      <c r="K47" s="6"/>
      <c r="L47" s="11"/>
      <c r="M47" s="6"/>
      <c r="N47" s="11"/>
      <c r="O47" s="6"/>
      <c r="P47" s="11"/>
      <c r="Q47" s="6"/>
      <c r="R47" s="11"/>
      <c r="S47" s="6"/>
      <c r="T47" s="6"/>
    </row>
    <row r="48" spans="1:20">
      <c r="A48" s="1"/>
      <c r="B48" s="1"/>
      <c r="C48" s="5"/>
      <c r="D48" s="5"/>
      <c r="E48" s="14"/>
      <c r="F48" s="5"/>
      <c r="G48" s="5"/>
      <c r="H48" s="10"/>
      <c r="I48" s="5"/>
      <c r="J48" s="10"/>
      <c r="K48" s="5"/>
      <c r="L48" s="10"/>
      <c r="M48" s="5"/>
      <c r="N48" s="10"/>
      <c r="O48" s="5"/>
      <c r="P48" s="10"/>
      <c r="Q48" s="5"/>
      <c r="R48" s="10"/>
      <c r="S48" s="5"/>
      <c r="T48" s="5"/>
    </row>
    <row r="49" spans="1:20">
      <c r="A49" s="2"/>
      <c r="B49" s="2"/>
      <c r="C49" s="6"/>
      <c r="D49" s="6"/>
      <c r="E49" s="15"/>
      <c r="F49" s="6"/>
      <c r="G49" s="6"/>
      <c r="H49" s="11"/>
      <c r="I49" s="6"/>
      <c r="J49" s="11"/>
      <c r="K49" s="6"/>
      <c r="L49" s="11"/>
      <c r="M49" s="6"/>
      <c r="N49" s="11"/>
      <c r="O49" s="6"/>
      <c r="P49" s="11"/>
      <c r="Q49" s="6"/>
      <c r="R49" s="11"/>
      <c r="S49" s="6"/>
      <c r="T49" s="6"/>
    </row>
    <row r="50" spans="1:20">
      <c r="A50" s="1"/>
      <c r="B50" s="1"/>
      <c r="C50" s="5"/>
      <c r="D50" s="5"/>
      <c r="E50" s="14"/>
      <c r="F50" s="5"/>
      <c r="G50" s="5"/>
      <c r="H50" s="10"/>
      <c r="I50" s="5"/>
      <c r="J50" s="10"/>
      <c r="K50" s="5"/>
      <c r="L50" s="10"/>
      <c r="M50" s="5"/>
      <c r="N50" s="10"/>
      <c r="O50" s="5"/>
      <c r="P50" s="10"/>
      <c r="Q50" s="5"/>
      <c r="R50" s="10"/>
      <c r="S50" s="5"/>
      <c r="T50" s="5"/>
    </row>
    <row r="51" spans="1:20">
      <c r="A51" s="2"/>
      <c r="B51" s="2"/>
      <c r="C51" s="6"/>
      <c r="D51" s="6"/>
      <c r="E51" s="15"/>
      <c r="F51" s="6"/>
      <c r="G51" s="6"/>
      <c r="H51" s="11"/>
      <c r="I51" s="6"/>
      <c r="J51" s="11"/>
      <c r="K51" s="6"/>
      <c r="L51" s="11"/>
      <c r="M51" s="6"/>
      <c r="N51" s="11"/>
      <c r="O51" s="6"/>
      <c r="P51" s="11"/>
      <c r="Q51" s="6"/>
      <c r="R51" s="11"/>
      <c r="S51" s="6"/>
      <c r="T51" s="6"/>
    </row>
    <row r="52" spans="1:20">
      <c r="A52" s="1"/>
      <c r="B52" s="1"/>
      <c r="C52" s="5"/>
      <c r="D52" s="5"/>
      <c r="E52" s="14"/>
      <c r="F52" s="5"/>
      <c r="G52" s="5"/>
      <c r="H52" s="10"/>
      <c r="I52" s="5"/>
      <c r="J52" s="10"/>
      <c r="K52" s="5"/>
      <c r="L52" s="10"/>
      <c r="M52" s="5"/>
      <c r="N52" s="10"/>
      <c r="O52" s="5"/>
      <c r="P52" s="10"/>
      <c r="Q52" s="5"/>
      <c r="R52" s="10"/>
      <c r="S52" s="5"/>
      <c r="T52" s="5"/>
    </row>
    <row r="53" spans="1:20">
      <c r="A53" s="2"/>
      <c r="B53" s="2"/>
      <c r="C53" s="6"/>
      <c r="D53" s="6"/>
      <c r="E53" s="15"/>
      <c r="F53" s="6"/>
      <c r="G53" s="6"/>
      <c r="H53" s="11"/>
      <c r="I53" s="6"/>
      <c r="J53" s="11"/>
      <c r="K53" s="6"/>
      <c r="L53" s="11"/>
      <c r="M53" s="6"/>
      <c r="N53" s="11"/>
      <c r="O53" s="6"/>
      <c r="P53" s="11"/>
      <c r="Q53" s="6"/>
      <c r="R53" s="11"/>
      <c r="S53" s="6"/>
      <c r="T53" s="6"/>
    </row>
    <row r="54" spans="1:20">
      <c r="A54" s="1"/>
      <c r="B54" s="1"/>
      <c r="C54" s="5"/>
      <c r="D54" s="5"/>
      <c r="E54" s="14"/>
      <c r="F54" s="5"/>
      <c r="G54" s="5"/>
      <c r="H54" s="10"/>
      <c r="I54" s="5"/>
      <c r="J54" s="10"/>
      <c r="K54" s="5"/>
      <c r="L54" s="10"/>
      <c r="M54" s="5"/>
      <c r="N54" s="10"/>
      <c r="O54" s="5"/>
      <c r="P54" s="10"/>
      <c r="Q54" s="5"/>
      <c r="R54" s="10"/>
      <c r="S54" s="5"/>
      <c r="T54" s="5"/>
    </row>
    <row r="55" spans="1:20">
      <c r="A55" s="2"/>
      <c r="B55" s="2"/>
      <c r="C55" s="6"/>
      <c r="D55" s="6"/>
      <c r="E55" s="15"/>
      <c r="F55" s="6"/>
      <c r="G55" s="6"/>
      <c r="H55" s="11"/>
      <c r="I55" s="6"/>
      <c r="J55" s="11"/>
      <c r="K55" s="6"/>
      <c r="L55" s="11"/>
      <c r="M55" s="6"/>
      <c r="N55" s="11"/>
      <c r="O55" s="6"/>
      <c r="P55" s="11"/>
      <c r="Q55" s="6"/>
      <c r="R55" s="11"/>
      <c r="S55" s="6"/>
      <c r="T55" s="6"/>
    </row>
    <row r="56" spans="1:20">
      <c r="A56" s="1"/>
      <c r="B56" s="1"/>
      <c r="C56" s="5"/>
      <c r="D56" s="5"/>
      <c r="E56" s="14"/>
      <c r="F56" s="5"/>
      <c r="G56" s="5"/>
      <c r="H56" s="10"/>
      <c r="I56" s="5"/>
      <c r="J56" s="10"/>
      <c r="K56" s="5"/>
      <c r="L56" s="10"/>
      <c r="M56" s="5"/>
      <c r="N56" s="10"/>
      <c r="O56" s="5"/>
      <c r="P56" s="10"/>
      <c r="Q56" s="5"/>
      <c r="R56" s="10"/>
      <c r="S56" s="5"/>
      <c r="T56" s="5"/>
    </row>
    <row r="57" spans="1:20">
      <c r="A57" s="2"/>
      <c r="B57" s="2"/>
      <c r="C57" s="6"/>
      <c r="D57" s="6"/>
      <c r="E57" s="15"/>
      <c r="F57" s="6"/>
      <c r="G57" s="6"/>
      <c r="H57" s="11"/>
      <c r="I57" s="6"/>
      <c r="J57" s="11"/>
      <c r="K57" s="6"/>
      <c r="L57" s="11"/>
      <c r="M57" s="6"/>
      <c r="N57" s="11"/>
      <c r="O57" s="6"/>
      <c r="P57" s="11"/>
      <c r="Q57" s="6"/>
      <c r="R57" s="11"/>
      <c r="S57" s="6"/>
      <c r="T57" s="6"/>
    </row>
    <row r="58" spans="1:20">
      <c r="A58" s="1"/>
      <c r="B58" s="1"/>
      <c r="C58" s="5"/>
      <c r="D58" s="5"/>
      <c r="E58" s="14"/>
      <c r="F58" s="5"/>
      <c r="G58" s="5"/>
      <c r="H58" s="10"/>
      <c r="I58" s="5"/>
      <c r="J58" s="10"/>
      <c r="K58" s="5"/>
      <c r="L58" s="10"/>
      <c r="M58" s="5"/>
      <c r="N58" s="10"/>
      <c r="O58" s="5"/>
      <c r="P58" s="10"/>
      <c r="Q58" s="5"/>
      <c r="R58" s="10"/>
      <c r="S58" s="5"/>
      <c r="T58" s="5"/>
    </row>
    <row r="59" spans="1:20">
      <c r="A59" s="2"/>
      <c r="B59" s="2"/>
      <c r="C59" s="6"/>
      <c r="D59" s="6"/>
      <c r="E59" s="15"/>
      <c r="F59" s="6"/>
      <c r="G59" s="6"/>
      <c r="H59" s="11"/>
      <c r="I59" s="6"/>
      <c r="J59" s="11"/>
      <c r="K59" s="6"/>
      <c r="L59" s="11"/>
      <c r="M59" s="6"/>
      <c r="N59" s="11"/>
      <c r="O59" s="6"/>
      <c r="P59" s="11"/>
      <c r="Q59" s="6"/>
      <c r="R59" s="11"/>
      <c r="S59" s="6"/>
      <c r="T59" s="6"/>
    </row>
    <row r="60" spans="1:20">
      <c r="A60" s="1"/>
      <c r="B60" s="1"/>
      <c r="C60" s="5"/>
      <c r="D60" s="5"/>
      <c r="E60" s="14"/>
      <c r="F60" s="5"/>
      <c r="G60" s="5"/>
      <c r="H60" s="10"/>
      <c r="I60" s="5"/>
      <c r="J60" s="10"/>
      <c r="K60" s="5"/>
      <c r="L60" s="10"/>
      <c r="M60" s="5"/>
      <c r="N60" s="10"/>
      <c r="O60" s="5"/>
      <c r="P60" s="10"/>
      <c r="Q60" s="5"/>
      <c r="R60" s="10"/>
      <c r="S60" s="5"/>
      <c r="T60" s="5"/>
    </row>
  </sheetData>
  <conditionalFormatting sqref="J2:J60 L2:L60 N2:N60">
    <cfRule type="cellIs" dxfId="59" priority="5" operator="lessThan">
      <formula>-0.02</formula>
    </cfRule>
  </conditionalFormatting>
  <conditionalFormatting sqref="P2:P60">
    <cfRule type="cellIs" dxfId="58" priority="4" operator="between">
      <formula>-0.05</formula>
      <formula>0.05</formula>
    </cfRule>
  </conditionalFormatting>
  <conditionalFormatting sqref="H2:H60">
    <cfRule type="cellIs" dxfId="57" priority="2" operator="between">
      <formula>0</formula>
      <formula>0.05</formula>
    </cfRule>
    <cfRule type="cellIs" dxfId="56" priority="3" operator="between">
      <formula>-0.05</formula>
      <formula>0</formula>
    </cfRule>
  </conditionalFormatting>
  <conditionalFormatting sqref="R2:R60">
    <cfRule type="cellIs" dxfId="55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UpdateCurrentSheet">
                <anchor moveWithCells="1" sizeWithCells="1">
                  <from>
                    <xdr:col>23</xdr:col>
                    <xdr:colOff>38100</xdr:colOff>
                    <xdr:row>0</xdr:row>
                    <xdr:rowOff>28575</xdr:rowOff>
                  </from>
                  <to>
                    <xdr:col>24</xdr:col>
                    <xdr:colOff>419100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6"/>
  </sheetPr>
  <dimension ref="A1:Y60"/>
  <sheetViews>
    <sheetView tabSelected="1" zoomScale="80" zoomScaleNormal="80" workbookViewId="0">
      <pane ySplit="1" topLeftCell="A2" activePane="bottomLeft" state="frozen"/>
      <selection activeCell="D48" sqref="D48"/>
      <selection pane="bottomLeft" activeCell="E34" sqref="E34"/>
    </sheetView>
  </sheetViews>
  <sheetFormatPr defaultRowHeight="15"/>
  <cols>
    <col min="1" max="1" width="10.28515625" bestFit="1" customWidth="1"/>
    <col min="2" max="2" width="52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18" width="10.28515625" bestFit="1" customWidth="1"/>
    <col min="20" max="20" width="10.28515625" bestFit="1" customWidth="1"/>
    <col min="24" max="24" width="10.7109375" customWidth="1"/>
  </cols>
  <sheetData>
    <row r="1" spans="1:25" ht="30.75" thickBot="1">
      <c r="A1" s="3" t="s">
        <v>2</v>
      </c>
      <c r="B1" s="4" t="s">
        <v>3</v>
      </c>
      <c r="C1" s="3" t="s">
        <v>5</v>
      </c>
      <c r="D1" s="3" t="s">
        <v>6</v>
      </c>
      <c r="E1" s="3" t="s">
        <v>7</v>
      </c>
      <c r="F1" s="3" t="s">
        <v>8</v>
      </c>
      <c r="G1" s="27" t="s">
        <v>14</v>
      </c>
      <c r="H1" s="7" t="s">
        <v>15</v>
      </c>
      <c r="I1" s="3" t="s">
        <v>9</v>
      </c>
      <c r="J1" s="3" t="s">
        <v>16</v>
      </c>
      <c r="K1" s="3" t="s">
        <v>10</v>
      </c>
      <c r="L1" s="3" t="s">
        <v>17</v>
      </c>
      <c r="M1" s="3" t="s">
        <v>11</v>
      </c>
      <c r="N1" s="3" t="s">
        <v>18</v>
      </c>
      <c r="O1" s="3" t="s">
        <v>12</v>
      </c>
      <c r="P1" s="3" t="s">
        <v>19</v>
      </c>
      <c r="Q1" s="3" t="s">
        <v>13</v>
      </c>
      <c r="R1" s="3" t="s">
        <v>20</v>
      </c>
      <c r="S1" s="28" t="s">
        <v>115</v>
      </c>
      <c r="T1" s="29" t="s">
        <v>116</v>
      </c>
    </row>
    <row r="2" spans="1:25">
      <c r="A2" s="1" t="s">
        <v>192</v>
      </c>
      <c r="B2" s="1" t="s">
        <v>213</v>
      </c>
      <c r="C2" s="5">
        <v>43.26</v>
      </c>
      <c r="D2" s="5">
        <v>-4.0000000000048885E-3</v>
      </c>
      <c r="E2" s="14">
        <v>7.4999999999999997E-3</v>
      </c>
      <c r="F2" s="5">
        <v>43.264000000000003</v>
      </c>
      <c r="G2" s="5"/>
      <c r="H2" s="10" t="s">
        <v>21</v>
      </c>
      <c r="I2" s="5">
        <v>42.099997999999999</v>
      </c>
      <c r="J2" s="10">
        <v>2.7553492995415318E-2</v>
      </c>
      <c r="K2" s="5">
        <v>42.371350074999995</v>
      </c>
      <c r="L2" s="10">
        <v>2.0972896153345078E-2</v>
      </c>
      <c r="M2" s="5">
        <v>41.251116674999999</v>
      </c>
      <c r="N2" s="10">
        <v>4.8698883495133849E-2</v>
      </c>
      <c r="O2" s="5">
        <v>43.264000000000003</v>
      </c>
      <c r="P2" s="10">
        <v>-9.2455621301890112E-5</v>
      </c>
      <c r="Q2" s="5">
        <v>35.580002</v>
      </c>
      <c r="R2" s="10">
        <v>0.21585153367894683</v>
      </c>
      <c r="S2" s="17">
        <v>6.9999999999999999E-4</v>
      </c>
      <c r="T2" s="5" t="s">
        <v>240</v>
      </c>
    </row>
    <row r="3" spans="1:25">
      <c r="A3" s="2" t="s">
        <v>193</v>
      </c>
      <c r="B3" s="2" t="s">
        <v>214</v>
      </c>
      <c r="C3" s="6">
        <v>57.94</v>
      </c>
      <c r="D3" s="6">
        <v>1.0000000045806701E-6</v>
      </c>
      <c r="E3" s="15">
        <v>8.3999999999999995E-3</v>
      </c>
      <c r="F3" s="6">
        <v>56.959998999999996</v>
      </c>
      <c r="G3" s="6"/>
      <c r="H3" s="11" t="s">
        <v>21</v>
      </c>
      <c r="I3" s="6">
        <v>56.380500199999993</v>
      </c>
      <c r="J3" s="11">
        <v>1.0278372805213376E-2</v>
      </c>
      <c r="K3" s="6">
        <v>56.479250050000005</v>
      </c>
      <c r="L3" s="11">
        <v>8.511974744253914E-3</v>
      </c>
      <c r="M3" s="6">
        <v>54.917166808333356</v>
      </c>
      <c r="N3" s="11">
        <v>3.7198444682995824E-2</v>
      </c>
      <c r="O3" s="6">
        <v>57.290001000000004</v>
      </c>
      <c r="P3" s="11">
        <v>-5.7601849230199953E-3</v>
      </c>
      <c r="Q3" s="6">
        <v>45.540001000000004</v>
      </c>
      <c r="R3" s="11">
        <v>0.25076852765110824</v>
      </c>
      <c r="S3" s="18">
        <v>1E-3</v>
      </c>
      <c r="T3" s="6" t="s">
        <v>241</v>
      </c>
      <c r="X3" t="s">
        <v>42</v>
      </c>
      <c r="Y3" t="s">
        <v>101</v>
      </c>
    </row>
    <row r="4" spans="1:25">
      <c r="A4" s="1" t="s">
        <v>24</v>
      </c>
      <c r="B4" s="1" t="s">
        <v>215</v>
      </c>
      <c r="C4" s="5">
        <v>70.45</v>
      </c>
      <c r="D4" s="5">
        <v>1.6101000000006138E-2</v>
      </c>
      <c r="E4" s="14">
        <v>9.2999999999999992E-3</v>
      </c>
      <c r="F4" s="5">
        <v>70.433898999999997</v>
      </c>
      <c r="G4" s="5"/>
      <c r="H4" s="10" t="s">
        <v>21</v>
      </c>
      <c r="I4" s="5">
        <v>68.989998</v>
      </c>
      <c r="J4" s="10">
        <v>2.116251692020632E-2</v>
      </c>
      <c r="K4" s="5">
        <v>69.208347925000012</v>
      </c>
      <c r="L4" s="10">
        <v>1.7940784778529117E-2</v>
      </c>
      <c r="M4" s="5">
        <v>67.616199191666695</v>
      </c>
      <c r="N4" s="10">
        <v>4.1910087260310869E-2</v>
      </c>
      <c r="O4" s="5">
        <v>70.433898999999997</v>
      </c>
      <c r="P4" s="10">
        <v>2.2859731221203106E-4</v>
      </c>
      <c r="Q4" s="5">
        <v>58.41</v>
      </c>
      <c r="R4" s="10">
        <v>0.2061290874850199</v>
      </c>
      <c r="S4" s="17">
        <v>1.1000000000000001E-3</v>
      </c>
      <c r="T4" s="5" t="s">
        <v>242</v>
      </c>
      <c r="X4" t="s">
        <v>37</v>
      </c>
    </row>
    <row r="5" spans="1:25">
      <c r="A5" s="2" t="s">
        <v>194</v>
      </c>
      <c r="B5" s="2" t="s">
        <v>216</v>
      </c>
      <c r="C5" s="6">
        <v>52.92</v>
      </c>
      <c r="D5" s="6">
        <v>1.8498999999998489E-2</v>
      </c>
      <c r="E5" s="15">
        <v>8.2000000000000007E-3</v>
      </c>
      <c r="F5" s="6">
        <v>52.901501000000003</v>
      </c>
      <c r="G5" s="6"/>
      <c r="H5" s="11" t="s">
        <v>21</v>
      </c>
      <c r="I5" s="6">
        <v>51.349997999999999</v>
      </c>
      <c r="J5" s="11">
        <v>3.0574528941559098E-2</v>
      </c>
      <c r="K5" s="6">
        <v>51.706287500000009</v>
      </c>
      <c r="L5" s="11">
        <v>2.3473209133415107E-2</v>
      </c>
      <c r="M5" s="6">
        <v>50.178262425000021</v>
      </c>
      <c r="N5" s="11">
        <v>5.4639946512655246E-2</v>
      </c>
      <c r="O5" s="6">
        <v>52.901501000000003</v>
      </c>
      <c r="P5" s="11">
        <v>3.4968762039477852E-4</v>
      </c>
      <c r="Q5" s="6">
        <v>43.119999</v>
      </c>
      <c r="R5" s="11">
        <v>0.22727275573452599</v>
      </c>
      <c r="S5" s="18">
        <v>1.1000000000000001E-3</v>
      </c>
      <c r="T5" s="6" t="s">
        <v>240</v>
      </c>
    </row>
    <row r="6" spans="1:25">
      <c r="A6" s="1" t="s">
        <v>195</v>
      </c>
      <c r="B6" s="1" t="s">
        <v>217</v>
      </c>
      <c r="C6" s="5">
        <v>115.11</v>
      </c>
      <c r="D6" s="5">
        <v>2.9899000000000342E-2</v>
      </c>
      <c r="E6" s="14">
        <v>4.7999999999999996E-3</v>
      </c>
      <c r="F6" s="5">
        <v>115.080101</v>
      </c>
      <c r="G6" s="5"/>
      <c r="H6" s="10" t="s">
        <v>21</v>
      </c>
      <c r="I6" s="5">
        <v>110.470001</v>
      </c>
      <c r="J6" s="10">
        <v>4.2002344147711312E-2</v>
      </c>
      <c r="K6" s="5">
        <v>111.79575212500001</v>
      </c>
      <c r="L6" s="10">
        <v>2.964556176780575E-2</v>
      </c>
      <c r="M6" s="5">
        <v>108.04608406666669</v>
      </c>
      <c r="N6" s="10">
        <v>6.5378731625060249E-2</v>
      </c>
      <c r="O6" s="5">
        <v>115.080101</v>
      </c>
      <c r="P6" s="10">
        <v>2.5981033853983426E-4</v>
      </c>
      <c r="Q6" s="5">
        <v>92.699996999999996</v>
      </c>
      <c r="R6" s="10">
        <v>0.24174761300154102</v>
      </c>
      <c r="S6" s="17">
        <v>1.2999999999999999E-3</v>
      </c>
      <c r="T6" s="5" t="s">
        <v>243</v>
      </c>
    </row>
    <row r="7" spans="1:25">
      <c r="A7" s="2" t="s">
        <v>481</v>
      </c>
      <c r="B7" s="2" t="s">
        <v>218</v>
      </c>
      <c r="C7" s="6">
        <v>45.02</v>
      </c>
      <c r="D7" s="6">
        <v>0</v>
      </c>
      <c r="E7" s="15">
        <v>1.0999999999999999E-2</v>
      </c>
      <c r="F7" s="6">
        <v>45.02</v>
      </c>
      <c r="G7" s="6"/>
      <c r="H7" s="11" t="s">
        <v>21</v>
      </c>
      <c r="I7" s="6">
        <v>42.779998999999997</v>
      </c>
      <c r="J7" s="11">
        <v>5.2360940915403109E-2</v>
      </c>
      <c r="K7" s="6">
        <v>43.385499599999989</v>
      </c>
      <c r="L7" s="11">
        <v>3.7673886784053812E-2</v>
      </c>
      <c r="M7" s="6">
        <v>41.512249816666682</v>
      </c>
      <c r="N7" s="11">
        <v>8.4499158653766893E-2</v>
      </c>
      <c r="O7" s="6">
        <v>45.02</v>
      </c>
      <c r="P7" s="11">
        <v>0</v>
      </c>
      <c r="Q7" s="6">
        <v>34.860001000000004</v>
      </c>
      <c r="R7" s="11">
        <v>0.29145148332038184</v>
      </c>
      <c r="S7" s="18">
        <v>1.4E-3</v>
      </c>
      <c r="T7" s="6" t="s">
        <v>244</v>
      </c>
    </row>
    <row r="8" spans="1:25">
      <c r="A8" s="1" t="s">
        <v>196</v>
      </c>
      <c r="B8" s="1" t="s">
        <v>219</v>
      </c>
      <c r="C8" s="5">
        <v>40.784999999999997</v>
      </c>
      <c r="D8" s="5">
        <v>9.9999999747524271E-7</v>
      </c>
      <c r="E8" s="14">
        <v>1.0279999999999999E-2</v>
      </c>
      <c r="F8" s="5">
        <v>40.049999</v>
      </c>
      <c r="G8" s="5"/>
      <c r="H8" s="10" t="s">
        <v>21</v>
      </c>
      <c r="I8" s="5">
        <v>39.639999949999996</v>
      </c>
      <c r="J8" s="10">
        <v>1.0343089064509536E-2</v>
      </c>
      <c r="K8" s="5">
        <v>39.639750200000009</v>
      </c>
      <c r="L8" s="10">
        <v>1.0349454724868368E-2</v>
      </c>
      <c r="M8" s="5">
        <v>38.597333483333344</v>
      </c>
      <c r="N8" s="10">
        <v>3.7636447535784434E-2</v>
      </c>
      <c r="O8" s="5">
        <v>40.299999</v>
      </c>
      <c r="P8" s="10">
        <v>-6.2034492854454726E-3</v>
      </c>
      <c r="Q8" s="5">
        <v>31.08</v>
      </c>
      <c r="R8" s="10">
        <v>0.28861003861003853</v>
      </c>
      <c r="S8" s="17">
        <v>2.8999999999999998E-3</v>
      </c>
      <c r="T8" s="5" t="s">
        <v>241</v>
      </c>
    </row>
    <row r="9" spans="1:25">
      <c r="A9" s="2" t="s">
        <v>197</v>
      </c>
      <c r="B9" s="2" t="s">
        <v>220</v>
      </c>
      <c r="C9" s="6">
        <v>68.334999999999994</v>
      </c>
      <c r="D9" s="6">
        <v>0</v>
      </c>
      <c r="E9" s="15">
        <v>9.5300000000000003E-3</v>
      </c>
      <c r="F9" s="6">
        <v>67.5</v>
      </c>
      <c r="G9" s="6"/>
      <c r="H9" s="11" t="s">
        <v>21</v>
      </c>
      <c r="I9" s="6">
        <v>66.930500300000006</v>
      </c>
      <c r="J9" s="11">
        <v>8.5088217994389037E-3</v>
      </c>
      <c r="K9" s="6">
        <v>67.026249874999991</v>
      </c>
      <c r="L9" s="11">
        <v>7.0681281719255917E-3</v>
      </c>
      <c r="M9" s="6">
        <v>65.487666666666684</v>
      </c>
      <c r="N9" s="11">
        <v>3.0728432325679345E-2</v>
      </c>
      <c r="O9" s="6">
        <v>67.709998999999996</v>
      </c>
      <c r="P9" s="11">
        <v>-3.101447394793122E-3</v>
      </c>
      <c r="Q9" s="6">
        <v>56.740002000000004</v>
      </c>
      <c r="R9" s="11">
        <v>0.18963689849711307</v>
      </c>
      <c r="S9" s="18">
        <v>3.3E-3</v>
      </c>
      <c r="T9" s="6" t="s">
        <v>242</v>
      </c>
    </row>
    <row r="10" spans="1:25">
      <c r="A10" s="1" t="s">
        <v>30</v>
      </c>
      <c r="B10" s="1" t="s">
        <v>32</v>
      </c>
      <c r="C10" s="5">
        <v>61.2</v>
      </c>
      <c r="D10" s="5">
        <v>5.000000000002558E-3</v>
      </c>
      <c r="E10" s="14">
        <v>2.8E-3</v>
      </c>
      <c r="F10" s="5">
        <v>61.195</v>
      </c>
      <c r="G10" s="5"/>
      <c r="H10" s="10" t="s">
        <v>21</v>
      </c>
      <c r="I10" s="5">
        <v>59.459998999999996</v>
      </c>
      <c r="J10" s="10">
        <v>2.9263387643178485E-2</v>
      </c>
      <c r="K10" s="5">
        <v>59.742624949999993</v>
      </c>
      <c r="L10" s="10">
        <v>2.4394225249053214E-2</v>
      </c>
      <c r="M10" s="5">
        <v>57.767958291666659</v>
      </c>
      <c r="N10" s="10">
        <v>5.941081890076827E-2</v>
      </c>
      <c r="O10" s="5">
        <v>61.195</v>
      </c>
      <c r="P10" s="10">
        <v>8.1706021733740641E-5</v>
      </c>
      <c r="Q10" s="5">
        <v>49.130001</v>
      </c>
      <c r="R10" s="10">
        <v>0.24567471512976358</v>
      </c>
      <c r="S10" s="17">
        <v>4.0000000000000001E-3</v>
      </c>
      <c r="T10" s="5" t="s">
        <v>243</v>
      </c>
    </row>
    <row r="11" spans="1:25">
      <c r="A11" s="2" t="s">
        <v>198</v>
      </c>
      <c r="B11" s="2" t="s">
        <v>221</v>
      </c>
      <c r="C11" s="6">
        <v>77.615200000000002</v>
      </c>
      <c r="D11" s="6">
        <v>3.6197999999998842E-2</v>
      </c>
      <c r="E11" s="15">
        <v>6.6819999999999996E-3</v>
      </c>
      <c r="F11" s="6">
        <v>77.579002000000003</v>
      </c>
      <c r="G11" s="6"/>
      <c r="H11" s="11" t="s">
        <v>21</v>
      </c>
      <c r="I11" s="6">
        <v>75.25</v>
      </c>
      <c r="J11" s="11">
        <v>3.1431229235880487E-2</v>
      </c>
      <c r="K11" s="6">
        <v>75.705224800000025</v>
      </c>
      <c r="L11" s="11">
        <v>2.5229106776260224E-2</v>
      </c>
      <c r="M11" s="6">
        <v>73.756741391666637</v>
      </c>
      <c r="N11" s="11">
        <v>5.2313300933998663E-2</v>
      </c>
      <c r="O11" s="6">
        <v>77.579002000000003</v>
      </c>
      <c r="P11" s="11">
        <v>4.6659532949400173E-4</v>
      </c>
      <c r="Q11" s="6">
        <v>62.599997999999999</v>
      </c>
      <c r="R11" s="11">
        <v>0.23985946453225138</v>
      </c>
      <c r="S11" s="18">
        <v>4.0000000000000001E-3</v>
      </c>
      <c r="T11" s="6" t="s">
        <v>245</v>
      </c>
    </row>
    <row r="12" spans="1:25">
      <c r="A12" s="1" t="s">
        <v>199</v>
      </c>
      <c r="B12" s="1" t="s">
        <v>222</v>
      </c>
      <c r="C12" s="5">
        <v>53.774700000000003</v>
      </c>
      <c r="D12" s="5">
        <v>4.6999999999997044E-3</v>
      </c>
      <c r="E12" s="14">
        <v>8.1499999999999993E-3</v>
      </c>
      <c r="F12" s="5">
        <v>53.77</v>
      </c>
      <c r="G12" s="5"/>
      <c r="H12" s="10" t="s">
        <v>21</v>
      </c>
      <c r="I12" s="5">
        <v>52.82</v>
      </c>
      <c r="J12" s="10">
        <v>1.8074592957213254E-2</v>
      </c>
      <c r="K12" s="5">
        <v>52.970999825</v>
      </c>
      <c r="L12" s="10">
        <v>1.5172456205379881E-2</v>
      </c>
      <c r="M12" s="5">
        <v>52.054333283333307</v>
      </c>
      <c r="N12" s="10">
        <v>3.3049442921546657E-2</v>
      </c>
      <c r="O12" s="5">
        <v>53.77</v>
      </c>
      <c r="P12" s="10">
        <v>8.7409336060995102E-5</v>
      </c>
      <c r="Q12" s="5">
        <v>44.810001</v>
      </c>
      <c r="R12" s="10">
        <v>0.20006022762641762</v>
      </c>
      <c r="S12" s="17">
        <v>4.0000000000000001E-3</v>
      </c>
      <c r="T12" s="5" t="s">
        <v>246</v>
      </c>
    </row>
    <row r="13" spans="1:25">
      <c r="A13" s="2" t="s">
        <v>200</v>
      </c>
      <c r="B13" s="2" t="s">
        <v>223</v>
      </c>
      <c r="C13" s="6">
        <v>87.419899999999998</v>
      </c>
      <c r="D13" s="6">
        <v>3.0000000066365828E-6</v>
      </c>
      <c r="E13" s="15">
        <v>1.1219E-2</v>
      </c>
      <c r="F13" s="6">
        <v>86.449996999999996</v>
      </c>
      <c r="G13" s="6"/>
      <c r="H13" s="11" t="s">
        <v>21</v>
      </c>
      <c r="I13" s="6">
        <v>85.820999650000005</v>
      </c>
      <c r="J13" s="11">
        <v>7.3292125769359728E-3</v>
      </c>
      <c r="K13" s="6">
        <v>85.905499899999995</v>
      </c>
      <c r="L13" s="11">
        <v>6.33836134629151E-3</v>
      </c>
      <c r="M13" s="6">
        <v>84.460833333333312</v>
      </c>
      <c r="N13" s="11">
        <v>2.3551350231369783E-2</v>
      </c>
      <c r="O13" s="6">
        <v>86.779999000000004</v>
      </c>
      <c r="P13" s="11">
        <v>-3.8027080410545366E-3</v>
      </c>
      <c r="Q13" s="6">
        <v>72.730002999999996</v>
      </c>
      <c r="R13" s="11">
        <v>0.18864287686059922</v>
      </c>
      <c r="S13" s="18">
        <v>4.0000000000000001E-3</v>
      </c>
      <c r="T13" s="6" t="s">
        <v>242</v>
      </c>
    </row>
    <row r="14" spans="1:25">
      <c r="A14" s="1" t="s">
        <v>201</v>
      </c>
      <c r="B14" s="1" t="s">
        <v>224</v>
      </c>
      <c r="C14" s="5">
        <v>34.465000000000003</v>
      </c>
      <c r="D14" s="5">
        <v>4.9020000000083996E-3</v>
      </c>
      <c r="E14" s="14">
        <v>6.5700000000000003E-3</v>
      </c>
      <c r="F14" s="5">
        <v>34.460097999999995</v>
      </c>
      <c r="G14" s="5"/>
      <c r="H14" s="10" t="s">
        <v>21</v>
      </c>
      <c r="I14" s="5">
        <v>33.610001000000004</v>
      </c>
      <c r="J14" s="10">
        <v>2.5438826972959516E-2</v>
      </c>
      <c r="K14" s="5">
        <v>33.853502749999997</v>
      </c>
      <c r="L14" s="10">
        <v>1.8063042235710869E-2</v>
      </c>
      <c r="M14" s="5">
        <v>33.590584241666669</v>
      </c>
      <c r="N14" s="10">
        <v>2.6031573373132444E-2</v>
      </c>
      <c r="O14" s="5">
        <v>34.849997999999999</v>
      </c>
      <c r="P14" s="10">
        <v>-1.1047289012756756E-2</v>
      </c>
      <c r="Q14" s="5">
        <v>29.459999</v>
      </c>
      <c r="R14" s="10">
        <v>0.16989141785103268</v>
      </c>
      <c r="S14" s="17">
        <v>4.7999999999999996E-3</v>
      </c>
      <c r="T14" s="5" t="s">
        <v>130</v>
      </c>
    </row>
    <row r="15" spans="1:25">
      <c r="A15" s="2" t="s">
        <v>482</v>
      </c>
      <c r="B15" s="2" t="s">
        <v>225</v>
      </c>
      <c r="C15" s="6">
        <v>22.995000000000001</v>
      </c>
      <c r="D15" s="6">
        <v>-1.0000000010279564E-6</v>
      </c>
      <c r="E15" s="15">
        <v>8.1099999999999992E-3</v>
      </c>
      <c r="F15" s="6">
        <v>22.995001000000002</v>
      </c>
      <c r="G15" s="6"/>
      <c r="H15" s="11" t="s">
        <v>21</v>
      </c>
      <c r="I15" s="6">
        <v>22.34</v>
      </c>
      <c r="J15" s="11">
        <v>2.9319606087734984E-2</v>
      </c>
      <c r="K15" s="6">
        <v>22.589375050000001</v>
      </c>
      <c r="L15" s="11">
        <v>1.7956448511841305E-2</v>
      </c>
      <c r="M15" s="6">
        <v>22.179374983333339</v>
      </c>
      <c r="N15" s="11">
        <v>3.6774030705534422E-2</v>
      </c>
      <c r="O15" s="6">
        <v>22.995001000000002</v>
      </c>
      <c r="P15" s="11">
        <v>-4.3487712875212026E-8</v>
      </c>
      <c r="Q15" s="6">
        <v>19.280001000000002</v>
      </c>
      <c r="R15" s="11">
        <v>0.19268666013035984</v>
      </c>
      <c r="S15" s="18">
        <v>4.7999999999999996E-3</v>
      </c>
      <c r="T15" s="6" t="s">
        <v>130</v>
      </c>
    </row>
    <row r="16" spans="1:25">
      <c r="A16" s="1" t="s">
        <v>202</v>
      </c>
      <c r="B16" s="1" t="s">
        <v>226</v>
      </c>
      <c r="C16" s="5">
        <v>28.475000000000001</v>
      </c>
      <c r="D16" s="5">
        <v>-1.0000999999999038E-2</v>
      </c>
      <c r="E16" s="14">
        <v>6.8999999999999999E-3</v>
      </c>
      <c r="F16" s="5">
        <v>28.485001</v>
      </c>
      <c r="G16" s="5"/>
      <c r="H16" s="10" t="s">
        <v>21</v>
      </c>
      <c r="I16" s="5">
        <v>27.299999</v>
      </c>
      <c r="J16" s="10">
        <v>4.3040331246898544E-2</v>
      </c>
      <c r="K16" s="5">
        <v>27.711374975000002</v>
      </c>
      <c r="L16" s="10">
        <v>2.7556374437894604E-2</v>
      </c>
      <c r="M16" s="5">
        <v>26.935208283333335</v>
      </c>
      <c r="N16" s="10">
        <v>5.7166504913178651E-2</v>
      </c>
      <c r="O16" s="5">
        <v>28.485001</v>
      </c>
      <c r="P16" s="10">
        <v>-3.5109705630687049E-4</v>
      </c>
      <c r="Q16" s="5">
        <v>24.75</v>
      </c>
      <c r="R16" s="10">
        <v>0.15050505050505047</v>
      </c>
      <c r="S16" s="17">
        <v>4.7999999999999996E-3</v>
      </c>
      <c r="T16" s="5" t="s">
        <v>130</v>
      </c>
    </row>
    <row r="17" spans="1:20">
      <c r="A17" s="2" t="s">
        <v>203</v>
      </c>
      <c r="B17" s="2" t="s">
        <v>227</v>
      </c>
      <c r="C17" s="6">
        <v>31.93</v>
      </c>
      <c r="D17" s="6">
        <v>0</v>
      </c>
      <c r="E17" s="15">
        <v>1.0800000000000001E-2</v>
      </c>
      <c r="F17" s="6">
        <v>31.93</v>
      </c>
      <c r="G17" s="6"/>
      <c r="H17" s="11" t="s">
        <v>21</v>
      </c>
      <c r="I17" s="6">
        <v>30.719998999999998</v>
      </c>
      <c r="J17" s="11">
        <v>3.9388054667579997E-2</v>
      </c>
      <c r="K17" s="6">
        <v>30.856000000000002</v>
      </c>
      <c r="L17" s="11">
        <v>3.48068446979517E-2</v>
      </c>
      <c r="M17" s="6">
        <v>30.328416708333343</v>
      </c>
      <c r="N17" s="11">
        <v>5.2808008643147941E-2</v>
      </c>
      <c r="O17" s="6">
        <v>31.93</v>
      </c>
      <c r="P17" s="11">
        <v>0</v>
      </c>
      <c r="Q17" s="6">
        <v>24.68</v>
      </c>
      <c r="R17" s="11">
        <v>0.29376012965964349</v>
      </c>
      <c r="S17" s="18">
        <v>4.7999999999999996E-3</v>
      </c>
      <c r="T17" s="6" t="s">
        <v>130</v>
      </c>
    </row>
    <row r="18" spans="1:20">
      <c r="A18" s="1" t="s">
        <v>343</v>
      </c>
      <c r="B18" s="1" t="s">
        <v>29</v>
      </c>
      <c r="C18" s="5">
        <v>55.26</v>
      </c>
      <c r="D18" s="5">
        <v>2.4998999999993998E-2</v>
      </c>
      <c r="E18" s="14">
        <v>5.3E-3</v>
      </c>
      <c r="F18" s="5">
        <v>55.235001000000004</v>
      </c>
      <c r="G18" s="5"/>
      <c r="H18" s="10" t="s">
        <v>21</v>
      </c>
      <c r="I18" s="5">
        <v>54.470001000000003</v>
      </c>
      <c r="J18" s="10">
        <v>1.450337773997834E-2</v>
      </c>
      <c r="K18" s="5">
        <v>54.494875249999993</v>
      </c>
      <c r="L18" s="10">
        <v>1.4040306478176667E-2</v>
      </c>
      <c r="M18" s="5">
        <v>53.352375158333309</v>
      </c>
      <c r="N18" s="10">
        <v>3.5755199951369443E-2</v>
      </c>
      <c r="O18" s="5">
        <v>55.235001000000004</v>
      </c>
      <c r="P18" s="10">
        <v>4.525934560948297E-4</v>
      </c>
      <c r="Q18" s="5">
        <v>48.360001000000004</v>
      </c>
      <c r="R18" s="10">
        <v>0.14267987711580066</v>
      </c>
      <c r="S18" s="17">
        <v>4.7999999999999996E-3</v>
      </c>
      <c r="T18" s="5" t="s">
        <v>247</v>
      </c>
    </row>
    <row r="19" spans="1:20">
      <c r="A19" s="2" t="s">
        <v>204</v>
      </c>
      <c r="B19" s="2" t="s">
        <v>228</v>
      </c>
      <c r="C19" s="6">
        <v>33.959899999999998</v>
      </c>
      <c r="D19" s="6">
        <v>-2.0000000020559128E-6</v>
      </c>
      <c r="E19" s="15">
        <v>1.7677999999999999E-2</v>
      </c>
      <c r="F19" s="6">
        <v>33.240002000000004</v>
      </c>
      <c r="G19" s="6"/>
      <c r="H19" s="11" t="s">
        <v>21</v>
      </c>
      <c r="I19" s="6">
        <v>33.625000100000001</v>
      </c>
      <c r="J19" s="11">
        <v>-1.14498170663202E-2</v>
      </c>
      <c r="K19" s="6">
        <v>33.756250124999994</v>
      </c>
      <c r="L19" s="11">
        <v>-1.529346781968699E-2</v>
      </c>
      <c r="M19" s="6">
        <v>32.664083291666671</v>
      </c>
      <c r="N19" s="11">
        <v>1.7631497666437124E-2</v>
      </c>
      <c r="O19" s="6">
        <v>34.68</v>
      </c>
      <c r="P19" s="11">
        <v>-4.1522491349480939E-2</v>
      </c>
      <c r="Q19" s="6">
        <v>24.950001</v>
      </c>
      <c r="R19" s="11">
        <v>0.33226447566074246</v>
      </c>
      <c r="S19" s="18">
        <v>4.7999999999999996E-3</v>
      </c>
      <c r="T19" s="6" t="s">
        <v>130</v>
      </c>
    </row>
    <row r="20" spans="1:20">
      <c r="A20" s="1" t="s">
        <v>205</v>
      </c>
      <c r="B20" s="1" t="s">
        <v>229</v>
      </c>
      <c r="C20" s="5">
        <v>30.42</v>
      </c>
      <c r="D20" s="5">
        <v>0</v>
      </c>
      <c r="E20" s="14">
        <v>8.6E-3</v>
      </c>
      <c r="F20" s="5">
        <v>29.9</v>
      </c>
      <c r="G20" s="5"/>
      <c r="H20" s="10" t="s">
        <v>21</v>
      </c>
      <c r="I20" s="5">
        <v>29.578999849999995</v>
      </c>
      <c r="J20" s="10">
        <v>1.0852298983327735E-2</v>
      </c>
      <c r="K20" s="5">
        <v>29.554750024999997</v>
      </c>
      <c r="L20" s="10">
        <v>1.1681708514129197E-2</v>
      </c>
      <c r="M20" s="5">
        <v>28.619166708333335</v>
      </c>
      <c r="N20" s="10">
        <v>4.4754388019750069E-2</v>
      </c>
      <c r="O20" s="5">
        <v>30.01</v>
      </c>
      <c r="P20" s="10">
        <v>-3.6654448517161597E-3</v>
      </c>
      <c r="Q20" s="5">
        <v>23.139999</v>
      </c>
      <c r="R20" s="10">
        <v>0.29213488730055692</v>
      </c>
      <c r="S20" s="17">
        <v>4.7999999999999996E-3</v>
      </c>
      <c r="T20" s="5" t="s">
        <v>130</v>
      </c>
    </row>
    <row r="21" spans="1:20">
      <c r="A21" s="2" t="s">
        <v>206</v>
      </c>
      <c r="B21" s="2" t="s">
        <v>230</v>
      </c>
      <c r="C21" s="6">
        <v>35.78</v>
      </c>
      <c r="D21" s="6">
        <v>5.0000000000004263E-2</v>
      </c>
      <c r="E21" s="15">
        <v>1.4999999999999999E-2</v>
      </c>
      <c r="F21" s="6">
        <v>35.729999999999997</v>
      </c>
      <c r="G21" s="6"/>
      <c r="H21" s="11" t="s">
        <v>21</v>
      </c>
      <c r="I21" s="6">
        <v>33.279998999999997</v>
      </c>
      <c r="J21" s="11">
        <v>7.5120224612987618E-2</v>
      </c>
      <c r="K21" s="6">
        <v>33.725249925</v>
      </c>
      <c r="L21" s="11">
        <v>6.0926163025313729E-2</v>
      </c>
      <c r="M21" s="6">
        <v>31.946916608333325</v>
      </c>
      <c r="N21" s="11">
        <v>0.11998289032584819</v>
      </c>
      <c r="O21" s="6">
        <v>35.729999999999997</v>
      </c>
      <c r="P21" s="11">
        <v>1.3993842709210114E-3</v>
      </c>
      <c r="Q21" s="6">
        <v>26.639999</v>
      </c>
      <c r="R21" s="11">
        <v>0.34309314350950237</v>
      </c>
      <c r="S21" s="18">
        <v>4.8999999999999998E-3</v>
      </c>
      <c r="T21" s="6" t="s">
        <v>248</v>
      </c>
    </row>
    <row r="22" spans="1:20">
      <c r="A22" s="1" t="s">
        <v>483</v>
      </c>
      <c r="B22" s="1" t="s">
        <v>231</v>
      </c>
      <c r="C22" s="5">
        <v>102.098</v>
      </c>
      <c r="D22" s="5">
        <v>-4.1999000000004116E-2</v>
      </c>
      <c r="E22" s="14">
        <v>1.7930000000000001E-2</v>
      </c>
      <c r="F22" s="5">
        <v>102.139999</v>
      </c>
      <c r="G22" s="5"/>
      <c r="H22" s="10" t="s">
        <v>21</v>
      </c>
      <c r="I22" s="5">
        <v>96.5</v>
      </c>
      <c r="J22" s="10">
        <v>5.8010362694300488E-2</v>
      </c>
      <c r="K22" s="5">
        <v>97.696750774999984</v>
      </c>
      <c r="L22" s="10">
        <v>4.5050108525474863E-2</v>
      </c>
      <c r="M22" s="5">
        <v>90.090416950000005</v>
      </c>
      <c r="N22" s="10">
        <v>0.13328368828245263</v>
      </c>
      <c r="O22" s="5">
        <v>102.139999</v>
      </c>
      <c r="P22" s="10">
        <v>-4.1119052683757928E-4</v>
      </c>
      <c r="Q22" s="5">
        <v>70.5</v>
      </c>
      <c r="R22" s="10">
        <v>0.44819858156028358</v>
      </c>
      <c r="S22" s="17">
        <v>5.8999999999999999E-3</v>
      </c>
      <c r="T22" s="5" t="s">
        <v>249</v>
      </c>
    </row>
    <row r="23" spans="1:20">
      <c r="A23" s="2" t="s">
        <v>207</v>
      </c>
      <c r="B23" s="2" t="s">
        <v>232</v>
      </c>
      <c r="C23" s="6">
        <v>39.56</v>
      </c>
      <c r="D23" s="6">
        <v>-9.9999999999980105E-3</v>
      </c>
      <c r="E23" s="15">
        <v>-1.2999999999999999E-3</v>
      </c>
      <c r="F23" s="6">
        <v>39.57</v>
      </c>
      <c r="G23" s="6"/>
      <c r="H23" s="11" t="s">
        <v>21</v>
      </c>
      <c r="I23" s="6">
        <v>38.939999</v>
      </c>
      <c r="J23" s="11">
        <v>1.5921957265587094E-2</v>
      </c>
      <c r="K23" s="6">
        <v>39.041750049999997</v>
      </c>
      <c r="L23" s="11">
        <v>1.3274249984600806E-2</v>
      </c>
      <c r="M23" s="6">
        <v>38.613250116666677</v>
      </c>
      <c r="N23" s="11">
        <v>2.4518782554506569E-2</v>
      </c>
      <c r="O23" s="6">
        <v>41.939999</v>
      </c>
      <c r="P23" s="11">
        <v>-5.6747712368805714E-2</v>
      </c>
      <c r="Q23" s="6">
        <v>35.200001</v>
      </c>
      <c r="R23" s="11">
        <v>0.12386360443569311</v>
      </c>
      <c r="S23" s="18">
        <v>5.8999999999999999E-3</v>
      </c>
      <c r="T23" s="6" t="s">
        <v>131</v>
      </c>
    </row>
    <row r="24" spans="1:20">
      <c r="A24" s="1" t="s">
        <v>33</v>
      </c>
      <c r="B24" s="1" t="s">
        <v>233</v>
      </c>
      <c r="C24" s="5">
        <v>42.65</v>
      </c>
      <c r="D24" s="5">
        <v>0.1000009999999989</v>
      </c>
      <c r="E24" s="14">
        <v>1.7399999999999999E-2</v>
      </c>
      <c r="F24" s="5">
        <v>42.549999</v>
      </c>
      <c r="G24" s="5"/>
      <c r="H24" s="10" t="s">
        <v>21</v>
      </c>
      <c r="I24" s="5">
        <v>38.049999</v>
      </c>
      <c r="J24" s="10">
        <v>0.12089359056224946</v>
      </c>
      <c r="K24" s="5">
        <v>38.894749874999995</v>
      </c>
      <c r="L24" s="10">
        <v>9.6549023636059772E-2</v>
      </c>
      <c r="M24" s="5">
        <v>36.961333266666671</v>
      </c>
      <c r="N24" s="10">
        <v>0.15390859123752487</v>
      </c>
      <c r="O24" s="5">
        <v>42.549999</v>
      </c>
      <c r="P24" s="10">
        <v>2.3501998202162255E-3</v>
      </c>
      <c r="Q24" s="5">
        <v>31.110001</v>
      </c>
      <c r="R24" s="10">
        <v>0.37094177528313166</v>
      </c>
      <c r="S24" s="17">
        <v>6.3E-3</v>
      </c>
      <c r="T24" s="5" t="s">
        <v>248</v>
      </c>
    </row>
    <row r="25" spans="1:20">
      <c r="A25" s="2" t="s">
        <v>208</v>
      </c>
      <c r="B25" s="2" t="s">
        <v>234</v>
      </c>
      <c r="C25" s="6">
        <v>50.826000000000001</v>
      </c>
      <c r="D25" s="6">
        <v>6.0000000000002274E-3</v>
      </c>
      <c r="E25" s="15">
        <v>9.8499999999999994E-3</v>
      </c>
      <c r="F25" s="6">
        <v>50.82</v>
      </c>
      <c r="G25" s="6"/>
      <c r="H25" s="11" t="s">
        <v>21</v>
      </c>
      <c r="I25" s="6">
        <v>47.73</v>
      </c>
      <c r="J25" s="11">
        <v>6.4864864864864868E-2</v>
      </c>
      <c r="K25" s="6">
        <v>48.65574977499999</v>
      </c>
      <c r="L25" s="11">
        <v>4.4604188303251968E-2</v>
      </c>
      <c r="M25" s="6">
        <v>47.011666474999998</v>
      </c>
      <c r="N25" s="11">
        <v>8.113589266248189E-2</v>
      </c>
      <c r="O25" s="6">
        <v>50.82</v>
      </c>
      <c r="P25" s="11">
        <v>1.1806375442735551E-4</v>
      </c>
      <c r="Q25" s="6">
        <v>39.099997999999999</v>
      </c>
      <c r="R25" s="11">
        <v>0.29989776470065288</v>
      </c>
      <c r="S25" s="18">
        <v>6.4999999999999997E-3</v>
      </c>
      <c r="T25" s="6" t="s">
        <v>244</v>
      </c>
    </row>
    <row r="26" spans="1:20">
      <c r="A26" s="1" t="s">
        <v>209</v>
      </c>
      <c r="B26" s="1" t="s">
        <v>235</v>
      </c>
      <c r="C26" s="5">
        <v>43.2453</v>
      </c>
      <c r="D26" s="5">
        <v>1.0000000045806701E-6</v>
      </c>
      <c r="E26" s="14">
        <v>1.5148E-2</v>
      </c>
      <c r="F26" s="5">
        <v>42.529998999999997</v>
      </c>
      <c r="G26" s="5"/>
      <c r="H26" s="10" t="s">
        <v>21</v>
      </c>
      <c r="I26" s="5">
        <v>41.404499700000002</v>
      </c>
      <c r="J26" s="10">
        <v>2.7183043102921411E-2</v>
      </c>
      <c r="K26" s="5">
        <v>40.779499975000007</v>
      </c>
      <c r="L26" s="10">
        <v>4.292598060479258E-2</v>
      </c>
      <c r="M26" s="5">
        <v>38.274999958333332</v>
      </c>
      <c r="N26" s="10">
        <v>0.11116917168644602</v>
      </c>
      <c r="O26" s="5">
        <v>42.639998999999996</v>
      </c>
      <c r="P26" s="10">
        <v>-2.5797139441769978E-3</v>
      </c>
      <c r="Q26" s="5">
        <v>31</v>
      </c>
      <c r="R26" s="10">
        <v>0.37193548387096786</v>
      </c>
      <c r="S26" s="17">
        <v>7.1999999999999998E-3</v>
      </c>
      <c r="T26" s="5" t="s">
        <v>244</v>
      </c>
    </row>
    <row r="27" spans="1:20">
      <c r="A27" s="2" t="s">
        <v>210</v>
      </c>
      <c r="B27" s="2" t="s">
        <v>236</v>
      </c>
      <c r="C27" s="6">
        <v>72.88</v>
      </c>
      <c r="D27" s="6">
        <v>-1.9999999949504854E-6</v>
      </c>
      <c r="E27" s="15">
        <v>1.29E-2</v>
      </c>
      <c r="F27" s="6">
        <v>71.760002</v>
      </c>
      <c r="G27" s="6"/>
      <c r="H27" s="11" t="s">
        <v>21</v>
      </c>
      <c r="I27" s="6">
        <v>71.006501050000011</v>
      </c>
      <c r="J27" s="11">
        <v>1.0611689617960662E-2</v>
      </c>
      <c r="K27" s="6">
        <v>70.843000649999993</v>
      </c>
      <c r="L27" s="11">
        <v>1.2944106567851943E-2</v>
      </c>
      <c r="M27" s="6">
        <v>67.254250199999973</v>
      </c>
      <c r="N27" s="11">
        <v>6.699576289380782E-2</v>
      </c>
      <c r="O27" s="6">
        <v>72.430000000000007</v>
      </c>
      <c r="P27" s="11">
        <v>-9.2503106447604511E-3</v>
      </c>
      <c r="Q27" s="6">
        <v>54.130001</v>
      </c>
      <c r="R27" s="11">
        <v>0.32569737066880911</v>
      </c>
      <c r="S27" s="18">
        <v>7.1999999999999998E-3</v>
      </c>
      <c r="T27" s="6" t="s">
        <v>250</v>
      </c>
    </row>
    <row r="28" spans="1:20">
      <c r="A28" s="1" t="s">
        <v>484</v>
      </c>
      <c r="B28" s="1" t="s">
        <v>237</v>
      </c>
      <c r="C28" s="5">
        <v>44.515000000000001</v>
      </c>
      <c r="D28" s="5">
        <v>-1.4998999999995988E-2</v>
      </c>
      <c r="E28" s="14">
        <v>1.6559999999999998E-2</v>
      </c>
      <c r="F28" s="5">
        <v>44.529998999999997</v>
      </c>
      <c r="G28" s="5"/>
      <c r="H28" s="10" t="s">
        <v>21</v>
      </c>
      <c r="I28" s="5">
        <v>42.18</v>
      </c>
      <c r="J28" s="10">
        <v>5.5357989568515897E-2</v>
      </c>
      <c r="K28" s="5">
        <v>42.922749924999998</v>
      </c>
      <c r="L28" s="10">
        <v>3.7095714458700302E-2</v>
      </c>
      <c r="M28" s="5">
        <v>40.516666741666661</v>
      </c>
      <c r="N28" s="10">
        <v>9.868366723814237E-2</v>
      </c>
      <c r="O28" s="5">
        <v>44.529998999999997</v>
      </c>
      <c r="P28" s="10">
        <v>-3.3682911153887218E-4</v>
      </c>
      <c r="Q28" s="5">
        <v>33.970001000000003</v>
      </c>
      <c r="R28" s="10">
        <v>0.31042092109446795</v>
      </c>
      <c r="S28" s="17">
        <v>7.4000000000000003E-3</v>
      </c>
      <c r="T28" s="5" t="s">
        <v>249</v>
      </c>
    </row>
    <row r="29" spans="1:20">
      <c r="A29" s="2" t="s">
        <v>211</v>
      </c>
      <c r="B29" s="2" t="s">
        <v>238</v>
      </c>
      <c r="C29" s="6">
        <v>21.975000000000001</v>
      </c>
      <c r="D29" s="6">
        <v>-4.9999999999990052E-3</v>
      </c>
      <c r="E29" s="15">
        <v>1.5949999999999999E-2</v>
      </c>
      <c r="F29" s="6">
        <v>21.98</v>
      </c>
      <c r="G29" s="6"/>
      <c r="H29" s="11" t="s">
        <v>21</v>
      </c>
      <c r="I29" s="6">
        <v>19.989999999999998</v>
      </c>
      <c r="J29" s="11">
        <v>9.9299649824912573E-2</v>
      </c>
      <c r="K29" s="6">
        <v>20.456749925000004</v>
      </c>
      <c r="L29" s="11">
        <v>7.4217560490611456E-2</v>
      </c>
      <c r="M29" s="6">
        <v>20.158750033333334</v>
      </c>
      <c r="N29" s="11">
        <v>9.0097350463864245E-2</v>
      </c>
      <c r="O29" s="6">
        <v>22.08</v>
      </c>
      <c r="P29" s="11">
        <v>-4.7554347826085364E-3</v>
      </c>
      <c r="Q29" s="6">
        <v>17.739999999999998</v>
      </c>
      <c r="R29" s="11">
        <v>0.23872604284103738</v>
      </c>
      <c r="S29" s="18">
        <v>7.9000000000000008E-3</v>
      </c>
      <c r="T29" s="6" t="s">
        <v>130</v>
      </c>
    </row>
    <row r="30" spans="1:20">
      <c r="A30" s="1" t="s">
        <v>212</v>
      </c>
      <c r="B30" s="1" t="s">
        <v>239</v>
      </c>
      <c r="C30" s="5">
        <v>26.55</v>
      </c>
      <c r="D30" s="5">
        <v>-9.9989999999969825E-3</v>
      </c>
      <c r="E30" s="14">
        <v>1.0699999999999999E-2</v>
      </c>
      <c r="F30" s="5">
        <v>26.559998999999998</v>
      </c>
      <c r="G30" s="5"/>
      <c r="H30" s="10" t="s">
        <v>21</v>
      </c>
      <c r="I30" s="5">
        <v>25.860001</v>
      </c>
      <c r="J30" s="10">
        <v>2.6682094869215245E-2</v>
      </c>
      <c r="K30" s="5">
        <v>26.187749949999994</v>
      </c>
      <c r="L30" s="10">
        <v>1.3832805441156504E-2</v>
      </c>
      <c r="M30" s="5">
        <v>25.237249958333333</v>
      </c>
      <c r="N30" s="10">
        <v>5.2016366435884143E-2</v>
      </c>
      <c r="O30" s="5">
        <v>26.85</v>
      </c>
      <c r="P30" s="10">
        <v>-1.1173184357541888E-2</v>
      </c>
      <c r="Q30" s="5">
        <v>19.489999999999998</v>
      </c>
      <c r="R30" s="10">
        <v>0.36223704463827611</v>
      </c>
      <c r="S30" s="17">
        <v>8.3999999999999995E-3</v>
      </c>
      <c r="T30" s="5" t="s">
        <v>251</v>
      </c>
    </row>
    <row r="31" spans="1:20">
      <c r="A31" s="2" t="s">
        <v>101</v>
      </c>
      <c r="B31" s="2" t="s">
        <v>112</v>
      </c>
      <c r="C31" s="6">
        <v>31.06</v>
      </c>
      <c r="D31" s="6">
        <v>-1.0000000000001563E-2</v>
      </c>
      <c r="E31" s="15">
        <v>1.34E-2</v>
      </c>
      <c r="F31" s="6">
        <v>31.07</v>
      </c>
      <c r="G31" s="6">
        <v>20</v>
      </c>
      <c r="H31" s="11">
        <v>0.55299999999999994</v>
      </c>
      <c r="I31" s="6">
        <v>29.889999</v>
      </c>
      <c r="J31" s="11">
        <v>3.914356102855665E-2</v>
      </c>
      <c r="K31" s="6">
        <v>29.934249824999995</v>
      </c>
      <c r="L31" s="11">
        <v>3.7607429001271342E-2</v>
      </c>
      <c r="M31" s="6">
        <v>28.099833199999992</v>
      </c>
      <c r="N31" s="11">
        <v>0.10534463955465778</v>
      </c>
      <c r="O31" s="6">
        <v>31.07</v>
      </c>
      <c r="P31" s="11">
        <v>-3.2185387833927326E-4</v>
      </c>
      <c r="Q31" s="6">
        <v>20.85</v>
      </c>
      <c r="R31" s="11">
        <v>0.4896882494004795</v>
      </c>
      <c r="S31" s="18">
        <v>4.7999999999999996E-3</v>
      </c>
      <c r="T31" s="6" t="s">
        <v>130</v>
      </c>
    </row>
    <row r="32" spans="1:20">
      <c r="A32" s="1"/>
      <c r="B32" s="1"/>
      <c r="C32" s="5"/>
      <c r="D32" s="5"/>
      <c r="E32" s="14"/>
      <c r="F32" s="5"/>
      <c r="G32" s="5"/>
      <c r="H32" s="10"/>
      <c r="I32" s="5"/>
      <c r="J32" s="10"/>
      <c r="K32" s="5"/>
      <c r="L32" s="10"/>
      <c r="M32" s="5"/>
      <c r="N32" s="10"/>
      <c r="O32" s="5"/>
      <c r="P32" s="10"/>
      <c r="Q32" s="5"/>
      <c r="R32" s="10"/>
      <c r="S32" s="17"/>
      <c r="T32" s="5"/>
    </row>
    <row r="33" spans="1:20">
      <c r="A33" s="2"/>
      <c r="B33" s="2"/>
      <c r="C33" s="6"/>
      <c r="D33" s="6"/>
      <c r="E33" s="15"/>
      <c r="F33" s="6"/>
      <c r="G33" s="6"/>
      <c r="H33" s="11"/>
      <c r="I33" s="6"/>
      <c r="J33" s="11"/>
      <c r="K33" s="6"/>
      <c r="L33" s="11"/>
      <c r="M33" s="6"/>
      <c r="N33" s="11"/>
      <c r="O33" s="6"/>
      <c r="P33" s="11"/>
      <c r="Q33" s="6"/>
      <c r="R33" s="11"/>
      <c r="S33" s="18"/>
      <c r="T33" s="6"/>
    </row>
    <row r="34" spans="1:20">
      <c r="A34" s="1"/>
      <c r="B34" s="1"/>
      <c r="C34" s="5"/>
      <c r="D34" s="5"/>
      <c r="E34" s="14"/>
      <c r="F34" s="5"/>
      <c r="G34" s="5"/>
      <c r="H34" s="10"/>
      <c r="I34" s="5"/>
      <c r="J34" s="10"/>
      <c r="K34" s="5"/>
      <c r="L34" s="10"/>
      <c r="M34" s="5"/>
      <c r="N34" s="10"/>
      <c r="O34" s="5"/>
      <c r="P34" s="10"/>
      <c r="Q34" s="5"/>
      <c r="R34" s="10"/>
      <c r="S34" s="17"/>
      <c r="T34" s="5"/>
    </row>
    <row r="35" spans="1:20">
      <c r="A35" s="2"/>
      <c r="B35" s="2"/>
      <c r="C35" s="6"/>
      <c r="D35" s="6"/>
      <c r="E35" s="15"/>
      <c r="F35" s="6"/>
      <c r="G35" s="6"/>
      <c r="H35" s="11"/>
      <c r="I35" s="6"/>
      <c r="J35" s="11"/>
      <c r="K35" s="6"/>
      <c r="L35" s="11"/>
      <c r="M35" s="6"/>
      <c r="N35" s="11"/>
      <c r="O35" s="6"/>
      <c r="P35" s="11"/>
      <c r="Q35" s="6"/>
      <c r="R35" s="11"/>
      <c r="S35" s="18"/>
      <c r="T35" s="6"/>
    </row>
    <row r="36" spans="1:20">
      <c r="A36" s="1"/>
      <c r="B36" s="1"/>
      <c r="C36" s="5"/>
      <c r="D36" s="5"/>
      <c r="E36" s="14"/>
      <c r="F36" s="5"/>
      <c r="G36" s="5"/>
      <c r="H36" s="10"/>
      <c r="I36" s="5"/>
      <c r="J36" s="10"/>
      <c r="K36" s="5"/>
      <c r="L36" s="10"/>
      <c r="M36" s="5"/>
      <c r="N36" s="10"/>
      <c r="O36" s="5"/>
      <c r="P36" s="10"/>
      <c r="Q36" s="5"/>
      <c r="R36" s="10"/>
      <c r="S36" s="17"/>
      <c r="T36" s="5"/>
    </row>
    <row r="37" spans="1:20">
      <c r="A37" s="2"/>
      <c r="B37" s="2"/>
      <c r="C37" s="6"/>
      <c r="D37" s="6"/>
      <c r="E37" s="15"/>
      <c r="F37" s="6"/>
      <c r="G37" s="6"/>
      <c r="H37" s="11"/>
      <c r="I37" s="6"/>
      <c r="J37" s="11"/>
      <c r="K37" s="6"/>
      <c r="L37" s="11"/>
      <c r="M37" s="6"/>
      <c r="N37" s="11"/>
      <c r="O37" s="6"/>
      <c r="P37" s="11"/>
      <c r="Q37" s="6"/>
      <c r="R37" s="11"/>
      <c r="S37" s="18"/>
      <c r="T37" s="6"/>
    </row>
    <row r="38" spans="1:20">
      <c r="A38" s="1"/>
      <c r="B38" s="1"/>
      <c r="C38" s="5"/>
      <c r="D38" s="5"/>
      <c r="E38" s="14"/>
      <c r="F38" s="5"/>
      <c r="G38" s="5"/>
      <c r="H38" s="10"/>
      <c r="I38" s="5"/>
      <c r="J38" s="10"/>
      <c r="K38" s="5"/>
      <c r="L38" s="10"/>
      <c r="M38" s="5"/>
      <c r="N38" s="10"/>
      <c r="O38" s="5"/>
      <c r="P38" s="10"/>
      <c r="Q38" s="5"/>
      <c r="R38" s="10"/>
      <c r="S38" s="5"/>
      <c r="T38" s="5"/>
    </row>
    <row r="39" spans="1:20">
      <c r="A39" s="2"/>
      <c r="B39" s="2"/>
      <c r="C39" s="6"/>
      <c r="D39" s="6"/>
      <c r="E39" s="15"/>
      <c r="F39" s="6"/>
      <c r="G39" s="6"/>
      <c r="H39" s="11"/>
      <c r="I39" s="6"/>
      <c r="J39" s="11"/>
      <c r="K39" s="6"/>
      <c r="L39" s="11"/>
      <c r="M39" s="6"/>
      <c r="N39" s="11"/>
      <c r="O39" s="6"/>
      <c r="P39" s="11"/>
      <c r="Q39" s="6"/>
      <c r="R39" s="11"/>
      <c r="S39" s="6"/>
      <c r="T39" s="6"/>
    </row>
    <row r="40" spans="1:20">
      <c r="A40" s="1"/>
      <c r="B40" s="1"/>
      <c r="C40" s="5"/>
      <c r="D40" s="5"/>
      <c r="E40" s="14"/>
      <c r="F40" s="5"/>
      <c r="G40" s="5"/>
      <c r="H40" s="10"/>
      <c r="I40" s="5"/>
      <c r="J40" s="10"/>
      <c r="K40" s="5"/>
      <c r="L40" s="10"/>
      <c r="M40" s="5"/>
      <c r="N40" s="10"/>
      <c r="O40" s="5"/>
      <c r="P40" s="10"/>
      <c r="Q40" s="5"/>
      <c r="R40" s="10"/>
      <c r="S40" s="5"/>
      <c r="T40" s="5"/>
    </row>
    <row r="41" spans="1:20">
      <c r="A41" s="2"/>
      <c r="B41" s="2"/>
      <c r="C41" s="6"/>
      <c r="D41" s="6"/>
      <c r="E41" s="15"/>
      <c r="F41" s="6"/>
      <c r="G41" s="6"/>
      <c r="H41" s="11"/>
      <c r="I41" s="6"/>
      <c r="J41" s="11"/>
      <c r="K41" s="6"/>
      <c r="L41" s="11"/>
      <c r="M41" s="6"/>
      <c r="N41" s="11"/>
      <c r="O41" s="6"/>
      <c r="P41" s="11"/>
      <c r="Q41" s="6"/>
      <c r="R41" s="11"/>
      <c r="S41" s="6"/>
      <c r="T41" s="6"/>
    </row>
    <row r="42" spans="1:20">
      <c r="A42" s="1"/>
      <c r="B42" s="1"/>
      <c r="C42" s="5"/>
      <c r="D42" s="5"/>
      <c r="E42" s="14"/>
      <c r="F42" s="5"/>
      <c r="G42" s="5"/>
      <c r="H42" s="10"/>
      <c r="I42" s="5"/>
      <c r="J42" s="10"/>
      <c r="K42" s="5"/>
      <c r="L42" s="10"/>
      <c r="M42" s="5"/>
      <c r="N42" s="10"/>
      <c r="O42" s="5"/>
      <c r="P42" s="10"/>
      <c r="Q42" s="5"/>
      <c r="R42" s="10"/>
      <c r="S42" s="5"/>
      <c r="T42" s="5"/>
    </row>
    <row r="43" spans="1:20">
      <c r="A43" s="2"/>
      <c r="B43" s="2"/>
      <c r="C43" s="6"/>
      <c r="D43" s="6"/>
      <c r="E43" s="15"/>
      <c r="F43" s="6"/>
      <c r="G43" s="6"/>
      <c r="H43" s="11"/>
      <c r="I43" s="6"/>
      <c r="J43" s="11"/>
      <c r="K43" s="6"/>
      <c r="L43" s="11"/>
      <c r="M43" s="6"/>
      <c r="N43" s="11"/>
      <c r="O43" s="6"/>
      <c r="P43" s="11"/>
      <c r="Q43" s="6"/>
      <c r="R43" s="11"/>
      <c r="S43" s="6"/>
      <c r="T43" s="6"/>
    </row>
    <row r="44" spans="1:20">
      <c r="A44" s="1"/>
      <c r="B44" s="1"/>
      <c r="C44" s="5"/>
      <c r="D44" s="5"/>
      <c r="E44" s="14"/>
      <c r="F44" s="5"/>
      <c r="G44" s="5"/>
      <c r="H44" s="10"/>
      <c r="I44" s="5"/>
      <c r="J44" s="10"/>
      <c r="K44" s="5"/>
      <c r="L44" s="10"/>
      <c r="M44" s="5"/>
      <c r="N44" s="10"/>
      <c r="O44" s="5"/>
      <c r="P44" s="10"/>
      <c r="Q44" s="5"/>
      <c r="R44" s="10"/>
      <c r="S44" s="5"/>
      <c r="T44" s="5"/>
    </row>
    <row r="45" spans="1:20">
      <c r="A45" s="2"/>
      <c r="B45" s="2"/>
      <c r="C45" s="6"/>
      <c r="D45" s="6"/>
      <c r="E45" s="15"/>
      <c r="F45" s="6"/>
      <c r="G45" s="6"/>
      <c r="H45" s="11"/>
      <c r="I45" s="6"/>
      <c r="J45" s="11"/>
      <c r="K45" s="6"/>
      <c r="L45" s="11"/>
      <c r="M45" s="6"/>
      <c r="N45" s="11"/>
      <c r="O45" s="6"/>
      <c r="P45" s="11"/>
      <c r="Q45" s="6"/>
      <c r="R45" s="11"/>
      <c r="S45" s="6"/>
      <c r="T45" s="6"/>
    </row>
    <row r="46" spans="1:20">
      <c r="A46" s="1"/>
      <c r="B46" s="1"/>
      <c r="C46" s="5"/>
      <c r="D46" s="5"/>
      <c r="E46" s="14"/>
      <c r="F46" s="5"/>
      <c r="G46" s="5"/>
      <c r="H46" s="10"/>
      <c r="I46" s="5"/>
      <c r="J46" s="10"/>
      <c r="K46" s="5"/>
      <c r="L46" s="10"/>
      <c r="M46" s="5"/>
      <c r="N46" s="10"/>
      <c r="O46" s="5"/>
      <c r="P46" s="10"/>
      <c r="Q46" s="5"/>
      <c r="R46" s="10"/>
      <c r="S46" s="5"/>
      <c r="T46" s="5"/>
    </row>
    <row r="47" spans="1:20">
      <c r="A47" s="2"/>
      <c r="B47" s="2"/>
      <c r="C47" s="6"/>
      <c r="D47" s="6"/>
      <c r="E47" s="15"/>
      <c r="F47" s="6"/>
      <c r="G47" s="6"/>
      <c r="H47" s="11"/>
      <c r="I47" s="6"/>
      <c r="J47" s="11"/>
      <c r="K47" s="6"/>
      <c r="L47" s="11"/>
      <c r="M47" s="6"/>
      <c r="N47" s="11"/>
      <c r="O47" s="6"/>
      <c r="P47" s="11"/>
      <c r="Q47" s="6"/>
      <c r="R47" s="11"/>
      <c r="S47" s="6"/>
      <c r="T47" s="6"/>
    </row>
    <row r="48" spans="1:20">
      <c r="A48" s="1"/>
      <c r="B48" s="1"/>
      <c r="C48" s="5"/>
      <c r="D48" s="5"/>
      <c r="E48" s="14"/>
      <c r="F48" s="5"/>
      <c r="G48" s="5"/>
      <c r="H48" s="10"/>
      <c r="I48" s="5"/>
      <c r="J48" s="10"/>
      <c r="K48" s="5"/>
      <c r="L48" s="10"/>
      <c r="M48" s="5"/>
      <c r="N48" s="10"/>
      <c r="O48" s="5"/>
      <c r="P48" s="10"/>
      <c r="Q48" s="5"/>
      <c r="R48" s="10"/>
      <c r="S48" s="5"/>
      <c r="T48" s="5"/>
    </row>
    <row r="49" spans="1:20">
      <c r="A49" s="2"/>
      <c r="B49" s="2"/>
      <c r="C49" s="6"/>
      <c r="D49" s="6"/>
      <c r="E49" s="15"/>
      <c r="F49" s="6"/>
      <c r="G49" s="6"/>
      <c r="H49" s="11"/>
      <c r="I49" s="6"/>
      <c r="J49" s="11"/>
      <c r="K49" s="6"/>
      <c r="L49" s="11"/>
      <c r="M49" s="6"/>
      <c r="N49" s="11"/>
      <c r="O49" s="6"/>
      <c r="P49" s="11"/>
      <c r="Q49" s="6"/>
      <c r="R49" s="11"/>
      <c r="S49" s="6"/>
      <c r="T49" s="6"/>
    </row>
    <row r="50" spans="1:20">
      <c r="A50" s="1"/>
      <c r="B50" s="1"/>
      <c r="C50" s="5"/>
      <c r="D50" s="5"/>
      <c r="E50" s="14"/>
      <c r="F50" s="5"/>
      <c r="G50" s="5"/>
      <c r="H50" s="10"/>
      <c r="I50" s="5"/>
      <c r="J50" s="10"/>
      <c r="K50" s="5"/>
      <c r="L50" s="10"/>
      <c r="M50" s="5"/>
      <c r="N50" s="10"/>
      <c r="O50" s="5"/>
      <c r="P50" s="10"/>
      <c r="Q50" s="5"/>
      <c r="R50" s="10"/>
      <c r="S50" s="5"/>
      <c r="T50" s="5"/>
    </row>
    <row r="51" spans="1:20">
      <c r="A51" s="2"/>
      <c r="B51" s="2"/>
      <c r="C51" s="6"/>
      <c r="D51" s="6"/>
      <c r="E51" s="15"/>
      <c r="F51" s="6"/>
      <c r="G51" s="6"/>
      <c r="H51" s="11"/>
      <c r="I51" s="6"/>
      <c r="J51" s="11"/>
      <c r="K51" s="6"/>
      <c r="L51" s="11"/>
      <c r="M51" s="6"/>
      <c r="N51" s="11"/>
      <c r="O51" s="6"/>
      <c r="P51" s="11"/>
      <c r="Q51" s="6"/>
      <c r="R51" s="11"/>
      <c r="S51" s="6"/>
      <c r="T51" s="6"/>
    </row>
    <row r="52" spans="1:20">
      <c r="A52" s="1"/>
      <c r="B52" s="1"/>
      <c r="C52" s="5"/>
      <c r="D52" s="5"/>
      <c r="E52" s="14"/>
      <c r="F52" s="5"/>
      <c r="G52" s="5"/>
      <c r="H52" s="10"/>
      <c r="I52" s="5"/>
      <c r="J52" s="10"/>
      <c r="K52" s="5"/>
      <c r="L52" s="10"/>
      <c r="M52" s="5"/>
      <c r="N52" s="10"/>
      <c r="O52" s="5"/>
      <c r="P52" s="10"/>
      <c r="Q52" s="5"/>
      <c r="R52" s="10"/>
      <c r="S52" s="5"/>
      <c r="T52" s="5"/>
    </row>
    <row r="53" spans="1:20">
      <c r="A53" s="2"/>
      <c r="B53" s="2"/>
      <c r="C53" s="6"/>
      <c r="D53" s="6"/>
      <c r="E53" s="15"/>
      <c r="F53" s="6"/>
      <c r="G53" s="6"/>
      <c r="H53" s="11"/>
      <c r="I53" s="6"/>
      <c r="J53" s="11"/>
      <c r="K53" s="6"/>
      <c r="L53" s="11"/>
      <c r="M53" s="6"/>
      <c r="N53" s="11"/>
      <c r="O53" s="6"/>
      <c r="P53" s="11"/>
      <c r="Q53" s="6"/>
      <c r="R53" s="11"/>
      <c r="S53" s="6"/>
      <c r="T53" s="6"/>
    </row>
    <row r="54" spans="1:20">
      <c r="A54" s="1"/>
      <c r="B54" s="1"/>
      <c r="C54" s="5"/>
      <c r="D54" s="5"/>
      <c r="E54" s="14"/>
      <c r="F54" s="5"/>
      <c r="G54" s="5"/>
      <c r="H54" s="10"/>
      <c r="I54" s="5"/>
      <c r="J54" s="10"/>
      <c r="K54" s="5"/>
      <c r="L54" s="10"/>
      <c r="M54" s="5"/>
      <c r="N54" s="10"/>
      <c r="O54" s="5"/>
      <c r="P54" s="10"/>
      <c r="Q54" s="5"/>
      <c r="R54" s="10"/>
      <c r="S54" s="5"/>
      <c r="T54" s="5"/>
    </row>
    <row r="55" spans="1:20">
      <c r="A55" s="2"/>
      <c r="B55" s="2"/>
      <c r="C55" s="6"/>
      <c r="D55" s="6"/>
      <c r="E55" s="15"/>
      <c r="F55" s="6"/>
      <c r="G55" s="6"/>
      <c r="H55" s="11"/>
      <c r="I55" s="6"/>
      <c r="J55" s="11"/>
      <c r="K55" s="6"/>
      <c r="L55" s="11"/>
      <c r="M55" s="6"/>
      <c r="N55" s="11"/>
      <c r="O55" s="6"/>
      <c r="P55" s="11"/>
      <c r="Q55" s="6"/>
      <c r="R55" s="11"/>
      <c r="S55" s="6"/>
      <c r="T55" s="6"/>
    </row>
    <row r="56" spans="1:20">
      <c r="A56" s="1"/>
      <c r="B56" s="1"/>
      <c r="C56" s="5"/>
      <c r="D56" s="5"/>
      <c r="E56" s="14"/>
      <c r="F56" s="5"/>
      <c r="G56" s="5"/>
      <c r="H56" s="10"/>
      <c r="I56" s="5"/>
      <c r="J56" s="10"/>
      <c r="K56" s="5"/>
      <c r="L56" s="10"/>
      <c r="M56" s="5"/>
      <c r="N56" s="10"/>
      <c r="O56" s="5"/>
      <c r="P56" s="10"/>
      <c r="Q56" s="5"/>
      <c r="R56" s="10"/>
      <c r="S56" s="5"/>
      <c r="T56" s="5"/>
    </row>
    <row r="57" spans="1:20">
      <c r="A57" s="2"/>
      <c r="B57" s="2"/>
      <c r="C57" s="6"/>
      <c r="D57" s="6"/>
      <c r="E57" s="15"/>
      <c r="F57" s="6"/>
      <c r="G57" s="6"/>
      <c r="H57" s="11"/>
      <c r="I57" s="6"/>
      <c r="J57" s="11"/>
      <c r="K57" s="6"/>
      <c r="L57" s="11"/>
      <c r="M57" s="6"/>
      <c r="N57" s="11"/>
      <c r="O57" s="6"/>
      <c r="P57" s="11"/>
      <c r="Q57" s="6"/>
      <c r="R57" s="11"/>
      <c r="S57" s="6"/>
      <c r="T57" s="6"/>
    </row>
    <row r="58" spans="1:20">
      <c r="A58" s="1"/>
      <c r="B58" s="1"/>
      <c r="C58" s="5"/>
      <c r="D58" s="5"/>
      <c r="E58" s="14"/>
      <c r="F58" s="5"/>
      <c r="G58" s="5"/>
      <c r="H58" s="10"/>
      <c r="I58" s="5"/>
      <c r="J58" s="10"/>
      <c r="K58" s="5"/>
      <c r="L58" s="10"/>
      <c r="M58" s="5"/>
      <c r="N58" s="10"/>
      <c r="O58" s="5"/>
      <c r="P58" s="10"/>
      <c r="Q58" s="5"/>
      <c r="R58" s="10"/>
      <c r="S58" s="5"/>
      <c r="T58" s="5"/>
    </row>
    <row r="59" spans="1:20">
      <c r="A59" s="2"/>
      <c r="B59" s="2"/>
      <c r="C59" s="6"/>
      <c r="D59" s="6"/>
      <c r="E59" s="15"/>
      <c r="F59" s="6"/>
      <c r="G59" s="6"/>
      <c r="H59" s="11"/>
      <c r="I59" s="6"/>
      <c r="J59" s="11"/>
      <c r="K59" s="6"/>
      <c r="L59" s="11"/>
      <c r="M59" s="6"/>
      <c r="N59" s="11"/>
      <c r="O59" s="6"/>
      <c r="P59" s="11"/>
      <c r="Q59" s="6"/>
      <c r="R59" s="11"/>
      <c r="S59" s="6"/>
      <c r="T59" s="6"/>
    </row>
    <row r="60" spans="1:20">
      <c r="A60" s="1"/>
      <c r="B60" s="1"/>
      <c r="C60" s="5"/>
      <c r="D60" s="5"/>
      <c r="E60" s="14"/>
      <c r="F60" s="5"/>
      <c r="G60" s="5"/>
      <c r="H60" s="10"/>
      <c r="I60" s="5"/>
      <c r="J60" s="10"/>
      <c r="K60" s="5"/>
      <c r="L60" s="10"/>
      <c r="M60" s="5"/>
      <c r="N60" s="10"/>
      <c r="O60" s="5"/>
      <c r="P60" s="10"/>
      <c r="Q60" s="5"/>
      <c r="R60" s="10"/>
      <c r="S60" s="5"/>
      <c r="T60" s="5"/>
    </row>
  </sheetData>
  <conditionalFormatting sqref="J2:J60 L2:L60 N2:N60">
    <cfRule type="cellIs" dxfId="54" priority="5" operator="lessThan">
      <formula>-0.02</formula>
    </cfRule>
  </conditionalFormatting>
  <conditionalFormatting sqref="P2:P60">
    <cfRule type="cellIs" dxfId="53" priority="4" operator="between">
      <formula>-0.05</formula>
      <formula>0.05</formula>
    </cfRule>
  </conditionalFormatting>
  <conditionalFormatting sqref="H2:H60">
    <cfRule type="cellIs" dxfId="52" priority="2" operator="between">
      <formula>0</formula>
      <formula>0.05</formula>
    </cfRule>
    <cfRule type="cellIs" dxfId="51" priority="3" operator="between">
      <formula>-0.05</formula>
      <formula>0</formula>
    </cfRule>
  </conditionalFormatting>
  <conditionalFormatting sqref="R2:R60">
    <cfRule type="cellIs" dxfId="50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UpdateCurrentSheet">
                <anchor moveWithCells="1" sizeWithCells="1">
                  <from>
                    <xdr:col>23</xdr:col>
                    <xdr:colOff>38100</xdr:colOff>
                    <xdr:row>0</xdr:row>
                    <xdr:rowOff>28575</xdr:rowOff>
                  </from>
                  <to>
                    <xdr:col>24</xdr:col>
                    <xdr:colOff>419100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6"/>
  </sheetPr>
  <dimension ref="A1:Y60"/>
  <sheetViews>
    <sheetView zoomScale="80" zoomScaleNormal="80" workbookViewId="0">
      <pane ySplit="1" topLeftCell="A2" activePane="bottomLeft" state="frozen"/>
      <selection activeCell="D48" sqref="D48"/>
      <selection pane="bottomLeft" activeCell="K17" sqref="K17"/>
    </sheetView>
  </sheetViews>
  <sheetFormatPr defaultRowHeight="15"/>
  <cols>
    <col min="1" max="1" width="10.28515625" bestFit="1" customWidth="1"/>
    <col min="2" max="2" width="52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18" width="10.28515625" bestFit="1" customWidth="1"/>
    <col min="20" max="20" width="10.28515625" bestFit="1" customWidth="1"/>
    <col min="24" max="24" width="10.7109375" customWidth="1"/>
  </cols>
  <sheetData>
    <row r="1" spans="1:25" ht="30.75" thickBot="1">
      <c r="A1" s="3" t="s">
        <v>2</v>
      </c>
      <c r="B1" s="4" t="s">
        <v>3</v>
      </c>
      <c r="C1" s="3" t="s">
        <v>5</v>
      </c>
      <c r="D1" s="3" t="s">
        <v>6</v>
      </c>
      <c r="E1" s="3" t="s">
        <v>7</v>
      </c>
      <c r="F1" s="3" t="s">
        <v>8</v>
      </c>
      <c r="G1" s="27" t="s">
        <v>14</v>
      </c>
      <c r="H1" s="7" t="s">
        <v>15</v>
      </c>
      <c r="I1" s="3" t="s">
        <v>9</v>
      </c>
      <c r="J1" s="3" t="s">
        <v>16</v>
      </c>
      <c r="K1" s="3" t="s">
        <v>10</v>
      </c>
      <c r="L1" s="3" t="s">
        <v>17</v>
      </c>
      <c r="M1" s="3" t="s">
        <v>11</v>
      </c>
      <c r="N1" s="3" t="s">
        <v>18</v>
      </c>
      <c r="O1" s="3" t="s">
        <v>12</v>
      </c>
      <c r="P1" s="3" t="s">
        <v>19</v>
      </c>
      <c r="Q1" s="3" t="s">
        <v>13</v>
      </c>
      <c r="R1" s="3" t="s">
        <v>20</v>
      </c>
      <c r="S1" s="28" t="s">
        <v>115</v>
      </c>
      <c r="T1" s="29" t="s">
        <v>116</v>
      </c>
    </row>
    <row r="2" spans="1:25">
      <c r="A2" s="1" t="s">
        <v>28</v>
      </c>
      <c r="B2" s="1" t="s">
        <v>254</v>
      </c>
      <c r="C2" s="5">
        <v>15.1562</v>
      </c>
      <c r="D2" s="5">
        <v>-2.5999999999992696E-3</v>
      </c>
      <c r="E2" s="14">
        <v>2.3939999999999999E-3</v>
      </c>
      <c r="F2" s="5">
        <v>15.158799999999999</v>
      </c>
      <c r="G2" s="5">
        <v>14</v>
      </c>
      <c r="H2" s="10">
        <v>8.2585714285714262E-2</v>
      </c>
      <c r="I2" s="5">
        <v>14.65</v>
      </c>
      <c r="J2" s="10">
        <v>3.4552901023890747E-2</v>
      </c>
      <c r="K2" s="5">
        <v>14.815719999999995</v>
      </c>
      <c r="L2" s="10">
        <v>2.2980995861153319E-2</v>
      </c>
      <c r="M2" s="5">
        <v>14.721989999999998</v>
      </c>
      <c r="N2" s="10">
        <v>2.9493974659675848E-2</v>
      </c>
      <c r="O2" s="5">
        <v>16.049999</v>
      </c>
      <c r="P2" s="10">
        <v>-5.5688414684636367E-2</v>
      </c>
      <c r="Q2" s="5">
        <v>13.74</v>
      </c>
      <c r="R2" s="10">
        <v>0.1030713245997088</v>
      </c>
      <c r="S2" s="17">
        <v>8.5000000000000006E-3</v>
      </c>
      <c r="T2" s="5" t="s">
        <v>257</v>
      </c>
    </row>
    <row r="3" spans="1:25">
      <c r="A3" s="2" t="s">
        <v>252</v>
      </c>
      <c r="B3" s="2" t="s">
        <v>255</v>
      </c>
      <c r="C3" s="6">
        <v>8.4</v>
      </c>
      <c r="D3" s="6">
        <v>-9.9999999999997868E-3</v>
      </c>
      <c r="E3" s="15">
        <v>7.1999999999999998E-3</v>
      </c>
      <c r="F3" s="6">
        <v>8.41</v>
      </c>
      <c r="G3" s="6"/>
      <c r="H3" s="11" t="s">
        <v>21</v>
      </c>
      <c r="I3" s="6">
        <v>8.16</v>
      </c>
      <c r="J3" s="11">
        <v>2.941176470588247E-2</v>
      </c>
      <c r="K3" s="6">
        <v>8.2667499999999983</v>
      </c>
      <c r="L3" s="11">
        <v>1.6118789125109778E-2</v>
      </c>
      <c r="M3" s="6">
        <v>8.3168333333333315</v>
      </c>
      <c r="N3" s="11">
        <v>9.9997996032146208E-3</v>
      </c>
      <c r="O3" s="6">
        <v>9.7100000000000009</v>
      </c>
      <c r="P3" s="11">
        <v>-0.13491246138002067</v>
      </c>
      <c r="Q3" s="6">
        <v>7.44</v>
      </c>
      <c r="R3" s="11">
        <v>0.12903225806451601</v>
      </c>
      <c r="S3" s="18">
        <v>7.4999999999999997E-3</v>
      </c>
      <c r="T3" s="6" t="s">
        <v>258</v>
      </c>
      <c r="X3" t="s">
        <v>42</v>
      </c>
      <c r="Y3" t="s">
        <v>253</v>
      </c>
    </row>
    <row r="4" spans="1:25">
      <c r="A4" s="1" t="s">
        <v>253</v>
      </c>
      <c r="B4" s="1" t="s">
        <v>256</v>
      </c>
      <c r="C4" s="5">
        <v>23.381</v>
      </c>
      <c r="D4" s="5">
        <v>-8.9989999999993131E-3</v>
      </c>
      <c r="E4" s="14">
        <v>1.7600000000000001E-3</v>
      </c>
      <c r="F4" s="5">
        <v>23.389999</v>
      </c>
      <c r="G4" s="5"/>
      <c r="H4" s="10" t="s">
        <v>21</v>
      </c>
      <c r="I4" s="5">
        <v>22.82</v>
      </c>
      <c r="J4" s="10">
        <v>2.4583698510078911E-2</v>
      </c>
      <c r="K4" s="5">
        <v>23.014500000000002</v>
      </c>
      <c r="L4" s="10">
        <v>1.5924743096743299E-2</v>
      </c>
      <c r="M4" s="5">
        <v>22.902666599999996</v>
      </c>
      <c r="N4" s="10">
        <v>2.0885489377905131E-2</v>
      </c>
      <c r="O4" s="5">
        <v>24.780001000000002</v>
      </c>
      <c r="P4" s="10">
        <v>-5.6456858092943651E-2</v>
      </c>
      <c r="Q4" s="5">
        <v>21.620001000000002</v>
      </c>
      <c r="R4" s="10">
        <v>8.1452308905998638E-2</v>
      </c>
      <c r="S4" s="17">
        <v>7.4999999999999997E-3</v>
      </c>
      <c r="T4" s="5" t="s">
        <v>257</v>
      </c>
      <c r="X4" t="s">
        <v>37</v>
      </c>
    </row>
    <row r="5" spans="1:25">
      <c r="A5" s="2"/>
      <c r="B5" s="2"/>
      <c r="C5" s="6"/>
      <c r="D5" s="6"/>
      <c r="E5" s="15"/>
      <c r="F5" s="6"/>
      <c r="G5" s="6"/>
      <c r="H5" s="11"/>
      <c r="I5" s="6"/>
      <c r="J5" s="11"/>
      <c r="K5" s="6"/>
      <c r="L5" s="11"/>
      <c r="M5" s="6"/>
      <c r="N5" s="11"/>
      <c r="O5" s="6"/>
      <c r="P5" s="11"/>
      <c r="Q5" s="6"/>
      <c r="R5" s="11"/>
      <c r="S5" s="18"/>
      <c r="T5" s="6"/>
    </row>
    <row r="6" spans="1:25">
      <c r="A6" s="1"/>
      <c r="B6" s="1"/>
      <c r="C6" s="5"/>
      <c r="D6" s="5"/>
      <c r="E6" s="14"/>
      <c r="F6" s="5"/>
      <c r="G6" s="5"/>
      <c r="H6" s="10"/>
      <c r="I6" s="5"/>
      <c r="J6" s="10"/>
      <c r="K6" s="5"/>
      <c r="L6" s="10"/>
      <c r="M6" s="5"/>
      <c r="N6" s="10"/>
      <c r="O6" s="5"/>
      <c r="P6" s="10"/>
      <c r="Q6" s="5"/>
      <c r="R6" s="10"/>
      <c r="S6" s="17"/>
      <c r="T6" s="5"/>
    </row>
    <row r="7" spans="1:25">
      <c r="A7" s="2"/>
      <c r="B7" s="2"/>
      <c r="C7" s="6"/>
      <c r="D7" s="6"/>
      <c r="E7" s="15"/>
      <c r="F7" s="6"/>
      <c r="G7" s="6"/>
      <c r="H7" s="11"/>
      <c r="I7" s="6"/>
      <c r="J7" s="11"/>
      <c r="K7" s="6"/>
      <c r="L7" s="11"/>
      <c r="M7" s="6"/>
      <c r="N7" s="11"/>
      <c r="O7" s="6"/>
      <c r="P7" s="11"/>
      <c r="Q7" s="6"/>
      <c r="R7" s="11"/>
      <c r="S7" s="18"/>
      <c r="T7" s="6"/>
    </row>
    <row r="8" spans="1:25">
      <c r="A8" s="1"/>
      <c r="B8" s="1"/>
      <c r="C8" s="5"/>
      <c r="D8" s="5"/>
      <c r="E8" s="14"/>
      <c r="F8" s="5"/>
      <c r="G8" s="5"/>
      <c r="H8" s="10"/>
      <c r="I8" s="5"/>
      <c r="J8" s="10"/>
      <c r="K8" s="5"/>
      <c r="L8" s="10"/>
      <c r="M8" s="5"/>
      <c r="N8" s="10"/>
      <c r="O8" s="5"/>
      <c r="P8" s="10"/>
      <c r="Q8" s="5"/>
      <c r="R8" s="10"/>
      <c r="S8" s="17"/>
      <c r="T8" s="5"/>
    </row>
    <row r="9" spans="1:25">
      <c r="A9" s="2"/>
      <c r="B9" s="2"/>
      <c r="C9" s="6"/>
      <c r="D9" s="6"/>
      <c r="E9" s="15"/>
      <c r="F9" s="6"/>
      <c r="G9" s="6"/>
      <c r="H9" s="11"/>
      <c r="I9" s="6"/>
      <c r="J9" s="11"/>
      <c r="K9" s="6"/>
      <c r="L9" s="11"/>
      <c r="M9" s="6"/>
      <c r="N9" s="11"/>
      <c r="O9" s="6"/>
      <c r="P9" s="11"/>
      <c r="Q9" s="6"/>
      <c r="R9" s="11"/>
      <c r="S9" s="18"/>
      <c r="T9" s="6"/>
    </row>
    <row r="10" spans="1:25">
      <c r="A10" s="1"/>
      <c r="B10" s="1"/>
      <c r="C10" s="5"/>
      <c r="D10" s="5"/>
      <c r="E10" s="14"/>
      <c r="F10" s="5"/>
      <c r="G10" s="5"/>
      <c r="H10" s="10"/>
      <c r="I10" s="5"/>
      <c r="J10" s="10"/>
      <c r="K10" s="5"/>
      <c r="L10" s="10"/>
      <c r="M10" s="5"/>
      <c r="N10" s="10"/>
      <c r="O10" s="5"/>
      <c r="P10" s="10"/>
      <c r="Q10" s="5"/>
      <c r="R10" s="10"/>
      <c r="S10" s="17"/>
      <c r="T10" s="5"/>
    </row>
    <row r="11" spans="1:25">
      <c r="A11" s="2"/>
      <c r="B11" s="2"/>
      <c r="C11" s="6"/>
      <c r="D11" s="6"/>
      <c r="E11" s="15"/>
      <c r="F11" s="6"/>
      <c r="G11" s="6"/>
      <c r="H11" s="11"/>
      <c r="I11" s="6"/>
      <c r="J11" s="11"/>
      <c r="K11" s="6"/>
      <c r="L11" s="11"/>
      <c r="M11" s="6"/>
      <c r="N11" s="11"/>
      <c r="O11" s="6"/>
      <c r="P11" s="11"/>
      <c r="Q11" s="6"/>
      <c r="R11" s="11"/>
      <c r="S11" s="18"/>
      <c r="T11" s="6"/>
    </row>
    <row r="12" spans="1:25">
      <c r="A12" s="1"/>
      <c r="B12" s="1"/>
      <c r="C12" s="5"/>
      <c r="D12" s="5"/>
      <c r="E12" s="14"/>
      <c r="F12" s="5"/>
      <c r="G12" s="5"/>
      <c r="H12" s="10"/>
      <c r="I12" s="5"/>
      <c r="J12" s="10"/>
      <c r="K12" s="5"/>
      <c r="L12" s="10"/>
      <c r="M12" s="5"/>
      <c r="N12" s="10"/>
      <c r="O12" s="5"/>
      <c r="P12" s="10"/>
      <c r="Q12" s="5"/>
      <c r="R12" s="10"/>
      <c r="S12" s="17"/>
      <c r="T12" s="5"/>
    </row>
    <row r="13" spans="1:25">
      <c r="A13" s="2"/>
      <c r="B13" s="2"/>
      <c r="C13" s="6"/>
      <c r="D13" s="6"/>
      <c r="E13" s="15"/>
      <c r="F13" s="6"/>
      <c r="G13" s="6"/>
      <c r="H13" s="11"/>
      <c r="I13" s="6"/>
      <c r="J13" s="11"/>
      <c r="K13" s="6"/>
      <c r="L13" s="11"/>
      <c r="M13" s="6"/>
      <c r="N13" s="11"/>
      <c r="O13" s="6"/>
      <c r="P13" s="11"/>
      <c r="Q13" s="6"/>
      <c r="R13" s="11"/>
      <c r="S13" s="18"/>
      <c r="T13" s="6"/>
    </row>
    <row r="14" spans="1:25">
      <c r="A14" s="1"/>
      <c r="B14" s="1"/>
      <c r="C14" s="5"/>
      <c r="D14" s="5"/>
      <c r="E14" s="14"/>
      <c r="F14" s="5"/>
      <c r="G14" s="5"/>
      <c r="H14" s="10"/>
      <c r="I14" s="5"/>
      <c r="J14" s="10"/>
      <c r="K14" s="5"/>
      <c r="L14" s="10"/>
      <c r="M14" s="5"/>
      <c r="N14" s="10"/>
      <c r="O14" s="5"/>
      <c r="P14" s="10"/>
      <c r="Q14" s="5"/>
      <c r="R14" s="10"/>
      <c r="S14" s="17"/>
      <c r="T14" s="5"/>
    </row>
    <row r="15" spans="1:25">
      <c r="A15" s="2"/>
      <c r="B15" s="2"/>
      <c r="C15" s="6"/>
      <c r="D15" s="6"/>
      <c r="E15" s="15"/>
      <c r="F15" s="6"/>
      <c r="G15" s="6"/>
      <c r="H15" s="11"/>
      <c r="I15" s="6"/>
      <c r="J15" s="11"/>
      <c r="K15" s="6"/>
      <c r="L15" s="11"/>
      <c r="M15" s="6"/>
      <c r="N15" s="11"/>
      <c r="O15" s="6"/>
      <c r="P15" s="11"/>
      <c r="Q15" s="6"/>
      <c r="R15" s="11"/>
      <c r="S15" s="18"/>
      <c r="T15" s="6"/>
    </row>
    <row r="16" spans="1:25">
      <c r="A16" s="1"/>
      <c r="B16" s="1"/>
      <c r="C16" s="5"/>
      <c r="D16" s="5"/>
      <c r="E16" s="14"/>
      <c r="F16" s="5"/>
      <c r="G16" s="5"/>
      <c r="H16" s="10"/>
      <c r="I16" s="5"/>
      <c r="J16" s="10"/>
      <c r="K16" s="5"/>
      <c r="L16" s="10"/>
      <c r="M16" s="5"/>
      <c r="N16" s="10"/>
      <c r="O16" s="5"/>
      <c r="P16" s="10"/>
      <c r="Q16" s="5"/>
      <c r="R16" s="10"/>
      <c r="S16" s="17"/>
      <c r="T16" s="5"/>
    </row>
    <row r="17" spans="1:20">
      <c r="A17" s="2"/>
      <c r="B17" s="2"/>
      <c r="C17" s="6"/>
      <c r="D17" s="6"/>
      <c r="E17" s="15"/>
      <c r="F17" s="6"/>
      <c r="G17" s="6"/>
      <c r="H17" s="11"/>
      <c r="I17" s="6"/>
      <c r="J17" s="11"/>
      <c r="K17" s="6"/>
      <c r="L17" s="11"/>
      <c r="M17" s="6"/>
      <c r="N17" s="11"/>
      <c r="O17" s="6"/>
      <c r="P17" s="11"/>
      <c r="Q17" s="6"/>
      <c r="R17" s="11"/>
      <c r="S17" s="18"/>
      <c r="T17" s="6"/>
    </row>
    <row r="18" spans="1:20">
      <c r="A18" s="1"/>
      <c r="B18" s="1"/>
      <c r="C18" s="5"/>
      <c r="D18" s="5"/>
      <c r="E18" s="14"/>
      <c r="F18" s="5"/>
      <c r="G18" s="5"/>
      <c r="H18" s="10"/>
      <c r="I18" s="5"/>
      <c r="J18" s="10"/>
      <c r="K18" s="5"/>
      <c r="L18" s="10"/>
      <c r="M18" s="5"/>
      <c r="N18" s="10"/>
      <c r="O18" s="5"/>
      <c r="P18" s="10"/>
      <c r="Q18" s="5"/>
      <c r="R18" s="10"/>
      <c r="S18" s="17"/>
      <c r="T18" s="5"/>
    </row>
    <row r="19" spans="1:20">
      <c r="A19" s="2"/>
      <c r="B19" s="2"/>
      <c r="C19" s="6"/>
      <c r="D19" s="6"/>
      <c r="E19" s="15"/>
      <c r="F19" s="6"/>
      <c r="G19" s="6"/>
      <c r="H19" s="11"/>
      <c r="I19" s="6"/>
      <c r="J19" s="11"/>
      <c r="K19" s="6"/>
      <c r="L19" s="11"/>
      <c r="M19" s="6"/>
      <c r="N19" s="11"/>
      <c r="O19" s="6"/>
      <c r="P19" s="11"/>
      <c r="Q19" s="6"/>
      <c r="R19" s="11"/>
      <c r="S19" s="18"/>
      <c r="T19" s="6"/>
    </row>
    <row r="20" spans="1:20">
      <c r="A20" s="1"/>
      <c r="B20" s="1"/>
      <c r="C20" s="5"/>
      <c r="D20" s="5"/>
      <c r="E20" s="14"/>
      <c r="F20" s="5"/>
      <c r="G20" s="5"/>
      <c r="H20" s="10"/>
      <c r="I20" s="5"/>
      <c r="J20" s="10"/>
      <c r="K20" s="5"/>
      <c r="L20" s="10"/>
      <c r="M20" s="5"/>
      <c r="N20" s="10"/>
      <c r="O20" s="5"/>
      <c r="P20" s="10"/>
      <c r="Q20" s="5"/>
      <c r="R20" s="10"/>
      <c r="S20" s="17"/>
      <c r="T20" s="5"/>
    </row>
    <row r="21" spans="1:20">
      <c r="A21" s="2"/>
      <c r="B21" s="2"/>
      <c r="C21" s="6"/>
      <c r="D21" s="6"/>
      <c r="E21" s="15"/>
      <c r="F21" s="6"/>
      <c r="G21" s="6"/>
      <c r="H21" s="11"/>
      <c r="I21" s="6"/>
      <c r="J21" s="11"/>
      <c r="K21" s="6"/>
      <c r="L21" s="11"/>
      <c r="M21" s="6"/>
      <c r="N21" s="11"/>
      <c r="O21" s="6"/>
      <c r="P21" s="11"/>
      <c r="Q21" s="6"/>
      <c r="R21" s="11"/>
      <c r="S21" s="18"/>
      <c r="T21" s="6"/>
    </row>
    <row r="22" spans="1:20">
      <c r="A22" s="1"/>
      <c r="B22" s="1"/>
      <c r="C22" s="5"/>
      <c r="D22" s="5"/>
      <c r="E22" s="14"/>
      <c r="F22" s="5"/>
      <c r="G22" s="5"/>
      <c r="H22" s="10"/>
      <c r="I22" s="5"/>
      <c r="J22" s="10"/>
      <c r="K22" s="5"/>
      <c r="L22" s="10"/>
      <c r="M22" s="5"/>
      <c r="N22" s="10"/>
      <c r="O22" s="5"/>
      <c r="P22" s="10"/>
      <c r="Q22" s="5"/>
      <c r="R22" s="10"/>
      <c r="S22" s="17"/>
      <c r="T22" s="5"/>
    </row>
    <row r="23" spans="1:20">
      <c r="A23" s="2"/>
      <c r="B23" s="2"/>
      <c r="C23" s="6"/>
      <c r="D23" s="6"/>
      <c r="E23" s="15"/>
      <c r="F23" s="6"/>
      <c r="G23" s="6"/>
      <c r="H23" s="11"/>
      <c r="I23" s="6"/>
      <c r="J23" s="11"/>
      <c r="K23" s="6"/>
      <c r="L23" s="11"/>
      <c r="M23" s="6"/>
      <c r="N23" s="11"/>
      <c r="O23" s="6"/>
      <c r="P23" s="11"/>
      <c r="Q23" s="6"/>
      <c r="R23" s="11"/>
      <c r="S23" s="18"/>
      <c r="T23" s="6"/>
    </row>
    <row r="24" spans="1:20">
      <c r="A24" s="1"/>
      <c r="B24" s="1"/>
      <c r="C24" s="5"/>
      <c r="D24" s="5"/>
      <c r="E24" s="14"/>
      <c r="F24" s="5"/>
      <c r="G24" s="5"/>
      <c r="H24" s="10"/>
      <c r="I24" s="5"/>
      <c r="J24" s="10"/>
      <c r="K24" s="5"/>
      <c r="L24" s="10"/>
      <c r="M24" s="5"/>
      <c r="N24" s="10"/>
      <c r="O24" s="5"/>
      <c r="P24" s="10"/>
      <c r="Q24" s="5"/>
      <c r="R24" s="10"/>
      <c r="S24" s="17"/>
      <c r="T24" s="5"/>
    </row>
    <row r="25" spans="1:20">
      <c r="A25" s="2"/>
      <c r="B25" s="2"/>
      <c r="C25" s="6"/>
      <c r="D25" s="6"/>
      <c r="E25" s="15"/>
      <c r="F25" s="6"/>
      <c r="G25" s="6"/>
      <c r="H25" s="11"/>
      <c r="I25" s="6"/>
      <c r="J25" s="11"/>
      <c r="K25" s="6"/>
      <c r="L25" s="11"/>
      <c r="M25" s="6"/>
      <c r="N25" s="11"/>
      <c r="O25" s="6"/>
      <c r="P25" s="11"/>
      <c r="Q25" s="6"/>
      <c r="R25" s="11"/>
      <c r="S25" s="18"/>
      <c r="T25" s="6"/>
    </row>
    <row r="26" spans="1:20">
      <c r="A26" s="1"/>
      <c r="B26" s="1"/>
      <c r="C26" s="5"/>
      <c r="D26" s="5"/>
      <c r="E26" s="14"/>
      <c r="F26" s="5"/>
      <c r="G26" s="5"/>
      <c r="H26" s="10"/>
      <c r="I26" s="5"/>
      <c r="J26" s="10"/>
      <c r="K26" s="5"/>
      <c r="L26" s="10"/>
      <c r="M26" s="5"/>
      <c r="N26" s="10"/>
      <c r="O26" s="5"/>
      <c r="P26" s="10"/>
      <c r="Q26" s="5"/>
      <c r="R26" s="10"/>
      <c r="S26" s="17"/>
      <c r="T26" s="5"/>
    </row>
    <row r="27" spans="1:20">
      <c r="A27" s="2"/>
      <c r="B27" s="2"/>
      <c r="C27" s="6"/>
      <c r="D27" s="6"/>
      <c r="E27" s="15"/>
      <c r="F27" s="6"/>
      <c r="G27" s="6"/>
      <c r="H27" s="11"/>
      <c r="I27" s="6"/>
      <c r="J27" s="11"/>
      <c r="K27" s="6"/>
      <c r="L27" s="11"/>
      <c r="M27" s="6"/>
      <c r="N27" s="11"/>
      <c r="O27" s="6"/>
      <c r="P27" s="11"/>
      <c r="Q27" s="6"/>
      <c r="R27" s="11"/>
      <c r="S27" s="18"/>
      <c r="T27" s="6"/>
    </row>
    <row r="28" spans="1:20">
      <c r="A28" s="1"/>
      <c r="B28" s="1"/>
      <c r="C28" s="5"/>
      <c r="D28" s="5"/>
      <c r="E28" s="14"/>
      <c r="F28" s="5"/>
      <c r="G28" s="5"/>
      <c r="H28" s="10"/>
      <c r="I28" s="5"/>
      <c r="J28" s="10"/>
      <c r="K28" s="5"/>
      <c r="L28" s="10"/>
      <c r="M28" s="5"/>
      <c r="N28" s="10"/>
      <c r="O28" s="5"/>
      <c r="P28" s="10"/>
      <c r="Q28" s="5"/>
      <c r="R28" s="10"/>
      <c r="S28" s="17"/>
      <c r="T28" s="5"/>
    </row>
    <row r="29" spans="1:20">
      <c r="A29" s="2"/>
      <c r="B29" s="2"/>
      <c r="C29" s="6"/>
      <c r="D29" s="6"/>
      <c r="E29" s="15"/>
      <c r="F29" s="6"/>
      <c r="G29" s="6"/>
      <c r="H29" s="11"/>
      <c r="I29" s="6"/>
      <c r="J29" s="11"/>
      <c r="K29" s="6"/>
      <c r="L29" s="11"/>
      <c r="M29" s="6"/>
      <c r="N29" s="11"/>
      <c r="O29" s="6"/>
      <c r="P29" s="11"/>
      <c r="Q29" s="6"/>
      <c r="R29" s="11"/>
      <c r="S29" s="18"/>
      <c r="T29" s="6"/>
    </row>
    <row r="30" spans="1:20">
      <c r="A30" s="1"/>
      <c r="B30" s="1"/>
      <c r="C30" s="5"/>
      <c r="D30" s="5"/>
      <c r="E30" s="14"/>
      <c r="F30" s="5"/>
      <c r="G30" s="5"/>
      <c r="H30" s="10"/>
      <c r="I30" s="5"/>
      <c r="J30" s="10"/>
      <c r="K30" s="5"/>
      <c r="L30" s="10"/>
      <c r="M30" s="5"/>
      <c r="N30" s="10"/>
      <c r="O30" s="5"/>
      <c r="P30" s="10"/>
      <c r="Q30" s="5"/>
      <c r="R30" s="10"/>
      <c r="S30" s="17"/>
      <c r="T30" s="5"/>
    </row>
    <row r="31" spans="1:20">
      <c r="A31" s="2"/>
      <c r="B31" s="2"/>
      <c r="C31" s="6"/>
      <c r="D31" s="6"/>
      <c r="E31" s="15"/>
      <c r="F31" s="6"/>
      <c r="G31" s="6"/>
      <c r="H31" s="11"/>
      <c r="I31" s="6"/>
      <c r="J31" s="11"/>
      <c r="K31" s="6"/>
      <c r="L31" s="11"/>
      <c r="M31" s="6"/>
      <c r="N31" s="11"/>
      <c r="O31" s="6"/>
      <c r="P31" s="11"/>
      <c r="Q31" s="6"/>
      <c r="R31" s="11"/>
      <c r="S31" s="18"/>
      <c r="T31" s="6"/>
    </row>
    <row r="32" spans="1:20">
      <c r="A32" s="1"/>
      <c r="B32" s="1"/>
      <c r="C32" s="5"/>
      <c r="D32" s="5"/>
      <c r="E32" s="14"/>
      <c r="F32" s="5"/>
      <c r="G32" s="5"/>
      <c r="H32" s="10"/>
      <c r="I32" s="5"/>
      <c r="J32" s="10"/>
      <c r="K32" s="5"/>
      <c r="L32" s="10"/>
      <c r="M32" s="5"/>
      <c r="N32" s="10"/>
      <c r="O32" s="5"/>
      <c r="P32" s="10"/>
      <c r="Q32" s="5"/>
      <c r="R32" s="10"/>
      <c r="S32" s="17"/>
      <c r="T32" s="5"/>
    </row>
    <row r="33" spans="1:20">
      <c r="A33" s="2"/>
      <c r="B33" s="2"/>
      <c r="C33" s="6"/>
      <c r="D33" s="6"/>
      <c r="E33" s="15"/>
      <c r="F33" s="6"/>
      <c r="G33" s="6"/>
      <c r="H33" s="11"/>
      <c r="I33" s="6"/>
      <c r="J33" s="11"/>
      <c r="K33" s="6"/>
      <c r="L33" s="11"/>
      <c r="M33" s="6"/>
      <c r="N33" s="11"/>
      <c r="O33" s="6"/>
      <c r="P33" s="11"/>
      <c r="Q33" s="6"/>
      <c r="R33" s="11"/>
      <c r="S33" s="18"/>
      <c r="T33" s="6"/>
    </row>
    <row r="34" spans="1:20">
      <c r="A34" s="1"/>
      <c r="B34" s="1"/>
      <c r="C34" s="5"/>
      <c r="D34" s="5"/>
      <c r="E34" s="14"/>
      <c r="F34" s="5"/>
      <c r="G34" s="5"/>
      <c r="H34" s="10"/>
      <c r="I34" s="5"/>
      <c r="J34" s="10"/>
      <c r="K34" s="5"/>
      <c r="L34" s="10"/>
      <c r="M34" s="5"/>
      <c r="N34" s="10"/>
      <c r="O34" s="5"/>
      <c r="P34" s="10"/>
      <c r="Q34" s="5"/>
      <c r="R34" s="10"/>
      <c r="S34" s="17"/>
      <c r="T34" s="5"/>
    </row>
    <row r="35" spans="1:20">
      <c r="A35" s="2"/>
      <c r="B35" s="2"/>
      <c r="C35" s="6"/>
      <c r="D35" s="6"/>
      <c r="E35" s="15"/>
      <c r="F35" s="6"/>
      <c r="G35" s="6"/>
      <c r="H35" s="11"/>
      <c r="I35" s="6"/>
      <c r="J35" s="11"/>
      <c r="K35" s="6"/>
      <c r="L35" s="11"/>
      <c r="M35" s="6"/>
      <c r="N35" s="11"/>
      <c r="O35" s="6"/>
      <c r="P35" s="11"/>
      <c r="Q35" s="6"/>
      <c r="R35" s="11"/>
      <c r="S35" s="18"/>
      <c r="T35" s="6"/>
    </row>
    <row r="36" spans="1:20">
      <c r="A36" s="1"/>
      <c r="B36" s="1"/>
      <c r="C36" s="5"/>
      <c r="D36" s="5"/>
      <c r="E36" s="14"/>
      <c r="F36" s="5"/>
      <c r="G36" s="5"/>
      <c r="H36" s="10"/>
      <c r="I36" s="5"/>
      <c r="J36" s="10"/>
      <c r="K36" s="5"/>
      <c r="L36" s="10"/>
      <c r="M36" s="5"/>
      <c r="N36" s="10"/>
      <c r="O36" s="5"/>
      <c r="P36" s="10"/>
      <c r="Q36" s="5"/>
      <c r="R36" s="10"/>
      <c r="S36" s="17"/>
      <c r="T36" s="5"/>
    </row>
    <row r="37" spans="1:20">
      <c r="A37" s="2"/>
      <c r="B37" s="2"/>
      <c r="C37" s="6"/>
      <c r="D37" s="6"/>
      <c r="E37" s="15"/>
      <c r="F37" s="6"/>
      <c r="G37" s="6"/>
      <c r="H37" s="11"/>
      <c r="I37" s="6"/>
      <c r="J37" s="11"/>
      <c r="K37" s="6"/>
      <c r="L37" s="11"/>
      <c r="M37" s="6"/>
      <c r="N37" s="11"/>
      <c r="O37" s="6"/>
      <c r="P37" s="11"/>
      <c r="Q37" s="6"/>
      <c r="R37" s="11"/>
      <c r="S37" s="18"/>
      <c r="T37" s="6"/>
    </row>
    <row r="38" spans="1:20">
      <c r="A38" s="1"/>
      <c r="B38" s="1"/>
      <c r="C38" s="5"/>
      <c r="D38" s="5"/>
      <c r="E38" s="14"/>
      <c r="F38" s="5"/>
      <c r="G38" s="5"/>
      <c r="H38" s="10"/>
      <c r="I38" s="5"/>
      <c r="J38" s="10"/>
      <c r="K38" s="5"/>
      <c r="L38" s="10"/>
      <c r="M38" s="5"/>
      <c r="N38" s="10"/>
      <c r="O38" s="5"/>
      <c r="P38" s="10"/>
      <c r="Q38" s="5"/>
      <c r="R38" s="10"/>
      <c r="S38" s="5"/>
      <c r="T38" s="5"/>
    </row>
    <row r="39" spans="1:20">
      <c r="A39" s="2"/>
      <c r="B39" s="2"/>
      <c r="C39" s="6"/>
      <c r="D39" s="6"/>
      <c r="E39" s="15"/>
      <c r="F39" s="6"/>
      <c r="G39" s="6"/>
      <c r="H39" s="11"/>
      <c r="I39" s="6"/>
      <c r="J39" s="11"/>
      <c r="K39" s="6"/>
      <c r="L39" s="11"/>
      <c r="M39" s="6"/>
      <c r="N39" s="11"/>
      <c r="O39" s="6"/>
      <c r="P39" s="11"/>
      <c r="Q39" s="6"/>
      <c r="R39" s="11"/>
      <c r="S39" s="6"/>
      <c r="T39" s="6"/>
    </row>
    <row r="40" spans="1:20">
      <c r="A40" s="1"/>
      <c r="B40" s="1"/>
      <c r="C40" s="5"/>
      <c r="D40" s="5"/>
      <c r="E40" s="14"/>
      <c r="F40" s="5"/>
      <c r="G40" s="5"/>
      <c r="H40" s="10"/>
      <c r="I40" s="5"/>
      <c r="J40" s="10"/>
      <c r="K40" s="5"/>
      <c r="L40" s="10"/>
      <c r="M40" s="5"/>
      <c r="N40" s="10"/>
      <c r="O40" s="5"/>
      <c r="P40" s="10"/>
      <c r="Q40" s="5"/>
      <c r="R40" s="10"/>
      <c r="S40" s="5"/>
      <c r="T40" s="5"/>
    </row>
    <row r="41" spans="1:20">
      <c r="A41" s="2"/>
      <c r="B41" s="2"/>
      <c r="C41" s="6"/>
      <c r="D41" s="6"/>
      <c r="E41" s="15"/>
      <c r="F41" s="6"/>
      <c r="G41" s="6"/>
      <c r="H41" s="11"/>
      <c r="I41" s="6"/>
      <c r="J41" s="11"/>
      <c r="K41" s="6"/>
      <c r="L41" s="11"/>
      <c r="M41" s="6"/>
      <c r="N41" s="11"/>
      <c r="O41" s="6"/>
      <c r="P41" s="11"/>
      <c r="Q41" s="6"/>
      <c r="R41" s="11"/>
      <c r="S41" s="6"/>
      <c r="T41" s="6"/>
    </row>
    <row r="42" spans="1:20">
      <c r="A42" s="1"/>
      <c r="B42" s="1"/>
      <c r="C42" s="5"/>
      <c r="D42" s="5"/>
      <c r="E42" s="14"/>
      <c r="F42" s="5"/>
      <c r="G42" s="5"/>
      <c r="H42" s="10"/>
      <c r="I42" s="5"/>
      <c r="J42" s="10"/>
      <c r="K42" s="5"/>
      <c r="L42" s="10"/>
      <c r="M42" s="5"/>
      <c r="N42" s="10"/>
      <c r="O42" s="5"/>
      <c r="P42" s="10"/>
      <c r="Q42" s="5"/>
      <c r="R42" s="10"/>
      <c r="S42" s="5"/>
      <c r="T42" s="5"/>
    </row>
    <row r="43" spans="1:20">
      <c r="A43" s="2"/>
      <c r="B43" s="2"/>
      <c r="C43" s="6"/>
      <c r="D43" s="6"/>
      <c r="E43" s="15"/>
      <c r="F43" s="6"/>
      <c r="G43" s="6"/>
      <c r="H43" s="11"/>
      <c r="I43" s="6"/>
      <c r="J43" s="11"/>
      <c r="K43" s="6"/>
      <c r="L43" s="11"/>
      <c r="M43" s="6"/>
      <c r="N43" s="11"/>
      <c r="O43" s="6"/>
      <c r="P43" s="11"/>
      <c r="Q43" s="6"/>
      <c r="R43" s="11"/>
      <c r="S43" s="6"/>
      <c r="T43" s="6"/>
    </row>
    <row r="44" spans="1:20">
      <c r="A44" s="1"/>
      <c r="B44" s="1"/>
      <c r="C44" s="5"/>
      <c r="D44" s="5"/>
      <c r="E44" s="14"/>
      <c r="F44" s="5"/>
      <c r="G44" s="5"/>
      <c r="H44" s="10"/>
      <c r="I44" s="5"/>
      <c r="J44" s="10"/>
      <c r="K44" s="5"/>
      <c r="L44" s="10"/>
      <c r="M44" s="5"/>
      <c r="N44" s="10"/>
      <c r="O44" s="5"/>
      <c r="P44" s="10"/>
      <c r="Q44" s="5"/>
      <c r="R44" s="10"/>
      <c r="S44" s="5"/>
      <c r="T44" s="5"/>
    </row>
    <row r="45" spans="1:20">
      <c r="A45" s="2"/>
      <c r="B45" s="2"/>
      <c r="C45" s="6"/>
      <c r="D45" s="6"/>
      <c r="E45" s="15"/>
      <c r="F45" s="6"/>
      <c r="G45" s="6"/>
      <c r="H45" s="11"/>
      <c r="I45" s="6"/>
      <c r="J45" s="11"/>
      <c r="K45" s="6"/>
      <c r="L45" s="11"/>
      <c r="M45" s="6"/>
      <c r="N45" s="11"/>
      <c r="O45" s="6"/>
      <c r="P45" s="11"/>
      <c r="Q45" s="6"/>
      <c r="R45" s="11"/>
      <c r="S45" s="6"/>
      <c r="T45" s="6"/>
    </row>
    <row r="46" spans="1:20">
      <c r="A46" s="1"/>
      <c r="B46" s="1"/>
      <c r="C46" s="5"/>
      <c r="D46" s="5"/>
      <c r="E46" s="14"/>
      <c r="F46" s="5"/>
      <c r="G46" s="5"/>
      <c r="H46" s="10"/>
      <c r="I46" s="5"/>
      <c r="J46" s="10"/>
      <c r="K46" s="5"/>
      <c r="L46" s="10"/>
      <c r="M46" s="5"/>
      <c r="N46" s="10"/>
      <c r="O46" s="5"/>
      <c r="P46" s="10"/>
      <c r="Q46" s="5"/>
      <c r="R46" s="10"/>
      <c r="S46" s="5"/>
      <c r="T46" s="5"/>
    </row>
    <row r="47" spans="1:20">
      <c r="A47" s="2"/>
      <c r="B47" s="2"/>
      <c r="C47" s="6"/>
      <c r="D47" s="6"/>
      <c r="E47" s="15"/>
      <c r="F47" s="6"/>
      <c r="G47" s="6"/>
      <c r="H47" s="11"/>
      <c r="I47" s="6"/>
      <c r="J47" s="11"/>
      <c r="K47" s="6"/>
      <c r="L47" s="11"/>
      <c r="M47" s="6"/>
      <c r="N47" s="11"/>
      <c r="O47" s="6"/>
      <c r="P47" s="11"/>
      <c r="Q47" s="6"/>
      <c r="R47" s="11"/>
      <c r="S47" s="6"/>
      <c r="T47" s="6"/>
    </row>
    <row r="48" spans="1:20">
      <c r="A48" s="1"/>
      <c r="B48" s="1"/>
      <c r="C48" s="5"/>
      <c r="D48" s="5"/>
      <c r="E48" s="14"/>
      <c r="F48" s="5"/>
      <c r="G48" s="5"/>
      <c r="H48" s="10"/>
      <c r="I48" s="5"/>
      <c r="J48" s="10"/>
      <c r="K48" s="5"/>
      <c r="L48" s="10"/>
      <c r="M48" s="5"/>
      <c r="N48" s="10"/>
      <c r="O48" s="5"/>
      <c r="P48" s="10"/>
      <c r="Q48" s="5"/>
      <c r="R48" s="10"/>
      <c r="S48" s="5"/>
      <c r="T48" s="5"/>
    </row>
    <row r="49" spans="1:20">
      <c r="A49" s="2"/>
      <c r="B49" s="2"/>
      <c r="C49" s="6"/>
      <c r="D49" s="6"/>
      <c r="E49" s="15"/>
      <c r="F49" s="6"/>
      <c r="G49" s="6"/>
      <c r="H49" s="11"/>
      <c r="I49" s="6"/>
      <c r="J49" s="11"/>
      <c r="K49" s="6"/>
      <c r="L49" s="11"/>
      <c r="M49" s="6"/>
      <c r="N49" s="11"/>
      <c r="O49" s="6"/>
      <c r="P49" s="11"/>
      <c r="Q49" s="6"/>
      <c r="R49" s="11"/>
      <c r="S49" s="6"/>
      <c r="T49" s="6"/>
    </row>
    <row r="50" spans="1:20">
      <c r="A50" s="1"/>
      <c r="B50" s="1"/>
      <c r="C50" s="5"/>
      <c r="D50" s="5"/>
      <c r="E50" s="14"/>
      <c r="F50" s="5"/>
      <c r="G50" s="5"/>
      <c r="H50" s="10"/>
      <c r="I50" s="5"/>
      <c r="J50" s="10"/>
      <c r="K50" s="5"/>
      <c r="L50" s="10"/>
      <c r="M50" s="5"/>
      <c r="N50" s="10"/>
      <c r="O50" s="5"/>
      <c r="P50" s="10"/>
      <c r="Q50" s="5"/>
      <c r="R50" s="10"/>
      <c r="S50" s="5"/>
      <c r="T50" s="5"/>
    </row>
    <row r="51" spans="1:20">
      <c r="A51" s="2"/>
      <c r="B51" s="2"/>
      <c r="C51" s="6"/>
      <c r="D51" s="6"/>
      <c r="E51" s="15"/>
      <c r="F51" s="6"/>
      <c r="G51" s="6"/>
      <c r="H51" s="11"/>
      <c r="I51" s="6"/>
      <c r="J51" s="11"/>
      <c r="K51" s="6"/>
      <c r="L51" s="11"/>
      <c r="M51" s="6"/>
      <c r="N51" s="11"/>
      <c r="O51" s="6"/>
      <c r="P51" s="11"/>
      <c r="Q51" s="6"/>
      <c r="R51" s="11"/>
      <c r="S51" s="6"/>
      <c r="T51" s="6"/>
    </row>
    <row r="52" spans="1:20">
      <c r="A52" s="1"/>
      <c r="B52" s="1"/>
      <c r="C52" s="5"/>
      <c r="D52" s="5"/>
      <c r="E52" s="14"/>
      <c r="F52" s="5"/>
      <c r="G52" s="5"/>
      <c r="H52" s="10"/>
      <c r="I52" s="5"/>
      <c r="J52" s="10"/>
      <c r="K52" s="5"/>
      <c r="L52" s="10"/>
      <c r="M52" s="5"/>
      <c r="N52" s="10"/>
      <c r="O52" s="5"/>
      <c r="P52" s="10"/>
      <c r="Q52" s="5"/>
      <c r="R52" s="10"/>
      <c r="S52" s="5"/>
      <c r="T52" s="5"/>
    </row>
    <row r="53" spans="1:20">
      <c r="A53" s="2"/>
      <c r="B53" s="2"/>
      <c r="C53" s="6"/>
      <c r="D53" s="6"/>
      <c r="E53" s="15"/>
      <c r="F53" s="6"/>
      <c r="G53" s="6"/>
      <c r="H53" s="11"/>
      <c r="I53" s="6"/>
      <c r="J53" s="11"/>
      <c r="K53" s="6"/>
      <c r="L53" s="11"/>
      <c r="M53" s="6"/>
      <c r="N53" s="11"/>
      <c r="O53" s="6"/>
      <c r="P53" s="11"/>
      <c r="Q53" s="6"/>
      <c r="R53" s="11"/>
      <c r="S53" s="6"/>
      <c r="T53" s="6"/>
    </row>
    <row r="54" spans="1:20">
      <c r="A54" s="1"/>
      <c r="B54" s="1"/>
      <c r="C54" s="5"/>
      <c r="D54" s="5"/>
      <c r="E54" s="14"/>
      <c r="F54" s="5"/>
      <c r="G54" s="5"/>
      <c r="H54" s="10"/>
      <c r="I54" s="5"/>
      <c r="J54" s="10"/>
      <c r="K54" s="5"/>
      <c r="L54" s="10"/>
      <c r="M54" s="5"/>
      <c r="N54" s="10"/>
      <c r="O54" s="5"/>
      <c r="P54" s="10"/>
      <c r="Q54" s="5"/>
      <c r="R54" s="10"/>
      <c r="S54" s="5"/>
      <c r="T54" s="5"/>
    </row>
    <row r="55" spans="1:20">
      <c r="A55" s="2"/>
      <c r="B55" s="2"/>
      <c r="C55" s="6"/>
      <c r="D55" s="6"/>
      <c r="E55" s="15"/>
      <c r="F55" s="6"/>
      <c r="G55" s="6"/>
      <c r="H55" s="11"/>
      <c r="I55" s="6"/>
      <c r="J55" s="11"/>
      <c r="K55" s="6"/>
      <c r="L55" s="11"/>
      <c r="M55" s="6"/>
      <c r="N55" s="11"/>
      <c r="O55" s="6"/>
      <c r="P55" s="11"/>
      <c r="Q55" s="6"/>
      <c r="R55" s="11"/>
      <c r="S55" s="6"/>
      <c r="T55" s="6"/>
    </row>
    <row r="56" spans="1:20">
      <c r="A56" s="1"/>
      <c r="B56" s="1"/>
      <c r="C56" s="5"/>
      <c r="D56" s="5"/>
      <c r="E56" s="14"/>
      <c r="F56" s="5"/>
      <c r="G56" s="5"/>
      <c r="H56" s="10"/>
      <c r="I56" s="5"/>
      <c r="J56" s="10"/>
      <c r="K56" s="5"/>
      <c r="L56" s="10"/>
      <c r="M56" s="5"/>
      <c r="N56" s="10"/>
      <c r="O56" s="5"/>
      <c r="P56" s="10"/>
      <c r="Q56" s="5"/>
      <c r="R56" s="10"/>
      <c r="S56" s="5"/>
      <c r="T56" s="5"/>
    </row>
    <row r="57" spans="1:20">
      <c r="A57" s="2"/>
      <c r="B57" s="2"/>
      <c r="C57" s="6"/>
      <c r="D57" s="6"/>
      <c r="E57" s="15"/>
      <c r="F57" s="6"/>
      <c r="G57" s="6"/>
      <c r="H57" s="11"/>
      <c r="I57" s="6"/>
      <c r="J57" s="11"/>
      <c r="K57" s="6"/>
      <c r="L57" s="11"/>
      <c r="M57" s="6"/>
      <c r="N57" s="11"/>
      <c r="O57" s="6"/>
      <c r="P57" s="11"/>
      <c r="Q57" s="6"/>
      <c r="R57" s="11"/>
      <c r="S57" s="6"/>
      <c r="T57" s="6"/>
    </row>
    <row r="58" spans="1:20">
      <c r="A58" s="1"/>
      <c r="B58" s="1"/>
      <c r="C58" s="5"/>
      <c r="D58" s="5"/>
      <c r="E58" s="14"/>
      <c r="F58" s="5"/>
      <c r="G58" s="5"/>
      <c r="H58" s="10"/>
      <c r="I58" s="5"/>
      <c r="J58" s="10"/>
      <c r="K58" s="5"/>
      <c r="L58" s="10"/>
      <c r="M58" s="5"/>
      <c r="N58" s="10"/>
      <c r="O58" s="5"/>
      <c r="P58" s="10"/>
      <c r="Q58" s="5"/>
      <c r="R58" s="10"/>
      <c r="S58" s="5"/>
      <c r="T58" s="5"/>
    </row>
    <row r="59" spans="1:20">
      <c r="A59" s="2"/>
      <c r="B59" s="2"/>
      <c r="C59" s="6"/>
      <c r="D59" s="6"/>
      <c r="E59" s="15"/>
      <c r="F59" s="6"/>
      <c r="G59" s="6"/>
      <c r="H59" s="11"/>
      <c r="I59" s="6"/>
      <c r="J59" s="11"/>
      <c r="K59" s="6"/>
      <c r="L59" s="11"/>
      <c r="M59" s="6"/>
      <c r="N59" s="11"/>
      <c r="O59" s="6"/>
      <c r="P59" s="11"/>
      <c r="Q59" s="6"/>
      <c r="R59" s="11"/>
      <c r="S59" s="6"/>
      <c r="T59" s="6"/>
    </row>
    <row r="60" spans="1:20">
      <c r="A60" s="1"/>
      <c r="B60" s="1"/>
      <c r="C60" s="5"/>
      <c r="D60" s="5"/>
      <c r="E60" s="14"/>
      <c r="F60" s="5"/>
      <c r="G60" s="5"/>
      <c r="H60" s="10"/>
      <c r="I60" s="5"/>
      <c r="J60" s="10"/>
      <c r="K60" s="5"/>
      <c r="L60" s="10"/>
      <c r="M60" s="5"/>
      <c r="N60" s="10"/>
      <c r="O60" s="5"/>
      <c r="P60" s="10"/>
      <c r="Q60" s="5"/>
      <c r="R60" s="10"/>
      <c r="S60" s="5"/>
      <c r="T60" s="5"/>
    </row>
  </sheetData>
  <conditionalFormatting sqref="J2:J60 L2:L60 N2:N60">
    <cfRule type="cellIs" dxfId="49" priority="5" operator="lessThan">
      <formula>-0.02</formula>
    </cfRule>
  </conditionalFormatting>
  <conditionalFormatting sqref="P2:P60">
    <cfRule type="cellIs" dxfId="48" priority="4" operator="between">
      <formula>-0.05</formula>
      <formula>0.05</formula>
    </cfRule>
  </conditionalFormatting>
  <conditionalFormatting sqref="H2:H60">
    <cfRule type="cellIs" dxfId="47" priority="2" operator="between">
      <formula>0</formula>
      <formula>0.05</formula>
    </cfRule>
    <cfRule type="cellIs" dxfId="46" priority="3" operator="between">
      <formula>-0.05</formula>
      <formula>0</formula>
    </cfRule>
  </conditionalFormatting>
  <conditionalFormatting sqref="R2:R60">
    <cfRule type="cellIs" dxfId="45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UpdateCurrentSheet">
                <anchor moveWithCells="1" sizeWithCells="1">
                  <from>
                    <xdr:col>23</xdr:col>
                    <xdr:colOff>38100</xdr:colOff>
                    <xdr:row>0</xdr:row>
                    <xdr:rowOff>28575</xdr:rowOff>
                  </from>
                  <to>
                    <xdr:col>24</xdr:col>
                    <xdr:colOff>419100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5"/>
  </sheetPr>
  <dimension ref="A1:Y60"/>
  <sheetViews>
    <sheetView zoomScale="80" zoomScaleNormal="80" workbookViewId="0">
      <pane ySplit="1" topLeftCell="A2" activePane="bottomLeft" state="frozen"/>
      <selection activeCell="D48" sqref="D48"/>
      <selection pane="bottomLeft" activeCell="F50" sqref="F50"/>
    </sheetView>
  </sheetViews>
  <sheetFormatPr defaultRowHeight="15"/>
  <cols>
    <col min="1" max="1" width="10.28515625" bestFit="1" customWidth="1"/>
    <col min="2" max="2" width="52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18" width="10.28515625" bestFit="1" customWidth="1"/>
    <col min="20" max="20" width="10.28515625" bestFit="1" customWidth="1"/>
    <col min="24" max="24" width="10.7109375" customWidth="1"/>
  </cols>
  <sheetData>
    <row r="1" spans="1:25" ht="30.75" thickBot="1">
      <c r="A1" s="3" t="s">
        <v>2</v>
      </c>
      <c r="B1" s="4" t="s">
        <v>3</v>
      </c>
      <c r="C1" s="3" t="s">
        <v>5</v>
      </c>
      <c r="D1" s="3" t="s">
        <v>6</v>
      </c>
      <c r="E1" s="3" t="s">
        <v>7</v>
      </c>
      <c r="F1" s="3" t="s">
        <v>8</v>
      </c>
      <c r="G1" s="27" t="s">
        <v>14</v>
      </c>
      <c r="H1" s="7" t="s">
        <v>15</v>
      </c>
      <c r="I1" s="3" t="s">
        <v>9</v>
      </c>
      <c r="J1" s="3" t="s">
        <v>16</v>
      </c>
      <c r="K1" s="3" t="s">
        <v>10</v>
      </c>
      <c r="L1" s="3" t="s">
        <v>17</v>
      </c>
      <c r="M1" s="3" t="s">
        <v>11</v>
      </c>
      <c r="N1" s="3" t="s">
        <v>18</v>
      </c>
      <c r="O1" s="3" t="s">
        <v>12</v>
      </c>
      <c r="P1" s="3" t="s">
        <v>19</v>
      </c>
      <c r="Q1" s="3" t="s">
        <v>13</v>
      </c>
      <c r="R1" s="3" t="s">
        <v>20</v>
      </c>
      <c r="S1" s="28" t="s">
        <v>115</v>
      </c>
      <c r="T1" s="29" t="s">
        <v>116</v>
      </c>
    </row>
    <row r="2" spans="1:25">
      <c r="A2" s="1" t="s">
        <v>259</v>
      </c>
      <c r="B2" s="1" t="s">
        <v>279</v>
      </c>
      <c r="C2" s="5">
        <v>31.184100000000001</v>
      </c>
      <c r="D2" s="5">
        <v>1.0000000045806701E-6</v>
      </c>
      <c r="E2" s="14">
        <v>-2.1090000000000002E-3</v>
      </c>
      <c r="F2" s="5">
        <v>32.709998999999996</v>
      </c>
      <c r="G2" s="5">
        <v>14</v>
      </c>
      <c r="H2" s="10">
        <v>1.2274357142857144</v>
      </c>
      <c r="I2" s="5">
        <v>32.742499899999999</v>
      </c>
      <c r="J2" s="10">
        <v>-9.9259067265045076E-4</v>
      </c>
      <c r="K2" s="5">
        <v>32.284250025000006</v>
      </c>
      <c r="L2" s="10">
        <v>1.31875442257543E-2</v>
      </c>
      <c r="M2" s="5">
        <v>32.213083366666659</v>
      </c>
      <c r="N2" s="10">
        <v>1.5425925785407468E-2</v>
      </c>
      <c r="O2" s="5">
        <v>33.599997999999999</v>
      </c>
      <c r="P2" s="10">
        <v>-2.6488037290954503E-2</v>
      </c>
      <c r="Q2" s="5">
        <v>27.83</v>
      </c>
      <c r="R2" s="10">
        <v>0.17535034135824668</v>
      </c>
      <c r="S2" s="30">
        <v>8.4000000000000005E-2</v>
      </c>
      <c r="T2" s="5" t="s">
        <v>299</v>
      </c>
    </row>
    <row r="3" spans="1:25">
      <c r="A3" s="2" t="s">
        <v>260</v>
      </c>
      <c r="B3" s="2" t="s">
        <v>280</v>
      </c>
      <c r="C3" s="6">
        <v>35.46</v>
      </c>
      <c r="D3" s="6">
        <v>4.1020000000031587E-3</v>
      </c>
      <c r="E3" s="15">
        <v>6.0000000000000001E-3</v>
      </c>
      <c r="F3" s="6">
        <v>35.455897999999998</v>
      </c>
      <c r="G3" s="6"/>
      <c r="H3" s="11" t="s">
        <v>21</v>
      </c>
      <c r="I3" s="6">
        <v>35.75</v>
      </c>
      <c r="J3" s="11">
        <v>-8.1118881118881214E-3</v>
      </c>
      <c r="K3" s="6">
        <v>35.608897349999992</v>
      </c>
      <c r="L3" s="11">
        <v>-4.181464776527033E-3</v>
      </c>
      <c r="M3" s="6">
        <v>35.345298991666688</v>
      </c>
      <c r="N3" s="11">
        <v>3.2451559784614226E-3</v>
      </c>
      <c r="O3" s="6">
        <v>36.340000000000003</v>
      </c>
      <c r="P3" s="11">
        <v>-2.4215740231150362E-2</v>
      </c>
      <c r="Q3" s="6">
        <v>30.09</v>
      </c>
      <c r="R3" s="11">
        <v>0.17846460618145565</v>
      </c>
      <c r="S3" s="31">
        <v>8.4000000000000005E-2</v>
      </c>
      <c r="T3" s="6" t="s">
        <v>300</v>
      </c>
      <c r="X3" t="s">
        <v>42</v>
      </c>
      <c r="Y3" t="s">
        <v>278</v>
      </c>
    </row>
    <row r="4" spans="1:25">
      <c r="A4" s="1" t="s">
        <v>0</v>
      </c>
      <c r="B4" s="1" t="s">
        <v>4</v>
      </c>
      <c r="C4" s="5">
        <v>17.91</v>
      </c>
      <c r="D4" s="5">
        <v>1.0000000000001563E-2</v>
      </c>
      <c r="E4" s="14">
        <v>9.5999999999999992E-3</v>
      </c>
      <c r="F4" s="5">
        <v>17.899999999999999</v>
      </c>
      <c r="G4" s="5"/>
      <c r="H4" s="10" t="s">
        <v>21</v>
      </c>
      <c r="I4" s="5">
        <v>17.530001000000002</v>
      </c>
      <c r="J4" s="10">
        <v>2.1677066647058263E-2</v>
      </c>
      <c r="K4" s="5">
        <v>17.771499900000002</v>
      </c>
      <c r="L4" s="10">
        <v>7.7933827071061668E-3</v>
      </c>
      <c r="M4" s="5">
        <v>18.378499900000008</v>
      </c>
      <c r="N4" s="10">
        <v>-2.5491737766911493E-2</v>
      </c>
      <c r="O4" s="5">
        <v>21.91</v>
      </c>
      <c r="P4" s="10">
        <v>-0.18256503879507069</v>
      </c>
      <c r="Q4" s="5">
        <v>17.049999</v>
      </c>
      <c r="R4" s="10">
        <v>5.0439944307328233E-2</v>
      </c>
      <c r="S4" s="30">
        <v>8.4000000000000005E-2</v>
      </c>
      <c r="T4" s="5" t="s">
        <v>301</v>
      </c>
      <c r="X4" t="s">
        <v>37</v>
      </c>
    </row>
    <row r="5" spans="1:25">
      <c r="A5" s="2" t="s">
        <v>261</v>
      </c>
      <c r="B5" s="2" t="s">
        <v>281</v>
      </c>
      <c r="C5" s="6">
        <v>40.020000000000003</v>
      </c>
      <c r="D5" s="6">
        <v>5.2980000000033556E-3</v>
      </c>
      <c r="E5" s="15">
        <v>7.6E-3</v>
      </c>
      <c r="F5" s="6">
        <v>40.014702</v>
      </c>
      <c r="G5" s="6"/>
      <c r="H5" s="11" t="s">
        <v>21</v>
      </c>
      <c r="I5" s="6">
        <v>38.029998999999997</v>
      </c>
      <c r="J5" s="11">
        <v>5.2327137847150818E-2</v>
      </c>
      <c r="K5" s="6">
        <v>38.482367449999998</v>
      </c>
      <c r="L5" s="11">
        <v>3.9956807543034989E-2</v>
      </c>
      <c r="M5" s="6">
        <v>37.342872374999999</v>
      </c>
      <c r="N5" s="11">
        <v>7.1690458037509286E-2</v>
      </c>
      <c r="O5" s="6">
        <v>40.014702</v>
      </c>
      <c r="P5" s="11">
        <v>1.324013358889875E-4</v>
      </c>
      <c r="Q5" s="6">
        <v>31.27</v>
      </c>
      <c r="R5" s="11">
        <v>0.27982091461464664</v>
      </c>
      <c r="S5" s="31">
        <v>8.4000000000000005E-2</v>
      </c>
      <c r="T5" s="6" t="s">
        <v>302</v>
      </c>
    </row>
    <row r="6" spans="1:25">
      <c r="A6" s="1" t="s">
        <v>262</v>
      </c>
      <c r="B6" s="1" t="s">
        <v>282</v>
      </c>
      <c r="C6" s="5">
        <v>35.229999999999997</v>
      </c>
      <c r="D6" s="5">
        <v>3.0998999999994226E-2</v>
      </c>
      <c r="E6" s="14">
        <v>8.0000000000000002E-3</v>
      </c>
      <c r="F6" s="5">
        <v>35.199001000000003</v>
      </c>
      <c r="G6" s="5"/>
      <c r="H6" s="10" t="s">
        <v>21</v>
      </c>
      <c r="I6" s="5">
        <v>34.970001000000003</v>
      </c>
      <c r="J6" s="10">
        <v>7.434915429370248E-3</v>
      </c>
      <c r="K6" s="5">
        <v>34.870975149999985</v>
      </c>
      <c r="L6" s="10">
        <v>1.0295807572218374E-2</v>
      </c>
      <c r="M6" s="5">
        <v>34.425658283333327</v>
      </c>
      <c r="N6" s="10">
        <v>2.3364599452149859E-2</v>
      </c>
      <c r="O6" s="5">
        <v>35.330002</v>
      </c>
      <c r="P6" s="10">
        <v>-2.8305121522496091E-3</v>
      </c>
      <c r="Q6" s="5">
        <v>28.959999</v>
      </c>
      <c r="R6" s="10">
        <v>0.21650556686828604</v>
      </c>
      <c r="S6" s="30">
        <v>8.4000000000000005E-2</v>
      </c>
      <c r="T6" s="5" t="s">
        <v>303</v>
      </c>
    </row>
    <row r="7" spans="1:25">
      <c r="A7" s="2" t="s">
        <v>263</v>
      </c>
      <c r="B7" s="2" t="s">
        <v>283</v>
      </c>
      <c r="C7" s="6">
        <v>32.2759</v>
      </c>
      <c r="D7" s="6">
        <v>1.590200000000408E-2</v>
      </c>
      <c r="E7" s="15">
        <v>1.3054E-2</v>
      </c>
      <c r="F7" s="6">
        <v>32.259997999999996</v>
      </c>
      <c r="G7" s="6"/>
      <c r="H7" s="11" t="s">
        <v>21</v>
      </c>
      <c r="I7" s="6">
        <v>31.17</v>
      </c>
      <c r="J7" s="11">
        <v>3.5479627847289086E-2</v>
      </c>
      <c r="K7" s="6">
        <v>31.624750149999993</v>
      </c>
      <c r="L7" s="11">
        <v>2.0589881245275388E-2</v>
      </c>
      <c r="M7" s="6">
        <v>31.078166716666658</v>
      </c>
      <c r="N7" s="11">
        <v>3.853938021032044E-2</v>
      </c>
      <c r="O7" s="6">
        <v>32.360001000000004</v>
      </c>
      <c r="P7" s="11">
        <v>-2.598918337487155E-3</v>
      </c>
      <c r="Q7" s="6">
        <v>26.41</v>
      </c>
      <c r="R7" s="11">
        <v>0.22210904960242339</v>
      </c>
      <c r="S7" s="31">
        <v>8.4000000000000005E-2</v>
      </c>
      <c r="T7" s="6" t="s">
        <v>304</v>
      </c>
    </row>
    <row r="8" spans="1:25">
      <c r="A8" s="1" t="s">
        <v>264</v>
      </c>
      <c r="B8" s="1" t="s">
        <v>284</v>
      </c>
      <c r="C8" s="5">
        <v>35.94</v>
      </c>
      <c r="D8" s="5">
        <v>2.0100999999996816E-2</v>
      </c>
      <c r="E8" s="14">
        <v>1.8700000000000001E-2</v>
      </c>
      <c r="F8" s="5">
        <v>35.919899000000001</v>
      </c>
      <c r="G8" s="5"/>
      <c r="H8" s="10" t="s">
        <v>21</v>
      </c>
      <c r="I8" s="5">
        <v>36.799999</v>
      </c>
      <c r="J8" s="10">
        <v>-2.3369538678520096E-2</v>
      </c>
      <c r="K8" s="5">
        <v>36.481747125000005</v>
      </c>
      <c r="L8" s="10">
        <v>-1.4849813062509876E-2</v>
      </c>
      <c r="M8" s="5">
        <v>35.677999008333352</v>
      </c>
      <c r="N8" s="10">
        <v>7.3434889553489757E-3</v>
      </c>
      <c r="O8" s="5">
        <v>37.310001</v>
      </c>
      <c r="P8" s="10">
        <v>-3.6719404001088085E-2</v>
      </c>
      <c r="Q8" s="5">
        <v>28.34</v>
      </c>
      <c r="R8" s="10">
        <v>0.26817219477769938</v>
      </c>
      <c r="S8" s="30">
        <v>8.4000000000000005E-2</v>
      </c>
      <c r="T8" s="5" t="s">
        <v>305</v>
      </c>
    </row>
    <row r="9" spans="1:25">
      <c r="A9" s="2" t="s">
        <v>265</v>
      </c>
      <c r="B9" s="2" t="s">
        <v>285</v>
      </c>
      <c r="C9" s="6">
        <v>33.17</v>
      </c>
      <c r="D9" s="6">
        <v>-3.4999999999953957E-3</v>
      </c>
      <c r="E9" s="15">
        <v>5.1999999999999998E-3</v>
      </c>
      <c r="F9" s="6">
        <v>33.173499999999997</v>
      </c>
      <c r="G9" s="6"/>
      <c r="H9" s="11" t="s">
        <v>21</v>
      </c>
      <c r="I9" s="6">
        <v>33.229999999999997</v>
      </c>
      <c r="J9" s="11">
        <v>-1.8055973517904222E-3</v>
      </c>
      <c r="K9" s="6">
        <v>33.091587675000007</v>
      </c>
      <c r="L9" s="11">
        <v>2.3695546363655673E-3</v>
      </c>
      <c r="M9" s="6">
        <v>33.235612408333324</v>
      </c>
      <c r="N9" s="11">
        <v>-1.9741597515101628E-3</v>
      </c>
      <c r="O9" s="6">
        <v>34.479999999999997</v>
      </c>
      <c r="P9" s="11">
        <v>-3.7993039443155352E-2</v>
      </c>
      <c r="Q9" s="6">
        <v>30.190001000000002</v>
      </c>
      <c r="R9" s="11">
        <v>9.8708145123943547E-2</v>
      </c>
      <c r="S9" s="31">
        <v>8.4000000000000005E-2</v>
      </c>
      <c r="T9" s="6" t="s">
        <v>306</v>
      </c>
    </row>
    <row r="10" spans="1:25">
      <c r="A10" s="1" t="s">
        <v>266</v>
      </c>
      <c r="B10" s="1" t="s">
        <v>286</v>
      </c>
      <c r="C10" s="5">
        <v>46.06</v>
      </c>
      <c r="D10" s="5">
        <v>3.9999999999999147E-2</v>
      </c>
      <c r="E10" s="14">
        <v>1.4999999999999999E-2</v>
      </c>
      <c r="F10" s="5">
        <v>46.02</v>
      </c>
      <c r="G10" s="5"/>
      <c r="H10" s="10" t="s">
        <v>21</v>
      </c>
      <c r="I10" s="5">
        <v>45</v>
      </c>
      <c r="J10" s="10">
        <v>2.3555555555555552E-2</v>
      </c>
      <c r="K10" s="5">
        <v>44.991750350000004</v>
      </c>
      <c r="L10" s="10">
        <v>2.374323385264776E-2</v>
      </c>
      <c r="M10" s="5">
        <v>43.415500250000029</v>
      </c>
      <c r="N10" s="10">
        <v>6.0911419533855815E-2</v>
      </c>
      <c r="O10" s="5">
        <v>46.02</v>
      </c>
      <c r="P10" s="10">
        <v>8.6918730986518256E-4</v>
      </c>
      <c r="Q10" s="5">
        <v>35.349997999999999</v>
      </c>
      <c r="R10" s="10">
        <v>0.30297037074797006</v>
      </c>
      <c r="S10" s="30">
        <v>8.4000000000000005E-2</v>
      </c>
      <c r="T10" s="5" t="s">
        <v>307</v>
      </c>
    </row>
    <row r="11" spans="1:25">
      <c r="A11" s="2" t="s">
        <v>267</v>
      </c>
      <c r="B11" s="2" t="s">
        <v>287</v>
      </c>
      <c r="C11" s="6">
        <v>36.244999999999997</v>
      </c>
      <c r="D11" s="6">
        <v>-5.000000000002558E-3</v>
      </c>
      <c r="E11" s="15">
        <v>8.77E-3</v>
      </c>
      <c r="F11" s="6">
        <v>36.25</v>
      </c>
      <c r="G11" s="6"/>
      <c r="H11" s="11" t="s">
        <v>21</v>
      </c>
      <c r="I11" s="6">
        <v>35.099997999999999</v>
      </c>
      <c r="J11" s="11">
        <v>3.2621141459894032E-2</v>
      </c>
      <c r="K11" s="6">
        <v>35.125499800000007</v>
      </c>
      <c r="L11" s="11">
        <v>3.1871438310466127E-2</v>
      </c>
      <c r="M11" s="6">
        <v>34.330166741666666</v>
      </c>
      <c r="N11" s="11">
        <v>5.5776986833253384E-2</v>
      </c>
      <c r="O11" s="6">
        <v>36.25</v>
      </c>
      <c r="P11" s="11">
        <v>-1.3793103448278554E-4</v>
      </c>
      <c r="Q11" s="6">
        <v>29.92</v>
      </c>
      <c r="R11" s="11">
        <v>0.21139705882352922</v>
      </c>
      <c r="S11" s="31">
        <v>8.4000000000000005E-2</v>
      </c>
      <c r="T11" s="6" t="s">
        <v>308</v>
      </c>
    </row>
    <row r="12" spans="1:25">
      <c r="A12" s="1" t="s">
        <v>268</v>
      </c>
      <c r="B12" s="1" t="s">
        <v>288</v>
      </c>
      <c r="C12" s="5">
        <v>25.02</v>
      </c>
      <c r="D12" s="5">
        <v>-4.4010000000014315E-3</v>
      </c>
      <c r="E12" s="14">
        <v>6.7999999999999996E-3</v>
      </c>
      <c r="F12" s="5">
        <v>25.024401000000001</v>
      </c>
      <c r="G12" s="5"/>
      <c r="H12" s="10" t="s">
        <v>21</v>
      </c>
      <c r="I12" s="5">
        <v>24.360001</v>
      </c>
      <c r="J12" s="10">
        <v>2.7093553895995326E-2</v>
      </c>
      <c r="K12" s="5">
        <v>24.447359825000003</v>
      </c>
      <c r="L12" s="10">
        <v>2.3423395372714761E-2</v>
      </c>
      <c r="M12" s="5">
        <v>24.205736566666669</v>
      </c>
      <c r="N12" s="10">
        <v>3.3639275181348571E-2</v>
      </c>
      <c r="O12" s="5">
        <v>25.024401000000001</v>
      </c>
      <c r="P12" s="10">
        <v>-1.7586834546012842E-4</v>
      </c>
      <c r="Q12" s="5">
        <v>22.1</v>
      </c>
      <c r="R12" s="10">
        <v>0.13212669683257916</v>
      </c>
      <c r="S12" s="30">
        <v>8.4000000000000005E-2</v>
      </c>
      <c r="T12" s="5" t="s">
        <v>126</v>
      </c>
    </row>
    <row r="13" spans="1:25">
      <c r="A13" s="2" t="s">
        <v>269</v>
      </c>
      <c r="B13" s="2" t="s">
        <v>289</v>
      </c>
      <c r="C13" s="6">
        <v>253.0556</v>
      </c>
      <c r="D13" s="6">
        <v>-0.1093930000000114</v>
      </c>
      <c r="E13" s="15">
        <v>9.6380000000000007E-3</v>
      </c>
      <c r="F13" s="6">
        <v>253.16499300000001</v>
      </c>
      <c r="G13" s="6"/>
      <c r="H13" s="11" t="s">
        <v>21</v>
      </c>
      <c r="I13" s="6">
        <v>249.52999900000003</v>
      </c>
      <c r="J13" s="11">
        <v>1.4128966513561325E-2</v>
      </c>
      <c r="K13" s="6">
        <v>249.61112445000003</v>
      </c>
      <c r="L13" s="11">
        <v>1.3799367145953978E-2</v>
      </c>
      <c r="M13" s="6">
        <v>242.92854159999999</v>
      </c>
      <c r="N13" s="11">
        <v>4.1687396356558937E-2</v>
      </c>
      <c r="O13" s="6">
        <v>253.61999500000002</v>
      </c>
      <c r="P13" s="11">
        <v>-2.2253568769292631E-3</v>
      </c>
      <c r="Q13" s="6">
        <v>198.529999</v>
      </c>
      <c r="R13" s="11">
        <v>0.2746466593192296</v>
      </c>
      <c r="S13" s="31">
        <v>0.21</v>
      </c>
      <c r="T13" s="6" t="s">
        <v>309</v>
      </c>
    </row>
    <row r="14" spans="1:25">
      <c r="A14" s="1" t="s">
        <v>270</v>
      </c>
      <c r="B14" s="1" t="s">
        <v>290</v>
      </c>
      <c r="C14" s="5">
        <v>28.85</v>
      </c>
      <c r="D14" s="5">
        <v>-1.0000000010279564E-6</v>
      </c>
      <c r="E14" s="14">
        <v>1.03E-2</v>
      </c>
      <c r="F14" s="5">
        <v>28.530001000000002</v>
      </c>
      <c r="G14" s="5"/>
      <c r="H14" s="10" t="s">
        <v>21</v>
      </c>
      <c r="I14" s="5">
        <v>28.342450050000007</v>
      </c>
      <c r="J14" s="10">
        <v>6.6172807809179446E-3</v>
      </c>
      <c r="K14" s="5">
        <v>28.388449925000003</v>
      </c>
      <c r="L14" s="10">
        <v>4.986185416039346E-3</v>
      </c>
      <c r="M14" s="5">
        <v>28.119875033333344</v>
      </c>
      <c r="N14" s="10">
        <v>1.4584878708760129E-2</v>
      </c>
      <c r="O14" s="5">
        <v>28.610001</v>
      </c>
      <c r="P14" s="10">
        <v>-2.7962599511968111E-3</v>
      </c>
      <c r="Q14" s="5">
        <v>24.59</v>
      </c>
      <c r="R14" s="10">
        <v>0.16022773485156572</v>
      </c>
      <c r="S14" s="30">
        <v>0.28999999999999998</v>
      </c>
      <c r="T14" s="5" t="s">
        <v>310</v>
      </c>
    </row>
    <row r="15" spans="1:25">
      <c r="A15" s="2" t="s">
        <v>271</v>
      </c>
      <c r="B15" s="2" t="s">
        <v>291</v>
      </c>
      <c r="C15" s="6">
        <v>28.62</v>
      </c>
      <c r="D15" s="6">
        <v>-1.0000000010279564E-6</v>
      </c>
      <c r="E15" s="15">
        <v>1.1299999999999999E-2</v>
      </c>
      <c r="F15" s="6">
        <v>28.620001000000002</v>
      </c>
      <c r="G15" s="6"/>
      <c r="H15" s="11" t="s">
        <v>21</v>
      </c>
      <c r="I15" s="6">
        <v>28.454999999999998</v>
      </c>
      <c r="J15" s="11">
        <v>5.7986294148657525E-3</v>
      </c>
      <c r="K15" s="6">
        <v>28.451525074999999</v>
      </c>
      <c r="L15" s="11">
        <v>5.9214725592351414E-3</v>
      </c>
      <c r="M15" s="6">
        <v>27.919691674999999</v>
      </c>
      <c r="N15" s="11">
        <v>2.5082953391891261E-2</v>
      </c>
      <c r="O15" s="6">
        <v>28.82</v>
      </c>
      <c r="P15" s="11">
        <v>-6.9396252602359487E-3</v>
      </c>
      <c r="Q15" s="6">
        <v>24.273001000000001</v>
      </c>
      <c r="R15" s="11">
        <v>0.17908782684102387</v>
      </c>
      <c r="S15" s="31">
        <v>0.28999999999999998</v>
      </c>
      <c r="T15" s="6" t="s">
        <v>311</v>
      </c>
    </row>
    <row r="16" spans="1:25">
      <c r="A16" s="1" t="s">
        <v>272</v>
      </c>
      <c r="B16" s="1" t="s">
        <v>292</v>
      </c>
      <c r="C16" s="5">
        <v>29.965699999999998</v>
      </c>
      <c r="D16" s="5">
        <v>0</v>
      </c>
      <c r="E16" s="14">
        <v>1.0985E-2</v>
      </c>
      <c r="F16" s="5">
        <v>29.965699999999998</v>
      </c>
      <c r="G16" s="5"/>
      <c r="H16" s="10" t="s">
        <v>21</v>
      </c>
      <c r="I16" s="5">
        <v>29.635999999999999</v>
      </c>
      <c r="J16" s="10">
        <v>1.1124983128627308E-2</v>
      </c>
      <c r="K16" s="5">
        <v>29.651192575</v>
      </c>
      <c r="L16" s="10">
        <v>1.0606906423897833E-2</v>
      </c>
      <c r="M16" s="5">
        <v>29.081430800000003</v>
      </c>
      <c r="N16" s="10">
        <v>3.0406660734175306E-2</v>
      </c>
      <c r="O16" s="5">
        <v>30</v>
      </c>
      <c r="P16" s="10">
        <v>-1.143333333333385E-3</v>
      </c>
      <c r="Q16" s="5">
        <v>24.9</v>
      </c>
      <c r="R16" s="10">
        <v>0.2034417670682731</v>
      </c>
      <c r="S16" s="30">
        <v>0.28999999999999998</v>
      </c>
      <c r="T16" s="5" t="s">
        <v>312</v>
      </c>
    </row>
    <row r="17" spans="1:20">
      <c r="A17" s="2" t="s">
        <v>273</v>
      </c>
      <c r="B17" s="2" t="s">
        <v>293</v>
      </c>
      <c r="C17" s="6">
        <v>29.59</v>
      </c>
      <c r="D17" s="6">
        <v>0</v>
      </c>
      <c r="E17" s="15">
        <v>9.4999999999999998E-3</v>
      </c>
      <c r="F17" s="6">
        <v>29.406300000000002</v>
      </c>
      <c r="G17" s="6"/>
      <c r="H17" s="11" t="s">
        <v>21</v>
      </c>
      <c r="I17" s="6">
        <v>29.033264750000001</v>
      </c>
      <c r="J17" s="11">
        <v>1.2848546424666152E-2</v>
      </c>
      <c r="K17" s="6">
        <v>29.013832274999999</v>
      </c>
      <c r="L17" s="11">
        <v>1.3526917825956275E-2</v>
      </c>
      <c r="M17" s="6">
        <v>28.48836073333333</v>
      </c>
      <c r="N17" s="11">
        <v>3.2221554453732315E-2</v>
      </c>
      <c r="O17" s="6">
        <v>29.406300000000002</v>
      </c>
      <c r="P17" s="11">
        <v>0</v>
      </c>
      <c r="Q17" s="6">
        <v>24.584999</v>
      </c>
      <c r="R17" s="11">
        <v>0.19610743120225482</v>
      </c>
      <c r="S17" s="31">
        <v>0.28999999999999998</v>
      </c>
      <c r="T17" s="6" t="s">
        <v>313</v>
      </c>
    </row>
    <row r="18" spans="1:20">
      <c r="A18" s="1" t="s">
        <v>274</v>
      </c>
      <c r="B18" s="1" t="s">
        <v>294</v>
      </c>
      <c r="C18" s="5">
        <v>28.48</v>
      </c>
      <c r="D18" s="5">
        <v>0</v>
      </c>
      <c r="E18" s="14">
        <v>8.0999999999999996E-3</v>
      </c>
      <c r="F18" s="5">
        <v>28.48</v>
      </c>
      <c r="G18" s="5"/>
      <c r="H18" s="10" t="s">
        <v>21</v>
      </c>
      <c r="I18" s="5">
        <v>28.27</v>
      </c>
      <c r="J18" s="10">
        <v>7.4283692960737113E-3</v>
      </c>
      <c r="K18" s="5">
        <v>28.137874849999996</v>
      </c>
      <c r="L18" s="10">
        <v>1.2158883775830187E-2</v>
      </c>
      <c r="M18" s="5">
        <v>27.705933225000003</v>
      </c>
      <c r="N18" s="10">
        <v>2.7938664571007132E-2</v>
      </c>
      <c r="O18" s="5">
        <v>28.48</v>
      </c>
      <c r="P18" s="10">
        <v>0</v>
      </c>
      <c r="Q18" s="5">
        <v>24.299999</v>
      </c>
      <c r="R18" s="10">
        <v>0.17201650913648181</v>
      </c>
      <c r="S18" s="30">
        <v>0.28999999999999998</v>
      </c>
      <c r="T18" s="5" t="s">
        <v>314</v>
      </c>
    </row>
    <row r="19" spans="1:20">
      <c r="A19" s="2" t="s">
        <v>275</v>
      </c>
      <c r="B19" s="2" t="s">
        <v>295</v>
      </c>
      <c r="C19" s="6">
        <v>26.874700000000001</v>
      </c>
      <c r="D19" s="6">
        <v>-1.0000000010279564E-6</v>
      </c>
      <c r="E19" s="15">
        <v>9.9469999999999992E-3</v>
      </c>
      <c r="F19" s="6">
        <v>26.874701000000002</v>
      </c>
      <c r="G19" s="6"/>
      <c r="H19" s="11" t="s">
        <v>21</v>
      </c>
      <c r="I19" s="6">
        <v>26.870001000000002</v>
      </c>
      <c r="J19" s="11">
        <v>1.7487904075630389E-4</v>
      </c>
      <c r="K19" s="6">
        <v>26.782117374999995</v>
      </c>
      <c r="L19" s="11">
        <v>3.4568822062750471E-3</v>
      </c>
      <c r="M19" s="6">
        <v>26.756880866666666</v>
      </c>
      <c r="N19" s="11">
        <v>4.4033209222122949E-3</v>
      </c>
      <c r="O19" s="6">
        <v>27.280001000000002</v>
      </c>
      <c r="P19" s="11">
        <v>-1.4857074235444578E-2</v>
      </c>
      <c r="Q19" s="6">
        <v>24.27</v>
      </c>
      <c r="R19" s="11">
        <v>0.10732179645653073</v>
      </c>
      <c r="S19" s="31">
        <v>0.28999999999999998</v>
      </c>
      <c r="T19" s="6" t="s">
        <v>315</v>
      </c>
    </row>
    <row r="20" spans="1:20">
      <c r="A20" s="1" t="s">
        <v>276</v>
      </c>
      <c r="B20" s="1" t="s">
        <v>296</v>
      </c>
      <c r="C20" s="5">
        <v>50.6</v>
      </c>
      <c r="D20" s="5">
        <v>9.9999999999980105E-3</v>
      </c>
      <c r="E20" s="14">
        <v>-2.3999999999999998E-3</v>
      </c>
      <c r="F20" s="5">
        <v>50.59</v>
      </c>
      <c r="G20" s="5"/>
      <c r="H20" s="10" t="s">
        <v>21</v>
      </c>
      <c r="I20" s="5">
        <v>50.27</v>
      </c>
      <c r="J20" s="10">
        <v>6.5645514223193757E-3</v>
      </c>
      <c r="K20" s="5">
        <v>50.400800099999998</v>
      </c>
      <c r="L20" s="10">
        <v>3.9523162252339539E-3</v>
      </c>
      <c r="M20" s="5">
        <v>50.251591558333338</v>
      </c>
      <c r="N20" s="10">
        <v>6.9332817302358851E-3</v>
      </c>
      <c r="O20" s="5">
        <v>51.200001</v>
      </c>
      <c r="P20" s="10">
        <v>-1.1718769302367815E-2</v>
      </c>
      <c r="Q20" s="5">
        <v>49.09</v>
      </c>
      <c r="R20" s="10">
        <v>3.0759828885720042E-2</v>
      </c>
      <c r="S20" s="30">
        <v>0.45</v>
      </c>
      <c r="T20" s="5" t="s">
        <v>316</v>
      </c>
    </row>
    <row r="21" spans="1:20">
      <c r="A21" s="2" t="s">
        <v>277</v>
      </c>
      <c r="B21" s="2" t="s">
        <v>297</v>
      </c>
      <c r="C21" s="6">
        <v>51.067300000000003</v>
      </c>
      <c r="D21" s="6">
        <v>1.0000000045806701E-6</v>
      </c>
      <c r="E21" s="15">
        <v>-1.4220000000000001E-3</v>
      </c>
      <c r="F21" s="6">
        <v>51.067298999999998</v>
      </c>
      <c r="G21" s="6"/>
      <c r="H21" s="11" t="s">
        <v>21</v>
      </c>
      <c r="I21" s="6">
        <v>50.869999</v>
      </c>
      <c r="J21" s="11">
        <v>3.8785335930515696E-3</v>
      </c>
      <c r="K21" s="6">
        <v>50.907457150000013</v>
      </c>
      <c r="L21" s="11">
        <v>3.1398710316448142E-3</v>
      </c>
      <c r="M21" s="6">
        <v>50.584552399999993</v>
      </c>
      <c r="N21" s="11">
        <v>9.5433798876514153E-3</v>
      </c>
      <c r="O21" s="6">
        <v>51.465000000000003</v>
      </c>
      <c r="P21" s="11">
        <v>-7.7275818517439365E-3</v>
      </c>
      <c r="Q21" s="6">
        <v>48.898997999999999</v>
      </c>
      <c r="R21" s="11">
        <v>4.4342462804657146E-2</v>
      </c>
      <c r="S21" s="31">
        <v>0.45</v>
      </c>
      <c r="T21" s="6" t="s">
        <v>317</v>
      </c>
    </row>
    <row r="22" spans="1:20">
      <c r="A22" s="1" t="s">
        <v>278</v>
      </c>
      <c r="B22" s="1" t="s">
        <v>298</v>
      </c>
      <c r="C22" s="5">
        <v>50.634599999999999</v>
      </c>
      <c r="D22" s="5">
        <v>9.9999999747524271E-7</v>
      </c>
      <c r="E22" s="14">
        <v>-5.1900000000000004E-4</v>
      </c>
      <c r="F22" s="5">
        <v>50.619999</v>
      </c>
      <c r="G22" s="5"/>
      <c r="H22" s="10" t="s">
        <v>21</v>
      </c>
      <c r="I22" s="5">
        <v>50.594050249999995</v>
      </c>
      <c r="J22" s="10">
        <v>5.1290121806379929E-4</v>
      </c>
      <c r="K22" s="5">
        <v>50.581925099999999</v>
      </c>
      <c r="L22" s="10">
        <v>7.5273726582625322E-4</v>
      </c>
      <c r="M22" s="5">
        <v>50.443283549999983</v>
      </c>
      <c r="N22" s="10">
        <v>3.5032701593433746E-3</v>
      </c>
      <c r="O22" s="5">
        <v>51.049999</v>
      </c>
      <c r="P22" s="10">
        <v>-8.4230951698941459E-3</v>
      </c>
      <c r="Q22" s="5">
        <v>49.849997999999999</v>
      </c>
      <c r="R22" s="10">
        <v>1.5446379757126483E-2</v>
      </c>
      <c r="S22" s="30">
        <v>0.45</v>
      </c>
      <c r="T22" s="5" t="s">
        <v>318</v>
      </c>
    </row>
    <row r="23" spans="1:20">
      <c r="A23" s="2"/>
      <c r="B23" s="2"/>
      <c r="C23" s="6"/>
      <c r="D23" s="6"/>
      <c r="E23" s="15"/>
      <c r="F23" s="6"/>
      <c r="G23" s="6"/>
      <c r="H23" s="11"/>
      <c r="I23" s="6"/>
      <c r="J23" s="11"/>
      <c r="K23" s="6"/>
      <c r="L23" s="11"/>
      <c r="M23" s="6"/>
      <c r="N23" s="11"/>
      <c r="O23" s="6"/>
      <c r="P23" s="11"/>
      <c r="Q23" s="6"/>
      <c r="R23" s="11"/>
      <c r="S23" s="18"/>
      <c r="T23" s="6"/>
    </row>
    <row r="24" spans="1:20">
      <c r="A24" s="1"/>
      <c r="B24" s="1"/>
      <c r="C24" s="5"/>
      <c r="D24" s="5"/>
      <c r="E24" s="14"/>
      <c r="F24" s="5"/>
      <c r="G24" s="5"/>
      <c r="H24" s="10"/>
      <c r="I24" s="5"/>
      <c r="J24" s="10"/>
      <c r="K24" s="5"/>
      <c r="L24" s="10"/>
      <c r="M24" s="5"/>
      <c r="N24" s="10"/>
      <c r="O24" s="5"/>
      <c r="P24" s="10"/>
      <c r="Q24" s="5"/>
      <c r="R24" s="10"/>
      <c r="S24" s="17"/>
      <c r="T24" s="5"/>
    </row>
    <row r="25" spans="1:20">
      <c r="A25" s="2"/>
      <c r="B25" s="2"/>
      <c r="C25" s="6"/>
      <c r="D25" s="6"/>
      <c r="E25" s="15"/>
      <c r="F25" s="6"/>
      <c r="G25" s="6"/>
      <c r="H25" s="11"/>
      <c r="I25" s="6"/>
      <c r="J25" s="11"/>
      <c r="K25" s="6"/>
      <c r="L25" s="11"/>
      <c r="M25" s="6"/>
      <c r="N25" s="11"/>
      <c r="O25" s="6"/>
      <c r="P25" s="11"/>
      <c r="Q25" s="6"/>
      <c r="R25" s="11"/>
      <c r="S25" s="18"/>
      <c r="T25" s="6"/>
    </row>
    <row r="26" spans="1:20">
      <c r="A26" s="1"/>
      <c r="B26" s="1"/>
      <c r="C26" s="5"/>
      <c r="D26" s="5"/>
      <c r="E26" s="14"/>
      <c r="F26" s="5"/>
      <c r="G26" s="5"/>
      <c r="H26" s="10"/>
      <c r="I26" s="5"/>
      <c r="J26" s="10"/>
      <c r="K26" s="5"/>
      <c r="L26" s="10"/>
      <c r="M26" s="5"/>
      <c r="N26" s="10"/>
      <c r="O26" s="5"/>
      <c r="P26" s="10"/>
      <c r="Q26" s="5"/>
      <c r="R26" s="10"/>
      <c r="S26" s="17"/>
      <c r="T26" s="5"/>
    </row>
    <row r="27" spans="1:20">
      <c r="A27" s="2"/>
      <c r="B27" s="2"/>
      <c r="C27" s="6"/>
      <c r="D27" s="6"/>
      <c r="E27" s="15"/>
      <c r="F27" s="6"/>
      <c r="G27" s="6"/>
      <c r="H27" s="11"/>
      <c r="I27" s="6"/>
      <c r="J27" s="11"/>
      <c r="K27" s="6"/>
      <c r="L27" s="11"/>
      <c r="M27" s="6"/>
      <c r="N27" s="11"/>
      <c r="O27" s="6"/>
      <c r="P27" s="11"/>
      <c r="Q27" s="6"/>
      <c r="R27" s="11"/>
      <c r="S27" s="18"/>
      <c r="T27" s="6"/>
    </row>
    <row r="28" spans="1:20">
      <c r="A28" s="1"/>
      <c r="B28" s="1"/>
      <c r="C28" s="5"/>
      <c r="D28" s="5"/>
      <c r="E28" s="14"/>
      <c r="F28" s="5"/>
      <c r="G28" s="5"/>
      <c r="H28" s="10"/>
      <c r="I28" s="5"/>
      <c r="J28" s="10"/>
      <c r="K28" s="5"/>
      <c r="L28" s="10"/>
      <c r="M28" s="5"/>
      <c r="N28" s="10"/>
      <c r="O28" s="5"/>
      <c r="P28" s="10"/>
      <c r="Q28" s="5"/>
      <c r="R28" s="10"/>
      <c r="S28" s="17"/>
      <c r="T28" s="5"/>
    </row>
    <row r="29" spans="1:20">
      <c r="A29" s="2"/>
      <c r="B29" s="2"/>
      <c r="C29" s="6"/>
      <c r="D29" s="6"/>
      <c r="E29" s="15"/>
      <c r="F29" s="6"/>
      <c r="G29" s="6"/>
      <c r="H29" s="11"/>
      <c r="I29" s="6"/>
      <c r="J29" s="11"/>
      <c r="K29" s="6"/>
      <c r="L29" s="11"/>
      <c r="M29" s="6"/>
      <c r="N29" s="11"/>
      <c r="O29" s="6"/>
      <c r="P29" s="11"/>
      <c r="Q29" s="6"/>
      <c r="R29" s="11"/>
      <c r="S29" s="18"/>
      <c r="T29" s="6"/>
    </row>
    <row r="30" spans="1:20">
      <c r="A30" s="1"/>
      <c r="B30" s="1"/>
      <c r="C30" s="5"/>
      <c r="D30" s="5"/>
      <c r="E30" s="14"/>
      <c r="F30" s="5"/>
      <c r="G30" s="5"/>
      <c r="H30" s="10"/>
      <c r="I30" s="5"/>
      <c r="J30" s="10"/>
      <c r="K30" s="5"/>
      <c r="L30" s="10"/>
      <c r="M30" s="5"/>
      <c r="N30" s="10"/>
      <c r="O30" s="5"/>
      <c r="P30" s="10"/>
      <c r="Q30" s="5"/>
      <c r="R30" s="10"/>
      <c r="S30" s="17"/>
      <c r="T30" s="5"/>
    </row>
    <row r="31" spans="1:20">
      <c r="A31" s="2"/>
      <c r="B31" s="2"/>
      <c r="C31" s="6"/>
      <c r="D31" s="6"/>
      <c r="E31" s="15"/>
      <c r="F31" s="6"/>
      <c r="G31" s="6"/>
      <c r="H31" s="11"/>
      <c r="I31" s="6"/>
      <c r="J31" s="11"/>
      <c r="K31" s="6"/>
      <c r="L31" s="11"/>
      <c r="M31" s="6"/>
      <c r="N31" s="11"/>
      <c r="O31" s="6"/>
      <c r="P31" s="11"/>
      <c r="Q31" s="6"/>
      <c r="R31" s="11"/>
      <c r="S31" s="18"/>
      <c r="T31" s="6"/>
    </row>
    <row r="32" spans="1:20">
      <c r="A32" s="1"/>
      <c r="B32" s="1"/>
      <c r="C32" s="5"/>
      <c r="D32" s="5"/>
      <c r="E32" s="14"/>
      <c r="F32" s="5"/>
      <c r="G32" s="5"/>
      <c r="H32" s="10"/>
      <c r="I32" s="5"/>
      <c r="J32" s="10"/>
      <c r="K32" s="5"/>
      <c r="L32" s="10"/>
      <c r="M32" s="5"/>
      <c r="N32" s="10"/>
      <c r="O32" s="5"/>
      <c r="P32" s="10"/>
      <c r="Q32" s="5"/>
      <c r="R32" s="10"/>
      <c r="S32" s="17"/>
      <c r="T32" s="5"/>
    </row>
    <row r="33" spans="1:20">
      <c r="A33" s="2"/>
      <c r="B33" s="2"/>
      <c r="C33" s="6"/>
      <c r="D33" s="6"/>
      <c r="E33" s="15"/>
      <c r="F33" s="6"/>
      <c r="G33" s="6"/>
      <c r="H33" s="11"/>
      <c r="I33" s="6"/>
      <c r="J33" s="11"/>
      <c r="K33" s="6"/>
      <c r="L33" s="11"/>
      <c r="M33" s="6"/>
      <c r="N33" s="11"/>
      <c r="O33" s="6"/>
      <c r="P33" s="11"/>
      <c r="Q33" s="6"/>
      <c r="R33" s="11"/>
      <c r="S33" s="18"/>
      <c r="T33" s="6"/>
    </row>
    <row r="34" spans="1:20">
      <c r="A34" s="1"/>
      <c r="B34" s="1"/>
      <c r="C34" s="5"/>
      <c r="D34" s="5"/>
      <c r="E34" s="14"/>
      <c r="F34" s="5"/>
      <c r="G34" s="5"/>
      <c r="H34" s="10"/>
      <c r="I34" s="5"/>
      <c r="J34" s="10"/>
      <c r="K34" s="5"/>
      <c r="L34" s="10"/>
      <c r="M34" s="5"/>
      <c r="N34" s="10"/>
      <c r="O34" s="5"/>
      <c r="P34" s="10"/>
      <c r="Q34" s="5"/>
      <c r="R34" s="10"/>
      <c r="S34" s="17"/>
      <c r="T34" s="5"/>
    </row>
    <row r="35" spans="1:20">
      <c r="A35" s="2"/>
      <c r="B35" s="2"/>
      <c r="C35" s="6"/>
      <c r="D35" s="6"/>
      <c r="E35" s="15"/>
      <c r="F35" s="6"/>
      <c r="G35" s="6"/>
      <c r="H35" s="11"/>
      <c r="I35" s="6"/>
      <c r="J35" s="11"/>
      <c r="K35" s="6"/>
      <c r="L35" s="11"/>
      <c r="M35" s="6"/>
      <c r="N35" s="11"/>
      <c r="O35" s="6"/>
      <c r="P35" s="11"/>
      <c r="Q35" s="6"/>
      <c r="R35" s="11"/>
      <c r="S35" s="18"/>
      <c r="T35" s="6"/>
    </row>
    <row r="36" spans="1:20">
      <c r="A36" s="1"/>
      <c r="B36" s="1"/>
      <c r="C36" s="5"/>
      <c r="D36" s="5"/>
      <c r="E36" s="14"/>
      <c r="F36" s="5"/>
      <c r="G36" s="5"/>
      <c r="H36" s="10"/>
      <c r="I36" s="5"/>
      <c r="J36" s="10"/>
      <c r="K36" s="5"/>
      <c r="L36" s="10"/>
      <c r="M36" s="5"/>
      <c r="N36" s="10"/>
      <c r="O36" s="5"/>
      <c r="P36" s="10"/>
      <c r="Q36" s="5"/>
      <c r="R36" s="10"/>
      <c r="S36" s="17"/>
      <c r="T36" s="5"/>
    </row>
    <row r="37" spans="1:20">
      <c r="A37" s="2"/>
      <c r="B37" s="2"/>
      <c r="C37" s="6"/>
      <c r="D37" s="6"/>
      <c r="E37" s="15"/>
      <c r="F37" s="6"/>
      <c r="G37" s="6"/>
      <c r="H37" s="11"/>
      <c r="I37" s="6"/>
      <c r="J37" s="11"/>
      <c r="K37" s="6"/>
      <c r="L37" s="11"/>
      <c r="M37" s="6"/>
      <c r="N37" s="11"/>
      <c r="O37" s="6"/>
      <c r="P37" s="11"/>
      <c r="Q37" s="6"/>
      <c r="R37" s="11"/>
      <c r="S37" s="18"/>
      <c r="T37" s="6"/>
    </row>
    <row r="38" spans="1:20">
      <c r="A38" s="1"/>
      <c r="B38" s="1"/>
      <c r="C38" s="5"/>
      <c r="D38" s="5"/>
      <c r="E38" s="14"/>
      <c r="F38" s="5"/>
      <c r="G38" s="5"/>
      <c r="H38" s="10"/>
      <c r="I38" s="5"/>
      <c r="J38" s="10"/>
      <c r="K38" s="5"/>
      <c r="L38" s="10"/>
      <c r="M38" s="5"/>
      <c r="N38" s="10"/>
      <c r="O38" s="5"/>
      <c r="P38" s="10"/>
      <c r="Q38" s="5"/>
      <c r="R38" s="10"/>
      <c r="S38" s="5"/>
      <c r="T38" s="5"/>
    </row>
    <row r="39" spans="1:20">
      <c r="A39" s="2"/>
      <c r="B39" s="2"/>
      <c r="C39" s="6"/>
      <c r="D39" s="6"/>
      <c r="E39" s="15"/>
      <c r="F39" s="6"/>
      <c r="G39" s="6"/>
      <c r="H39" s="11"/>
      <c r="I39" s="6"/>
      <c r="J39" s="11"/>
      <c r="K39" s="6"/>
      <c r="L39" s="11"/>
      <c r="M39" s="6"/>
      <c r="N39" s="11"/>
      <c r="O39" s="6"/>
      <c r="P39" s="11"/>
      <c r="Q39" s="6"/>
      <c r="R39" s="11"/>
      <c r="S39" s="6"/>
      <c r="T39" s="6"/>
    </row>
    <row r="40" spans="1:20">
      <c r="A40" s="1"/>
      <c r="B40" s="1"/>
      <c r="C40" s="5"/>
      <c r="D40" s="5"/>
      <c r="E40" s="14"/>
      <c r="F40" s="5"/>
      <c r="G40" s="5"/>
      <c r="H40" s="10"/>
      <c r="I40" s="5"/>
      <c r="J40" s="10"/>
      <c r="K40" s="5"/>
      <c r="L40" s="10"/>
      <c r="M40" s="5"/>
      <c r="N40" s="10"/>
      <c r="O40" s="5"/>
      <c r="P40" s="10"/>
      <c r="Q40" s="5"/>
      <c r="R40" s="10"/>
      <c r="S40" s="5"/>
      <c r="T40" s="5"/>
    </row>
    <row r="41" spans="1:20">
      <c r="A41" s="2"/>
      <c r="B41" s="2"/>
      <c r="C41" s="6"/>
      <c r="D41" s="6"/>
      <c r="E41" s="15"/>
      <c r="F41" s="6"/>
      <c r="G41" s="6"/>
      <c r="H41" s="11"/>
      <c r="I41" s="6"/>
      <c r="J41" s="11"/>
      <c r="K41" s="6"/>
      <c r="L41" s="11"/>
      <c r="M41" s="6"/>
      <c r="N41" s="11"/>
      <c r="O41" s="6"/>
      <c r="P41" s="11"/>
      <c r="Q41" s="6"/>
      <c r="R41" s="11"/>
      <c r="S41" s="6"/>
      <c r="T41" s="6"/>
    </row>
    <row r="42" spans="1:20">
      <c r="A42" s="1"/>
      <c r="B42" s="1"/>
      <c r="C42" s="5"/>
      <c r="D42" s="5"/>
      <c r="E42" s="14"/>
      <c r="F42" s="5"/>
      <c r="G42" s="5"/>
      <c r="H42" s="10"/>
      <c r="I42" s="5"/>
      <c r="J42" s="10"/>
      <c r="K42" s="5"/>
      <c r="L42" s="10"/>
      <c r="M42" s="5"/>
      <c r="N42" s="10"/>
      <c r="O42" s="5"/>
      <c r="P42" s="10"/>
      <c r="Q42" s="5"/>
      <c r="R42" s="10"/>
      <c r="S42" s="5"/>
      <c r="T42" s="5"/>
    </row>
    <row r="43" spans="1:20">
      <c r="A43" s="2"/>
      <c r="B43" s="2"/>
      <c r="C43" s="6"/>
      <c r="D43" s="6"/>
      <c r="E43" s="15"/>
      <c r="F43" s="6"/>
      <c r="G43" s="6"/>
      <c r="H43" s="11"/>
      <c r="I43" s="6"/>
      <c r="J43" s="11"/>
      <c r="K43" s="6"/>
      <c r="L43" s="11"/>
      <c r="M43" s="6"/>
      <c r="N43" s="11"/>
      <c r="O43" s="6"/>
      <c r="P43" s="11"/>
      <c r="Q43" s="6"/>
      <c r="R43" s="11"/>
      <c r="S43" s="6"/>
      <c r="T43" s="6"/>
    </row>
    <row r="44" spans="1:20">
      <c r="A44" s="1"/>
      <c r="B44" s="1"/>
      <c r="C44" s="5"/>
      <c r="D44" s="5"/>
      <c r="E44" s="14"/>
      <c r="F44" s="5"/>
      <c r="G44" s="5"/>
      <c r="H44" s="10"/>
      <c r="I44" s="5"/>
      <c r="J44" s="10"/>
      <c r="K44" s="5"/>
      <c r="L44" s="10"/>
      <c r="M44" s="5"/>
      <c r="N44" s="10"/>
      <c r="O44" s="5"/>
      <c r="P44" s="10"/>
      <c r="Q44" s="5"/>
      <c r="R44" s="10"/>
      <c r="S44" s="5"/>
      <c r="T44" s="5"/>
    </row>
    <row r="45" spans="1:20">
      <c r="A45" s="2"/>
      <c r="B45" s="2"/>
      <c r="C45" s="6"/>
      <c r="D45" s="6"/>
      <c r="E45" s="15"/>
      <c r="F45" s="6"/>
      <c r="G45" s="6"/>
      <c r="H45" s="11"/>
      <c r="I45" s="6"/>
      <c r="J45" s="11"/>
      <c r="K45" s="6"/>
      <c r="L45" s="11"/>
      <c r="M45" s="6"/>
      <c r="N45" s="11"/>
      <c r="O45" s="6"/>
      <c r="P45" s="11"/>
      <c r="Q45" s="6"/>
      <c r="R45" s="11"/>
      <c r="S45" s="6"/>
      <c r="T45" s="6"/>
    </row>
    <row r="46" spans="1:20">
      <c r="A46" s="1"/>
      <c r="B46" s="1"/>
      <c r="C46" s="5"/>
      <c r="D46" s="5"/>
      <c r="E46" s="14"/>
      <c r="F46" s="5"/>
      <c r="G46" s="5"/>
      <c r="H46" s="10"/>
      <c r="I46" s="5"/>
      <c r="J46" s="10"/>
      <c r="K46" s="5"/>
      <c r="L46" s="10"/>
      <c r="M46" s="5"/>
      <c r="N46" s="10"/>
      <c r="O46" s="5"/>
      <c r="P46" s="10"/>
      <c r="Q46" s="5"/>
      <c r="R46" s="10"/>
      <c r="S46" s="5"/>
      <c r="T46" s="5"/>
    </row>
    <row r="47" spans="1:20">
      <c r="A47" s="2"/>
      <c r="B47" s="2"/>
      <c r="C47" s="6"/>
      <c r="D47" s="6"/>
      <c r="E47" s="15"/>
      <c r="F47" s="6"/>
      <c r="G47" s="6"/>
      <c r="H47" s="11"/>
      <c r="I47" s="6"/>
      <c r="J47" s="11"/>
      <c r="K47" s="6"/>
      <c r="L47" s="11"/>
      <c r="M47" s="6"/>
      <c r="N47" s="11"/>
      <c r="O47" s="6"/>
      <c r="P47" s="11"/>
      <c r="Q47" s="6"/>
      <c r="R47" s="11"/>
      <c r="S47" s="6"/>
      <c r="T47" s="6"/>
    </row>
    <row r="48" spans="1:20">
      <c r="A48" s="1"/>
      <c r="B48" s="1"/>
      <c r="C48" s="5"/>
      <c r="D48" s="5"/>
      <c r="E48" s="14"/>
      <c r="F48" s="5"/>
      <c r="G48" s="5"/>
      <c r="H48" s="10"/>
      <c r="I48" s="5"/>
      <c r="J48" s="10"/>
      <c r="K48" s="5"/>
      <c r="L48" s="10"/>
      <c r="M48" s="5"/>
      <c r="N48" s="10"/>
      <c r="O48" s="5"/>
      <c r="P48" s="10"/>
      <c r="Q48" s="5"/>
      <c r="R48" s="10"/>
      <c r="S48" s="5"/>
      <c r="T48" s="5"/>
    </row>
    <row r="49" spans="1:20">
      <c r="A49" s="2"/>
      <c r="B49" s="2"/>
      <c r="C49" s="6"/>
      <c r="D49" s="6"/>
      <c r="E49" s="15"/>
      <c r="F49" s="6"/>
      <c r="G49" s="6"/>
      <c r="H49" s="11"/>
      <c r="I49" s="6"/>
      <c r="J49" s="11"/>
      <c r="K49" s="6"/>
      <c r="L49" s="11"/>
      <c r="M49" s="6"/>
      <c r="N49" s="11"/>
      <c r="O49" s="6"/>
      <c r="P49" s="11"/>
      <c r="Q49" s="6"/>
      <c r="R49" s="11"/>
      <c r="S49" s="6"/>
      <c r="T49" s="6"/>
    </row>
    <row r="50" spans="1:20">
      <c r="A50" s="1"/>
      <c r="B50" s="1"/>
      <c r="C50" s="5"/>
      <c r="D50" s="5"/>
      <c r="E50" s="14"/>
      <c r="F50" s="5"/>
      <c r="G50" s="5"/>
      <c r="H50" s="10"/>
      <c r="I50" s="5"/>
      <c r="J50" s="10"/>
      <c r="K50" s="5"/>
      <c r="L50" s="10"/>
      <c r="M50" s="5"/>
      <c r="N50" s="10"/>
      <c r="O50" s="5"/>
      <c r="P50" s="10"/>
      <c r="Q50" s="5"/>
      <c r="R50" s="10"/>
      <c r="S50" s="5"/>
      <c r="T50" s="5"/>
    </row>
    <row r="51" spans="1:20">
      <c r="A51" s="2"/>
      <c r="B51" s="2"/>
      <c r="C51" s="6"/>
      <c r="D51" s="6"/>
      <c r="E51" s="15"/>
      <c r="F51" s="6"/>
      <c r="G51" s="6"/>
      <c r="H51" s="11"/>
      <c r="I51" s="6"/>
      <c r="J51" s="11"/>
      <c r="K51" s="6"/>
      <c r="L51" s="11"/>
      <c r="M51" s="6"/>
      <c r="N51" s="11"/>
      <c r="O51" s="6"/>
      <c r="P51" s="11"/>
      <c r="Q51" s="6"/>
      <c r="R51" s="11"/>
      <c r="S51" s="6"/>
      <c r="T51" s="6"/>
    </row>
    <row r="52" spans="1:20">
      <c r="A52" s="1"/>
      <c r="B52" s="1"/>
      <c r="C52" s="5"/>
      <c r="D52" s="5"/>
      <c r="E52" s="14"/>
      <c r="F52" s="5"/>
      <c r="G52" s="5"/>
      <c r="H52" s="10"/>
      <c r="I52" s="5"/>
      <c r="J52" s="10"/>
      <c r="K52" s="5"/>
      <c r="L52" s="10"/>
      <c r="M52" s="5"/>
      <c r="N52" s="10"/>
      <c r="O52" s="5"/>
      <c r="P52" s="10"/>
      <c r="Q52" s="5"/>
      <c r="R52" s="10"/>
      <c r="S52" s="5"/>
      <c r="T52" s="5"/>
    </row>
    <row r="53" spans="1:20">
      <c r="A53" s="2"/>
      <c r="B53" s="2"/>
      <c r="C53" s="6"/>
      <c r="D53" s="6"/>
      <c r="E53" s="15"/>
      <c r="F53" s="6"/>
      <c r="G53" s="6"/>
      <c r="H53" s="11"/>
      <c r="I53" s="6"/>
      <c r="J53" s="11"/>
      <c r="K53" s="6"/>
      <c r="L53" s="11"/>
      <c r="M53" s="6"/>
      <c r="N53" s="11"/>
      <c r="O53" s="6"/>
      <c r="P53" s="11"/>
      <c r="Q53" s="6"/>
      <c r="R53" s="11"/>
      <c r="S53" s="6"/>
      <c r="T53" s="6"/>
    </row>
    <row r="54" spans="1:20">
      <c r="A54" s="1"/>
      <c r="B54" s="1"/>
      <c r="C54" s="5"/>
      <c r="D54" s="5"/>
      <c r="E54" s="14"/>
      <c r="F54" s="5"/>
      <c r="G54" s="5"/>
      <c r="H54" s="10"/>
      <c r="I54" s="5"/>
      <c r="J54" s="10"/>
      <c r="K54" s="5"/>
      <c r="L54" s="10"/>
      <c r="M54" s="5"/>
      <c r="N54" s="10"/>
      <c r="O54" s="5"/>
      <c r="P54" s="10"/>
      <c r="Q54" s="5"/>
      <c r="R54" s="10"/>
      <c r="S54" s="5"/>
      <c r="T54" s="5"/>
    </row>
    <row r="55" spans="1:20">
      <c r="A55" s="2"/>
      <c r="B55" s="2"/>
      <c r="C55" s="6"/>
      <c r="D55" s="6"/>
      <c r="E55" s="15"/>
      <c r="F55" s="6"/>
      <c r="G55" s="6"/>
      <c r="H55" s="11"/>
      <c r="I55" s="6"/>
      <c r="J55" s="11"/>
      <c r="K55" s="6"/>
      <c r="L55" s="11"/>
      <c r="M55" s="6"/>
      <c r="N55" s="11"/>
      <c r="O55" s="6"/>
      <c r="P55" s="11"/>
      <c r="Q55" s="6"/>
      <c r="R55" s="11"/>
      <c r="S55" s="6"/>
      <c r="T55" s="6"/>
    </row>
    <row r="56" spans="1:20">
      <c r="A56" s="1"/>
      <c r="B56" s="1"/>
      <c r="C56" s="5"/>
      <c r="D56" s="5"/>
      <c r="E56" s="14"/>
      <c r="F56" s="5"/>
      <c r="G56" s="5"/>
      <c r="H56" s="10"/>
      <c r="I56" s="5"/>
      <c r="J56" s="10"/>
      <c r="K56" s="5"/>
      <c r="L56" s="10"/>
      <c r="M56" s="5"/>
      <c r="N56" s="10"/>
      <c r="O56" s="5"/>
      <c r="P56" s="10"/>
      <c r="Q56" s="5"/>
      <c r="R56" s="10"/>
      <c r="S56" s="5"/>
      <c r="T56" s="5"/>
    </row>
    <row r="57" spans="1:20">
      <c r="A57" s="2"/>
      <c r="B57" s="2"/>
      <c r="C57" s="6"/>
      <c r="D57" s="6"/>
      <c r="E57" s="15"/>
      <c r="F57" s="6"/>
      <c r="G57" s="6"/>
      <c r="H57" s="11"/>
      <c r="I57" s="6"/>
      <c r="J57" s="11"/>
      <c r="K57" s="6"/>
      <c r="L57" s="11"/>
      <c r="M57" s="6"/>
      <c r="N57" s="11"/>
      <c r="O57" s="6"/>
      <c r="P57" s="11"/>
      <c r="Q57" s="6"/>
      <c r="R57" s="11"/>
      <c r="S57" s="6"/>
      <c r="T57" s="6"/>
    </row>
    <row r="58" spans="1:20">
      <c r="A58" s="1"/>
      <c r="B58" s="1"/>
      <c r="C58" s="5"/>
      <c r="D58" s="5"/>
      <c r="E58" s="14"/>
      <c r="F58" s="5"/>
      <c r="G58" s="5"/>
      <c r="H58" s="10"/>
      <c r="I58" s="5"/>
      <c r="J58" s="10"/>
      <c r="K58" s="5"/>
      <c r="L58" s="10"/>
      <c r="M58" s="5"/>
      <c r="N58" s="10"/>
      <c r="O58" s="5"/>
      <c r="P58" s="10"/>
      <c r="Q58" s="5"/>
      <c r="R58" s="10"/>
      <c r="S58" s="5"/>
      <c r="T58" s="5"/>
    </row>
    <row r="59" spans="1:20">
      <c r="A59" s="2"/>
      <c r="B59" s="2"/>
      <c r="C59" s="6"/>
      <c r="D59" s="6"/>
      <c r="E59" s="15"/>
      <c r="F59" s="6"/>
      <c r="G59" s="6"/>
      <c r="H59" s="11"/>
      <c r="I59" s="6"/>
      <c r="J59" s="11"/>
      <c r="K59" s="6"/>
      <c r="L59" s="11"/>
      <c r="M59" s="6"/>
      <c r="N59" s="11"/>
      <c r="O59" s="6"/>
      <c r="P59" s="11"/>
      <c r="Q59" s="6"/>
      <c r="R59" s="11"/>
      <c r="S59" s="6"/>
      <c r="T59" s="6"/>
    </row>
    <row r="60" spans="1:20">
      <c r="A60" s="1"/>
      <c r="B60" s="1"/>
      <c r="C60" s="5"/>
      <c r="D60" s="5"/>
      <c r="E60" s="14"/>
      <c r="F60" s="5"/>
      <c r="G60" s="5"/>
      <c r="H60" s="10"/>
      <c r="I60" s="5"/>
      <c r="J60" s="10"/>
      <c r="K60" s="5"/>
      <c r="L60" s="10"/>
      <c r="M60" s="5"/>
      <c r="N60" s="10"/>
      <c r="O60" s="5"/>
      <c r="P60" s="10"/>
      <c r="Q60" s="5"/>
      <c r="R60" s="10"/>
      <c r="S60" s="5"/>
      <c r="T60" s="5"/>
    </row>
  </sheetData>
  <conditionalFormatting sqref="J2:J60 L2:L60 N2:N60">
    <cfRule type="cellIs" dxfId="44" priority="5" operator="lessThan">
      <formula>-0.02</formula>
    </cfRule>
  </conditionalFormatting>
  <conditionalFormatting sqref="P2:P60">
    <cfRule type="cellIs" dxfId="43" priority="4" operator="between">
      <formula>-0.05</formula>
      <formula>0.05</formula>
    </cfRule>
  </conditionalFormatting>
  <conditionalFormatting sqref="H2:H60">
    <cfRule type="cellIs" dxfId="42" priority="2" operator="between">
      <formula>0</formula>
      <formula>0.05</formula>
    </cfRule>
    <cfRule type="cellIs" dxfId="41" priority="3" operator="between">
      <formula>-0.05</formula>
      <formula>0</formula>
    </cfRule>
  </conditionalFormatting>
  <conditionalFormatting sqref="R2:R60">
    <cfRule type="cellIs" dxfId="40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UpdateCurrentSheet">
                <anchor moveWithCells="1" sizeWithCells="1">
                  <from>
                    <xdr:col>23</xdr:col>
                    <xdr:colOff>38100</xdr:colOff>
                    <xdr:row>0</xdr:row>
                    <xdr:rowOff>28575</xdr:rowOff>
                  </from>
                  <to>
                    <xdr:col>24</xdr:col>
                    <xdr:colOff>419100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/>
  </sheetPr>
  <dimension ref="A1:Y60"/>
  <sheetViews>
    <sheetView zoomScale="80" zoomScaleNormal="80" workbookViewId="0">
      <pane ySplit="1" topLeftCell="A2" activePane="bottomLeft" state="frozen"/>
      <selection activeCell="D48" sqref="D48"/>
      <selection pane="bottomLeft" activeCell="R8" sqref="R8"/>
    </sheetView>
  </sheetViews>
  <sheetFormatPr defaultRowHeight="15"/>
  <cols>
    <col min="1" max="1" width="10.28515625" bestFit="1" customWidth="1"/>
    <col min="2" max="2" width="43.42578125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18" width="10.28515625" bestFit="1" customWidth="1"/>
    <col min="20" max="20" width="10.28515625" bestFit="1" customWidth="1"/>
    <col min="24" max="24" width="10.7109375" customWidth="1"/>
  </cols>
  <sheetData>
    <row r="1" spans="1:25" ht="30.75" thickBot="1">
      <c r="A1" s="3" t="s">
        <v>2</v>
      </c>
      <c r="B1" s="4" t="s">
        <v>3</v>
      </c>
      <c r="C1" s="3" t="s">
        <v>5</v>
      </c>
      <c r="D1" s="3" t="s">
        <v>6</v>
      </c>
      <c r="E1" s="3" t="s">
        <v>7</v>
      </c>
      <c r="F1" s="3" t="s">
        <v>8</v>
      </c>
      <c r="G1" s="27" t="s">
        <v>14</v>
      </c>
      <c r="H1" s="7" t="s">
        <v>15</v>
      </c>
      <c r="I1" s="3" t="s">
        <v>9</v>
      </c>
      <c r="J1" s="3" t="s">
        <v>16</v>
      </c>
      <c r="K1" s="3" t="s">
        <v>10</v>
      </c>
      <c r="L1" s="3" t="s">
        <v>17</v>
      </c>
      <c r="M1" s="3" t="s">
        <v>11</v>
      </c>
      <c r="N1" s="3" t="s">
        <v>18</v>
      </c>
      <c r="O1" s="3" t="s">
        <v>12</v>
      </c>
      <c r="P1" s="3" t="s">
        <v>19</v>
      </c>
      <c r="Q1" s="3" t="s">
        <v>13</v>
      </c>
      <c r="R1" s="3" t="s">
        <v>20</v>
      </c>
      <c r="S1" s="28" t="s">
        <v>115</v>
      </c>
      <c r="T1" s="29" t="s">
        <v>116</v>
      </c>
    </row>
    <row r="2" spans="1:25">
      <c r="A2" s="1" t="s">
        <v>319</v>
      </c>
      <c r="B2" s="1" t="s">
        <v>349</v>
      </c>
      <c r="C2" s="5">
        <v>56.904400000000003</v>
      </c>
      <c r="D2" s="5">
        <v>2.1000000000000796E-2</v>
      </c>
      <c r="E2" s="14">
        <v>1.0735E-2</v>
      </c>
      <c r="F2" s="5">
        <v>56.883400000000002</v>
      </c>
      <c r="G2" s="5"/>
      <c r="H2" s="10" t="s">
        <v>21</v>
      </c>
      <c r="I2" s="5">
        <v>56.23</v>
      </c>
      <c r="J2" s="10">
        <v>1.1993597723635174E-2</v>
      </c>
      <c r="K2" s="5">
        <v>56.25083472499999</v>
      </c>
      <c r="L2" s="10">
        <v>1.1618765804901843E-2</v>
      </c>
      <c r="M2" s="5">
        <v>55.324278208333325</v>
      </c>
      <c r="N2" s="10">
        <v>2.856109185404021E-2</v>
      </c>
      <c r="O2" s="5">
        <v>56.883400000000002</v>
      </c>
      <c r="P2" s="10">
        <v>3.6917624473931099E-4</v>
      </c>
      <c r="Q2" s="5">
        <v>47.459998999999996</v>
      </c>
      <c r="R2" s="10">
        <v>0.1989970754108108</v>
      </c>
      <c r="S2" s="30">
        <v>0.03</v>
      </c>
      <c r="T2" s="5" t="s">
        <v>381</v>
      </c>
    </row>
    <row r="3" spans="1:25">
      <c r="A3" s="2" t="s">
        <v>47</v>
      </c>
      <c r="B3" s="2" t="s">
        <v>68</v>
      </c>
      <c r="C3" s="6">
        <v>250.88</v>
      </c>
      <c r="D3" s="6">
        <v>7.999700000002008E-2</v>
      </c>
      <c r="E3" s="15">
        <v>1.0800000000000001E-2</v>
      </c>
      <c r="F3" s="6">
        <v>250.80000299999998</v>
      </c>
      <c r="G3" s="6"/>
      <c r="H3" s="11" t="s">
        <v>21</v>
      </c>
      <c r="I3" s="6">
        <v>248.16999799999999</v>
      </c>
      <c r="J3" s="11">
        <v>1.0919942063262633E-2</v>
      </c>
      <c r="K3" s="6">
        <v>247.856999925</v>
      </c>
      <c r="L3" s="11">
        <v>1.2196549122739153E-2</v>
      </c>
      <c r="M3" s="6">
        <v>243.41350005000004</v>
      </c>
      <c r="N3" s="11">
        <v>3.0674140704875619E-2</v>
      </c>
      <c r="O3" s="6">
        <v>250.80000299999998</v>
      </c>
      <c r="P3" s="11">
        <v>3.1896730080993585E-4</v>
      </c>
      <c r="Q3" s="6">
        <v>209.66999799999999</v>
      </c>
      <c r="R3" s="11">
        <v>0.19654696615201961</v>
      </c>
      <c r="S3" s="31">
        <v>0.04</v>
      </c>
      <c r="T3" s="6" t="s">
        <v>382</v>
      </c>
      <c r="X3" t="s">
        <v>42</v>
      </c>
      <c r="Y3" t="s">
        <v>348</v>
      </c>
    </row>
    <row r="4" spans="1:25">
      <c r="A4" s="1" t="s">
        <v>320</v>
      </c>
      <c r="B4" s="1" t="s">
        <v>350</v>
      </c>
      <c r="C4" s="5">
        <v>50.35</v>
      </c>
      <c r="D4" s="5">
        <v>2.0000000020559128E-6</v>
      </c>
      <c r="E4" s="14">
        <v>8.6E-3</v>
      </c>
      <c r="F4" s="5">
        <v>50.349997999999999</v>
      </c>
      <c r="G4" s="5"/>
      <c r="H4" s="10" t="s">
        <v>21</v>
      </c>
      <c r="I4" s="5">
        <v>49.52</v>
      </c>
      <c r="J4" s="10">
        <v>1.6760904684975708E-2</v>
      </c>
      <c r="K4" s="5">
        <v>49.513749850000011</v>
      </c>
      <c r="L4" s="10">
        <v>1.688925101680594E-2</v>
      </c>
      <c r="M4" s="5">
        <v>48.288083274999991</v>
      </c>
      <c r="N4" s="10">
        <v>4.2700322422354553E-2</v>
      </c>
      <c r="O4" s="5">
        <v>50.349997999999999</v>
      </c>
      <c r="P4" s="10">
        <v>3.972194795309747E-8</v>
      </c>
      <c r="Q4" s="5">
        <v>40.599997999999999</v>
      </c>
      <c r="R4" s="10">
        <v>0.24014784434225844</v>
      </c>
      <c r="S4" s="30">
        <v>0.05</v>
      </c>
      <c r="T4" s="5" t="s">
        <v>383</v>
      </c>
      <c r="X4" t="s">
        <v>37</v>
      </c>
    </row>
    <row r="5" spans="1:25">
      <c r="A5" s="2" t="s">
        <v>321</v>
      </c>
      <c r="B5" s="2" t="s">
        <v>351</v>
      </c>
      <c r="C5" s="6">
        <v>51.319699999999997</v>
      </c>
      <c r="D5" s="6">
        <v>-3.0000000000285354E-4</v>
      </c>
      <c r="E5" s="15">
        <v>1.1624000000000001E-2</v>
      </c>
      <c r="F5" s="6">
        <v>51.32</v>
      </c>
      <c r="G5" s="6"/>
      <c r="H5" s="11" t="s">
        <v>21</v>
      </c>
      <c r="I5" s="6">
        <v>51.220001000000003</v>
      </c>
      <c r="J5" s="11">
        <v>1.9464857097521993E-3</v>
      </c>
      <c r="K5" s="6">
        <v>51.126750074999997</v>
      </c>
      <c r="L5" s="11">
        <v>3.7739524753079845E-3</v>
      </c>
      <c r="M5" s="6">
        <v>50.752833258333318</v>
      </c>
      <c r="N5" s="11">
        <v>1.1169164463810555E-2</v>
      </c>
      <c r="O5" s="6">
        <v>52.07</v>
      </c>
      <c r="P5" s="11">
        <v>-1.4409448818897719E-2</v>
      </c>
      <c r="Q5" s="6">
        <v>44.490002000000004</v>
      </c>
      <c r="R5" s="11">
        <v>0.15351084947130356</v>
      </c>
      <c r="S5" s="31">
        <v>0.05</v>
      </c>
      <c r="T5" s="6" t="s">
        <v>384</v>
      </c>
    </row>
    <row r="6" spans="1:25">
      <c r="A6" s="1" t="s">
        <v>54</v>
      </c>
      <c r="B6" s="1" t="s">
        <v>76</v>
      </c>
      <c r="C6" s="5">
        <v>173.83</v>
      </c>
      <c r="D6" s="5">
        <v>0.16299300000000017</v>
      </c>
      <c r="E6" s="14">
        <v>1.23E-2</v>
      </c>
      <c r="F6" s="5">
        <v>173.66700700000001</v>
      </c>
      <c r="G6" s="5"/>
      <c r="H6" s="10" t="s">
        <v>21</v>
      </c>
      <c r="I6" s="5">
        <v>172.63999899999999</v>
      </c>
      <c r="J6" s="10">
        <v>6.8929622734765772E-3</v>
      </c>
      <c r="K6" s="5">
        <v>173.23917579999994</v>
      </c>
      <c r="L6" s="10">
        <v>3.410453768737387E-3</v>
      </c>
      <c r="M6" s="5">
        <v>172.76230875000002</v>
      </c>
      <c r="N6" s="10">
        <v>6.1801168190280809E-3</v>
      </c>
      <c r="O6" s="5">
        <v>178.75</v>
      </c>
      <c r="P6" s="10">
        <v>-2.7524475524475456E-2</v>
      </c>
      <c r="Q6" s="5">
        <v>147.25</v>
      </c>
      <c r="R6" s="10">
        <v>0.18050933786078116</v>
      </c>
      <c r="S6" s="30">
        <v>7.0000000000000007E-2</v>
      </c>
      <c r="T6" s="5" t="s">
        <v>385</v>
      </c>
    </row>
    <row r="7" spans="1:25">
      <c r="A7" s="2" t="s">
        <v>58</v>
      </c>
      <c r="B7" s="2" t="s">
        <v>80</v>
      </c>
      <c r="C7" s="6">
        <v>69.7</v>
      </c>
      <c r="D7" s="6">
        <v>3.1595999999993296E-2</v>
      </c>
      <c r="E7" s="15">
        <v>1.09E-2</v>
      </c>
      <c r="F7" s="6">
        <v>69.66840400000001</v>
      </c>
      <c r="G7" s="6"/>
      <c r="H7" s="11" t="s">
        <v>21</v>
      </c>
      <c r="I7" s="6">
        <v>69.209998999999996</v>
      </c>
      <c r="J7" s="11">
        <v>7.0799162993775422E-3</v>
      </c>
      <c r="K7" s="6">
        <v>69.437960050000001</v>
      </c>
      <c r="L7" s="11">
        <v>3.773727652876202E-3</v>
      </c>
      <c r="M7" s="6">
        <v>69.311570124999974</v>
      </c>
      <c r="N7" s="11">
        <v>5.6041130549995266E-3</v>
      </c>
      <c r="O7" s="6">
        <v>71.930000000000007</v>
      </c>
      <c r="P7" s="11">
        <v>-3.1002363408869749E-2</v>
      </c>
      <c r="Q7" s="6">
        <v>57.790001000000004</v>
      </c>
      <c r="R7" s="11">
        <v>0.20609099833723832</v>
      </c>
      <c r="S7" s="31">
        <v>7.0000000000000007E-2</v>
      </c>
      <c r="T7" s="6" t="s">
        <v>386</v>
      </c>
    </row>
    <row r="8" spans="1:25">
      <c r="A8" s="1" t="s">
        <v>322</v>
      </c>
      <c r="B8" s="1" t="s">
        <v>352</v>
      </c>
      <c r="C8" s="5">
        <v>84.614199999999997</v>
      </c>
      <c r="D8" s="5">
        <v>4.420000000000357E-2</v>
      </c>
      <c r="E8" s="14">
        <v>8.5120000000000005E-3</v>
      </c>
      <c r="F8" s="5">
        <v>84.57</v>
      </c>
      <c r="G8" s="5"/>
      <c r="H8" s="10" t="s">
        <v>21</v>
      </c>
      <c r="I8" s="5">
        <v>84.489998</v>
      </c>
      <c r="J8" s="10">
        <v>1.4700201555217784E-3</v>
      </c>
      <c r="K8" s="5">
        <v>84.006748849999994</v>
      </c>
      <c r="L8" s="10">
        <v>7.2309803475987255E-3</v>
      </c>
      <c r="M8" s="5">
        <v>83.889416233333336</v>
      </c>
      <c r="N8" s="10">
        <v>8.6397521786385489E-3</v>
      </c>
      <c r="O8" s="5">
        <v>85.82</v>
      </c>
      <c r="P8" s="10">
        <v>-1.4050337916569511E-2</v>
      </c>
      <c r="Q8" s="5">
        <v>77.860000999999997</v>
      </c>
      <c r="R8" s="10">
        <v>8.6747995289648161E-2</v>
      </c>
      <c r="S8" s="30">
        <v>0.08</v>
      </c>
      <c r="T8" s="5" t="s">
        <v>387</v>
      </c>
    </row>
    <row r="9" spans="1:25">
      <c r="A9" s="2" t="s">
        <v>323</v>
      </c>
      <c r="B9" s="2" t="s">
        <v>353</v>
      </c>
      <c r="C9" s="6">
        <v>32.159999999999997</v>
      </c>
      <c r="D9" s="6">
        <v>-1.0000000010279564E-6</v>
      </c>
      <c r="E9" s="15">
        <v>1.2E-2</v>
      </c>
      <c r="F9" s="6">
        <v>31.870001000000002</v>
      </c>
      <c r="G9" s="6"/>
      <c r="H9" s="11" t="s">
        <v>21</v>
      </c>
      <c r="I9" s="6">
        <v>31.620000049999998</v>
      </c>
      <c r="J9" s="11">
        <v>7.9063867680164712E-3</v>
      </c>
      <c r="K9" s="6">
        <v>31.629749975000003</v>
      </c>
      <c r="L9" s="11">
        <v>7.5956978853735091E-3</v>
      </c>
      <c r="M9" s="6">
        <v>31.135583350000008</v>
      </c>
      <c r="N9" s="11">
        <v>2.3587695202119674E-2</v>
      </c>
      <c r="O9" s="6">
        <v>31.870001000000002</v>
      </c>
      <c r="P9" s="11">
        <v>-3.137747006665137E-8</v>
      </c>
      <c r="Q9" s="6">
        <v>26.780001000000002</v>
      </c>
      <c r="R9" s="11">
        <v>0.1900671699004044</v>
      </c>
      <c r="S9" s="31">
        <v>0.08</v>
      </c>
      <c r="T9" s="6" t="s">
        <v>387</v>
      </c>
    </row>
    <row r="10" spans="1:25">
      <c r="A10" s="1" t="s">
        <v>324</v>
      </c>
      <c r="B10" s="1" t="s">
        <v>354</v>
      </c>
      <c r="C10" s="5">
        <v>50.824199999999998</v>
      </c>
      <c r="D10" s="5">
        <v>9.9989999999934298E-3</v>
      </c>
      <c r="E10" s="14">
        <v>8.0169999999999998E-3</v>
      </c>
      <c r="F10" s="5">
        <v>50.814201000000004</v>
      </c>
      <c r="G10" s="5"/>
      <c r="H10" s="10" t="s">
        <v>21</v>
      </c>
      <c r="I10" s="5">
        <v>50.02</v>
      </c>
      <c r="J10" s="10">
        <v>1.6077568972410861E-2</v>
      </c>
      <c r="K10" s="5">
        <v>49.882354650000003</v>
      </c>
      <c r="L10" s="10">
        <v>1.888133302063344E-2</v>
      </c>
      <c r="M10" s="5">
        <v>49.046951541666687</v>
      </c>
      <c r="N10" s="10">
        <v>3.6235655886247997E-2</v>
      </c>
      <c r="O10" s="5">
        <v>50.814201000000004</v>
      </c>
      <c r="P10" s="10">
        <v>1.9677570055653959E-4</v>
      </c>
      <c r="Q10" s="5">
        <v>43.5</v>
      </c>
      <c r="R10" s="10">
        <v>0.1683724137931033</v>
      </c>
      <c r="S10" s="30">
        <v>0.15</v>
      </c>
      <c r="T10" s="5" t="s">
        <v>388</v>
      </c>
    </row>
    <row r="11" spans="1:25">
      <c r="A11" s="2" t="s">
        <v>325</v>
      </c>
      <c r="B11" s="2" t="s">
        <v>355</v>
      </c>
      <c r="C11" s="6">
        <v>143.345</v>
      </c>
      <c r="D11" s="6">
        <v>-9.9999999747524271E-7</v>
      </c>
      <c r="E11" s="15">
        <v>9.0500000000000008E-3</v>
      </c>
      <c r="F11" s="6">
        <v>142.470001</v>
      </c>
      <c r="G11" s="6"/>
      <c r="H11" s="11" t="s">
        <v>21</v>
      </c>
      <c r="I11" s="6">
        <v>140.41949920000002</v>
      </c>
      <c r="J11" s="11">
        <v>1.4602678486122844E-2</v>
      </c>
      <c r="K11" s="6">
        <v>140.34424967499999</v>
      </c>
      <c r="L11" s="11">
        <v>1.5146686308293189E-2</v>
      </c>
      <c r="M11" s="6">
        <v>136.74866649166674</v>
      </c>
      <c r="N11" s="11">
        <v>4.1838312980418735E-2</v>
      </c>
      <c r="O11" s="6">
        <v>142.470001</v>
      </c>
      <c r="P11" s="11">
        <v>-7.0190214751519875E-9</v>
      </c>
      <c r="Q11" s="6">
        <v>116.489998</v>
      </c>
      <c r="R11" s="11">
        <v>0.22302345648593791</v>
      </c>
      <c r="S11" s="31">
        <v>0.18</v>
      </c>
      <c r="T11" s="6" t="s">
        <v>389</v>
      </c>
    </row>
    <row r="12" spans="1:25">
      <c r="A12" s="1" t="s">
        <v>61</v>
      </c>
      <c r="B12" s="1" t="s">
        <v>86</v>
      </c>
      <c r="C12" s="5">
        <v>105.95</v>
      </c>
      <c r="D12" s="5">
        <v>9.9999999747524271E-7</v>
      </c>
      <c r="E12" s="14">
        <v>1.2200000000000001E-2</v>
      </c>
      <c r="F12" s="5">
        <v>105.529999</v>
      </c>
      <c r="G12" s="5"/>
      <c r="H12" s="10" t="s">
        <v>21</v>
      </c>
      <c r="I12" s="5">
        <v>105.08599999999998</v>
      </c>
      <c r="J12" s="10">
        <v>4.2251108615802835E-3</v>
      </c>
      <c r="K12" s="5">
        <v>105.506749825</v>
      </c>
      <c r="L12" s="10">
        <v>2.2036670676106596E-4</v>
      </c>
      <c r="M12" s="5">
        <v>104.68658304166667</v>
      </c>
      <c r="N12" s="10">
        <v>8.0565907667236036E-3</v>
      </c>
      <c r="O12" s="5">
        <v>107.43</v>
      </c>
      <c r="P12" s="10">
        <v>-1.7685935027459743E-2</v>
      </c>
      <c r="Q12" s="5">
        <v>92.099997999999999</v>
      </c>
      <c r="R12" s="10">
        <v>0.14581978601128753</v>
      </c>
      <c r="S12" s="30">
        <v>0.18</v>
      </c>
      <c r="T12" s="5" t="s">
        <v>390</v>
      </c>
    </row>
    <row r="13" spans="1:25">
      <c r="A13" s="2" t="s">
        <v>326</v>
      </c>
      <c r="B13" s="2" t="s">
        <v>356</v>
      </c>
      <c r="C13" s="6">
        <v>197.19</v>
      </c>
      <c r="D13" s="6">
        <v>0.24000300000000152</v>
      </c>
      <c r="E13" s="15">
        <v>1.1299999999999999E-2</v>
      </c>
      <c r="F13" s="6">
        <v>196.949997</v>
      </c>
      <c r="G13" s="6"/>
      <c r="H13" s="11" t="s">
        <v>21</v>
      </c>
      <c r="I13" s="6">
        <v>195.86999499999999</v>
      </c>
      <c r="J13" s="11">
        <v>6.7391894302137878E-3</v>
      </c>
      <c r="K13" s="6">
        <v>196.18674994999998</v>
      </c>
      <c r="L13" s="11">
        <v>5.1137502927987022E-3</v>
      </c>
      <c r="M13" s="6">
        <v>194.94816670833336</v>
      </c>
      <c r="N13" s="11">
        <v>1.149963772175755E-2</v>
      </c>
      <c r="O13" s="6">
        <v>201.75</v>
      </c>
      <c r="P13" s="11">
        <v>-2.2602230483271368E-2</v>
      </c>
      <c r="Q13" s="6">
        <v>165</v>
      </c>
      <c r="R13" s="11">
        <v>0.19509090909090898</v>
      </c>
      <c r="S13" s="31">
        <v>0.25</v>
      </c>
      <c r="T13" s="6" t="s">
        <v>391</v>
      </c>
    </row>
    <row r="14" spans="1:25">
      <c r="A14" s="1" t="s">
        <v>327</v>
      </c>
      <c r="B14" s="1" t="s">
        <v>357</v>
      </c>
      <c r="C14" s="5">
        <v>147.66999999999999</v>
      </c>
      <c r="D14" s="5">
        <v>0.19000399999998763</v>
      </c>
      <c r="E14" s="14">
        <v>1.35E-2</v>
      </c>
      <c r="F14" s="5">
        <v>147.479996</v>
      </c>
      <c r="G14" s="5"/>
      <c r="H14" s="10" t="s">
        <v>21</v>
      </c>
      <c r="I14" s="5">
        <v>146.720001</v>
      </c>
      <c r="J14" s="10">
        <v>6.4749113517248436E-3</v>
      </c>
      <c r="K14" s="5">
        <v>147.48375014999996</v>
      </c>
      <c r="L14" s="10">
        <v>1.262849973713065E-3</v>
      </c>
      <c r="M14" s="5">
        <v>147.69116682499995</v>
      </c>
      <c r="N14" s="10">
        <v>-1.4331815134915882E-4</v>
      </c>
      <c r="O14" s="5">
        <v>152.69000199999999</v>
      </c>
      <c r="P14" s="10">
        <v>-3.2877083857789202E-2</v>
      </c>
      <c r="Q14" s="5">
        <v>127.529999</v>
      </c>
      <c r="R14" s="10">
        <v>0.15792363489315164</v>
      </c>
      <c r="S14" s="30">
        <v>0.25</v>
      </c>
      <c r="T14" s="5" t="s">
        <v>392</v>
      </c>
    </row>
    <row r="15" spans="1:25">
      <c r="A15" s="2" t="s">
        <v>328</v>
      </c>
      <c r="B15" s="2" t="s">
        <v>358</v>
      </c>
      <c r="C15" s="6">
        <v>155.28</v>
      </c>
      <c r="D15" s="6">
        <v>0.15899799999999686</v>
      </c>
      <c r="E15" s="15">
        <v>1.09E-2</v>
      </c>
      <c r="F15" s="6">
        <v>155.121002</v>
      </c>
      <c r="G15" s="6"/>
      <c r="H15" s="11" t="s">
        <v>21</v>
      </c>
      <c r="I15" s="6">
        <v>154.33999599999999</v>
      </c>
      <c r="J15" s="11">
        <v>6.0904757312552071E-3</v>
      </c>
      <c r="K15" s="6">
        <v>154.72227587499998</v>
      </c>
      <c r="L15" s="11">
        <v>3.6046789115913302E-3</v>
      </c>
      <c r="M15" s="6">
        <v>154.089091475</v>
      </c>
      <c r="N15" s="11">
        <v>7.7287010624838004E-3</v>
      </c>
      <c r="O15" s="6">
        <v>159.96000700000002</v>
      </c>
      <c r="P15" s="11">
        <v>-2.9257356809193058E-2</v>
      </c>
      <c r="Q15" s="6">
        <v>126.519997</v>
      </c>
      <c r="R15" s="11">
        <v>0.22731586849468544</v>
      </c>
      <c r="S15" s="31">
        <v>0.25</v>
      </c>
      <c r="T15" s="6" t="s">
        <v>393</v>
      </c>
    </row>
    <row r="16" spans="1:25">
      <c r="A16" s="1" t="s">
        <v>95</v>
      </c>
      <c r="B16" s="1" t="s">
        <v>359</v>
      </c>
      <c r="C16" s="5">
        <v>138.6</v>
      </c>
      <c r="D16" s="5">
        <v>0.12499399999998673</v>
      </c>
      <c r="E16" s="14">
        <v>1.06E-2</v>
      </c>
      <c r="F16" s="5">
        <v>138.47500600000001</v>
      </c>
      <c r="G16" s="5"/>
      <c r="H16" s="10" t="s">
        <v>21</v>
      </c>
      <c r="I16" s="5">
        <v>137.470001</v>
      </c>
      <c r="J16" s="10">
        <v>8.2199679332219944E-3</v>
      </c>
      <c r="K16" s="5">
        <v>138.04387510000004</v>
      </c>
      <c r="L16" s="10">
        <v>4.0286097416282196E-3</v>
      </c>
      <c r="M16" s="5">
        <v>138.16445770000001</v>
      </c>
      <c r="N16" s="10">
        <v>3.1523469005731997E-3</v>
      </c>
      <c r="O16" s="5">
        <v>144.60000600000001</v>
      </c>
      <c r="P16" s="10">
        <v>-4.1493815705650916E-2</v>
      </c>
      <c r="Q16" s="5">
        <v>117.099998</v>
      </c>
      <c r="R16" s="10">
        <v>0.18360377768751102</v>
      </c>
      <c r="S16" s="30">
        <v>0.25</v>
      </c>
      <c r="T16" s="5" t="s">
        <v>394</v>
      </c>
    </row>
    <row r="17" spans="1:20">
      <c r="A17" s="2" t="s">
        <v>329</v>
      </c>
      <c r="B17" s="2" t="s">
        <v>360</v>
      </c>
      <c r="C17" s="6">
        <v>88.186499999999995</v>
      </c>
      <c r="D17" s="6">
        <v>-3.3501000000001113E-2</v>
      </c>
      <c r="E17" s="15">
        <v>9.1140000000000006E-3</v>
      </c>
      <c r="F17" s="6">
        <v>88.220000999999996</v>
      </c>
      <c r="G17" s="6"/>
      <c r="H17" s="11" t="s">
        <v>21</v>
      </c>
      <c r="I17" s="6">
        <v>86.129997000000003</v>
      </c>
      <c r="J17" s="11">
        <v>2.3876733677350437E-2</v>
      </c>
      <c r="K17" s="6">
        <v>87.0487495</v>
      </c>
      <c r="L17" s="11">
        <v>1.3070268171974098E-2</v>
      </c>
      <c r="M17" s="6">
        <v>86.529499783333378</v>
      </c>
      <c r="N17" s="11">
        <v>1.914954114857581E-2</v>
      </c>
      <c r="O17" s="6">
        <v>90.129997000000003</v>
      </c>
      <c r="P17" s="11">
        <v>-2.1563264891709788E-2</v>
      </c>
      <c r="Q17" s="6">
        <v>71.230002999999996</v>
      </c>
      <c r="R17" s="11">
        <v>0.23805273460398424</v>
      </c>
      <c r="S17" s="31">
        <v>0.6</v>
      </c>
      <c r="T17" s="6" t="s">
        <v>395</v>
      </c>
    </row>
    <row r="18" spans="1:20">
      <c r="A18" s="1" t="s">
        <v>330</v>
      </c>
      <c r="B18" s="1" t="s">
        <v>361</v>
      </c>
      <c r="C18" s="5">
        <v>60.83</v>
      </c>
      <c r="D18" s="5">
        <v>-1.0000000000005116E-2</v>
      </c>
      <c r="E18" s="14">
        <v>8.3000000000000001E-3</v>
      </c>
      <c r="F18" s="5">
        <v>60.84</v>
      </c>
      <c r="G18" s="5"/>
      <c r="H18" s="10" t="s">
        <v>21</v>
      </c>
      <c r="I18" s="5">
        <v>59</v>
      </c>
      <c r="J18" s="10">
        <v>3.1016949152542272E-2</v>
      </c>
      <c r="K18" s="5">
        <v>59.417250124999988</v>
      </c>
      <c r="L18" s="10">
        <v>2.3776763011211566E-2</v>
      </c>
      <c r="M18" s="5">
        <v>57.613500116666678</v>
      </c>
      <c r="N18" s="10">
        <v>5.5828926845616911E-2</v>
      </c>
      <c r="O18" s="5">
        <v>60.84</v>
      </c>
      <c r="P18" s="10">
        <v>-1.6436554898102695E-4</v>
      </c>
      <c r="Q18" s="5">
        <v>49.419998</v>
      </c>
      <c r="R18" s="10">
        <v>0.23087823678179831</v>
      </c>
      <c r="S18" s="30">
        <v>0.11</v>
      </c>
      <c r="T18" s="5" t="s">
        <v>396</v>
      </c>
    </row>
    <row r="19" spans="1:20">
      <c r="A19" s="2" t="s">
        <v>331</v>
      </c>
      <c r="B19" s="2" t="s">
        <v>362</v>
      </c>
      <c r="C19" s="6">
        <v>81.86</v>
      </c>
      <c r="D19" s="6">
        <v>-9.9999999747524271E-7</v>
      </c>
      <c r="E19" s="15">
        <v>4.0000000000000001E-3</v>
      </c>
      <c r="F19" s="6">
        <v>81.220000999999996</v>
      </c>
      <c r="G19" s="6"/>
      <c r="H19" s="11" t="s">
        <v>21</v>
      </c>
      <c r="I19" s="6">
        <v>80.702499349999982</v>
      </c>
      <c r="J19" s="11">
        <v>6.4124488605445951E-3</v>
      </c>
      <c r="K19" s="6">
        <v>80.311749650000039</v>
      </c>
      <c r="L19" s="11">
        <v>1.1309059433496804E-2</v>
      </c>
      <c r="M19" s="6">
        <v>79.237333183333334</v>
      </c>
      <c r="N19" s="11">
        <v>2.5021877150753102E-2</v>
      </c>
      <c r="O19" s="6">
        <v>81.260002</v>
      </c>
      <c r="P19" s="11">
        <v>-4.9227170828769484E-4</v>
      </c>
      <c r="Q19" s="6">
        <v>71.919997999999993</v>
      </c>
      <c r="R19" s="11">
        <v>0.12931037623221298</v>
      </c>
      <c r="S19" s="31">
        <v>0.2</v>
      </c>
      <c r="T19" s="6" t="s">
        <v>397</v>
      </c>
    </row>
    <row r="20" spans="1:20">
      <c r="A20" s="1" t="s">
        <v>197</v>
      </c>
      <c r="B20" s="1" t="s">
        <v>220</v>
      </c>
      <c r="C20" s="5">
        <v>68.334999999999994</v>
      </c>
      <c r="D20" s="5">
        <v>1.999799999998686E-2</v>
      </c>
      <c r="E20" s="14">
        <v>9.5300000000000003E-3</v>
      </c>
      <c r="F20" s="5">
        <v>68.315002000000007</v>
      </c>
      <c r="G20" s="5"/>
      <c r="H20" s="10" t="s">
        <v>21</v>
      </c>
      <c r="I20" s="5">
        <v>66.940002000000007</v>
      </c>
      <c r="J20" s="10">
        <v>2.0839527312831452E-2</v>
      </c>
      <c r="K20" s="5">
        <v>67.13962494999997</v>
      </c>
      <c r="L20" s="10">
        <v>1.7804315274180249E-2</v>
      </c>
      <c r="M20" s="5">
        <v>65.60287506666667</v>
      </c>
      <c r="N20" s="10">
        <v>4.1646420687460717E-2</v>
      </c>
      <c r="O20" s="5">
        <v>68.315002000000007</v>
      </c>
      <c r="P20" s="10">
        <v>2.9273218787273514E-4</v>
      </c>
      <c r="Q20" s="5">
        <v>56.740002000000004</v>
      </c>
      <c r="R20" s="10">
        <v>0.20435314753778089</v>
      </c>
      <c r="S20" s="30">
        <v>0.33</v>
      </c>
      <c r="T20" s="5" t="s">
        <v>197</v>
      </c>
    </row>
    <row r="21" spans="1:20">
      <c r="A21" s="2" t="s">
        <v>332</v>
      </c>
      <c r="B21" s="2" t="s">
        <v>363</v>
      </c>
      <c r="C21" s="6">
        <v>63.744999999999997</v>
      </c>
      <c r="D21" s="6">
        <v>9.9989999999934298E-3</v>
      </c>
      <c r="E21" s="15">
        <v>7.0299999999999998E-3</v>
      </c>
      <c r="F21" s="6">
        <v>63.735001000000004</v>
      </c>
      <c r="G21" s="6"/>
      <c r="H21" s="11" t="s">
        <v>21</v>
      </c>
      <c r="I21" s="6">
        <v>62.209998999999996</v>
      </c>
      <c r="J21" s="11">
        <v>2.4674506103110616E-2</v>
      </c>
      <c r="K21" s="6">
        <v>62.457875149999985</v>
      </c>
      <c r="L21" s="11">
        <v>2.0607887266558933E-2</v>
      </c>
      <c r="M21" s="6">
        <v>60.942791750000005</v>
      </c>
      <c r="N21" s="11">
        <v>4.5980962957772542E-2</v>
      </c>
      <c r="O21" s="6">
        <v>63.735001000000004</v>
      </c>
      <c r="P21" s="11">
        <v>1.5688397023794209E-4</v>
      </c>
      <c r="Q21" s="6">
        <v>52.32</v>
      </c>
      <c r="R21" s="11">
        <v>0.21836773700305812</v>
      </c>
      <c r="S21" s="31">
        <v>0.08</v>
      </c>
      <c r="T21" s="6" t="s">
        <v>398</v>
      </c>
    </row>
    <row r="22" spans="1:20">
      <c r="A22" s="1" t="s">
        <v>333</v>
      </c>
      <c r="B22" s="1" t="s">
        <v>364</v>
      </c>
      <c r="C22" s="5">
        <v>71.739999999999995</v>
      </c>
      <c r="D22" s="5">
        <v>9.9999999747524271E-7</v>
      </c>
      <c r="E22" s="14">
        <v>1.8E-3</v>
      </c>
      <c r="F22" s="5">
        <v>50.619999</v>
      </c>
      <c r="G22" s="5"/>
      <c r="H22" s="10" t="s">
        <v>21</v>
      </c>
      <c r="I22" s="5">
        <v>50.594050249999995</v>
      </c>
      <c r="J22" s="10">
        <v>5.1290121806379929E-4</v>
      </c>
      <c r="K22" s="5">
        <v>50.581925099999999</v>
      </c>
      <c r="L22" s="10">
        <v>7.5273726582625322E-4</v>
      </c>
      <c r="M22" s="5">
        <v>50.443283549999983</v>
      </c>
      <c r="N22" s="10">
        <v>3.5032701593433746E-3</v>
      </c>
      <c r="O22" s="5">
        <v>51.049999</v>
      </c>
      <c r="P22" s="10">
        <v>-8.4230951698941459E-3</v>
      </c>
      <c r="Q22" s="5">
        <v>49.849997999999999</v>
      </c>
      <c r="R22" s="10">
        <v>1.5446379757126483E-2</v>
      </c>
      <c r="S22" s="30">
        <v>0.2</v>
      </c>
      <c r="T22" s="5" t="s">
        <v>399</v>
      </c>
    </row>
    <row r="23" spans="1:20">
      <c r="A23" s="2" t="s">
        <v>198</v>
      </c>
      <c r="B23" s="2" t="s">
        <v>221</v>
      </c>
      <c r="C23" s="6">
        <v>77.540000000000006</v>
      </c>
      <c r="D23" s="6">
        <v>-2.5002000000000635E-2</v>
      </c>
      <c r="E23" s="15">
        <v>5.7000000000000002E-3</v>
      </c>
      <c r="F23" s="6">
        <v>77.565002000000007</v>
      </c>
      <c r="G23" s="6"/>
      <c r="H23" s="11" t="s">
        <v>21</v>
      </c>
      <c r="I23" s="6">
        <v>75.25</v>
      </c>
      <c r="J23" s="11">
        <v>3.0431893687707712E-2</v>
      </c>
      <c r="K23" s="6">
        <v>75.704874800000013</v>
      </c>
      <c r="L23" s="11">
        <v>2.4240515618684899E-2</v>
      </c>
      <c r="M23" s="6">
        <v>73.756624724999966</v>
      </c>
      <c r="N23" s="11">
        <v>5.1295396028577356E-2</v>
      </c>
      <c r="O23" s="6">
        <v>77.565002000000007</v>
      </c>
      <c r="P23" s="11">
        <v>-3.2233609689069631E-4</v>
      </c>
      <c r="Q23" s="6">
        <v>62.599997999999999</v>
      </c>
      <c r="R23" s="11">
        <v>0.23865818653860038</v>
      </c>
      <c r="S23" s="31">
        <v>0.4</v>
      </c>
      <c r="T23" s="6" t="s">
        <v>400</v>
      </c>
    </row>
    <row r="24" spans="1:20">
      <c r="A24" s="1" t="s">
        <v>30</v>
      </c>
      <c r="B24" s="1" t="s">
        <v>32</v>
      </c>
      <c r="C24" s="5">
        <v>61.2</v>
      </c>
      <c r="D24" s="5">
        <v>0</v>
      </c>
      <c r="E24" s="14">
        <v>2.8E-3</v>
      </c>
      <c r="F24" s="5">
        <v>60.34</v>
      </c>
      <c r="G24" s="5"/>
      <c r="H24" s="10" t="s">
        <v>21</v>
      </c>
      <c r="I24" s="5">
        <v>59.686999999999998</v>
      </c>
      <c r="J24" s="10">
        <v>1.0940405783504081E-2</v>
      </c>
      <c r="K24" s="5">
        <v>59.395249924999995</v>
      </c>
      <c r="L24" s="10">
        <v>1.5906155394462829E-2</v>
      </c>
      <c r="M24" s="5">
        <v>57.486833283333318</v>
      </c>
      <c r="N24" s="10">
        <v>4.9631655697651489E-2</v>
      </c>
      <c r="O24" s="5">
        <v>60.34</v>
      </c>
      <c r="P24" s="10">
        <v>0</v>
      </c>
      <c r="Q24" s="5">
        <v>49.130001</v>
      </c>
      <c r="R24" s="10">
        <v>0.22817013579950873</v>
      </c>
      <c r="S24" s="30">
        <v>0.4</v>
      </c>
      <c r="T24" s="5" t="s">
        <v>401</v>
      </c>
    </row>
    <row r="25" spans="1:20">
      <c r="A25" s="2" t="s">
        <v>199</v>
      </c>
      <c r="B25" s="2" t="s">
        <v>222</v>
      </c>
      <c r="C25" s="6">
        <v>53.77</v>
      </c>
      <c r="D25" s="6">
        <v>0</v>
      </c>
      <c r="E25" s="15">
        <v>8.0999999999999996E-3</v>
      </c>
      <c r="F25" s="6">
        <v>53.77</v>
      </c>
      <c r="G25" s="6"/>
      <c r="H25" s="11" t="s">
        <v>21</v>
      </c>
      <c r="I25" s="6">
        <v>52.82</v>
      </c>
      <c r="J25" s="11">
        <v>1.7985611510791477E-2</v>
      </c>
      <c r="K25" s="6">
        <v>52.970999825</v>
      </c>
      <c r="L25" s="11">
        <v>1.5083728410633324E-2</v>
      </c>
      <c r="M25" s="6">
        <v>52.054333283333307</v>
      </c>
      <c r="N25" s="11">
        <v>3.2959152647835666E-2</v>
      </c>
      <c r="O25" s="6">
        <v>53.77</v>
      </c>
      <c r="P25" s="11">
        <v>0</v>
      </c>
      <c r="Q25" s="6">
        <v>44.810001</v>
      </c>
      <c r="R25" s="11">
        <v>0.19995534032681683</v>
      </c>
      <c r="S25" s="31">
        <v>0.4</v>
      </c>
      <c r="T25" s="6" t="s">
        <v>402</v>
      </c>
    </row>
    <row r="26" spans="1:20">
      <c r="A26" s="1" t="s">
        <v>334</v>
      </c>
      <c r="B26" s="1" t="s">
        <v>365</v>
      </c>
      <c r="C26" s="5">
        <v>54.835000000000001</v>
      </c>
      <c r="D26" s="5">
        <v>1.0000000045806701E-6</v>
      </c>
      <c r="E26" s="14">
        <v>1.302E-2</v>
      </c>
      <c r="F26" s="5">
        <v>54.834998999999996</v>
      </c>
      <c r="G26" s="5"/>
      <c r="H26" s="10" t="s">
        <v>21</v>
      </c>
      <c r="I26" s="5">
        <v>52.240002000000004</v>
      </c>
      <c r="J26" s="10">
        <v>4.9674538680147817E-2</v>
      </c>
      <c r="K26" s="5">
        <v>53.103875000000002</v>
      </c>
      <c r="L26" s="10">
        <v>3.2598845187851166E-2</v>
      </c>
      <c r="M26" s="5">
        <v>50.613125074999999</v>
      </c>
      <c r="N26" s="10">
        <v>8.3414626517210877E-2</v>
      </c>
      <c r="O26" s="5">
        <v>54.834998999999996</v>
      </c>
      <c r="P26" s="10">
        <v>1.823652828747413E-8</v>
      </c>
      <c r="Q26" s="5">
        <v>41.419998</v>
      </c>
      <c r="R26" s="10">
        <v>0.32387741785984647</v>
      </c>
      <c r="S26" s="30">
        <v>0.14000000000000001</v>
      </c>
      <c r="T26" s="5" t="s">
        <v>403</v>
      </c>
    </row>
    <row r="27" spans="1:20">
      <c r="A27" s="2" t="s">
        <v>335</v>
      </c>
      <c r="B27" s="2" t="s">
        <v>366</v>
      </c>
      <c r="C27" s="6">
        <v>58.53</v>
      </c>
      <c r="D27" s="6">
        <v>-1.0001000000002591E-2</v>
      </c>
      <c r="E27" s="15">
        <v>6.4999999999999997E-3</v>
      </c>
      <c r="F27" s="6">
        <v>58.540001000000004</v>
      </c>
      <c r="G27" s="6"/>
      <c r="H27" s="11" t="s">
        <v>21</v>
      </c>
      <c r="I27" s="6">
        <v>56.939999</v>
      </c>
      <c r="J27" s="11">
        <v>2.7924148716616637E-2</v>
      </c>
      <c r="K27" s="6">
        <v>57.515749924999987</v>
      </c>
      <c r="L27" s="11">
        <v>1.7634301496939342E-2</v>
      </c>
      <c r="M27" s="6">
        <v>55.756083175000001</v>
      </c>
      <c r="N27" s="11">
        <v>4.9750927020708824E-2</v>
      </c>
      <c r="O27" s="6">
        <v>58.540001000000004</v>
      </c>
      <c r="P27" s="11">
        <v>-1.7084044805537602E-4</v>
      </c>
      <c r="Q27" s="6">
        <v>47.950001</v>
      </c>
      <c r="R27" s="11">
        <v>0.22064648132124121</v>
      </c>
      <c r="S27" s="31">
        <v>0.25</v>
      </c>
      <c r="T27" s="6" t="s">
        <v>404</v>
      </c>
    </row>
    <row r="28" spans="1:20">
      <c r="A28" s="1" t="s">
        <v>336</v>
      </c>
      <c r="B28" s="1" t="s">
        <v>367</v>
      </c>
      <c r="C28" s="5">
        <v>43.5672</v>
      </c>
      <c r="D28" s="5">
        <v>2.7198999999995976E-2</v>
      </c>
      <c r="E28" s="14">
        <v>6.868E-3</v>
      </c>
      <c r="F28" s="5">
        <v>43.540001000000004</v>
      </c>
      <c r="G28" s="5"/>
      <c r="H28" s="10" t="s">
        <v>21</v>
      </c>
      <c r="I28" s="5">
        <v>41.450001</v>
      </c>
      <c r="J28" s="10">
        <v>5.1078382362403252E-2</v>
      </c>
      <c r="K28" s="5">
        <v>42.046749925000007</v>
      </c>
      <c r="L28" s="10">
        <v>3.6160941754405762E-2</v>
      </c>
      <c r="M28" s="5">
        <v>40.836416524999997</v>
      </c>
      <c r="N28" s="10">
        <v>6.6871280767944574E-2</v>
      </c>
      <c r="O28" s="5">
        <v>43.549999</v>
      </c>
      <c r="P28" s="10">
        <v>3.9497130642862643E-4</v>
      </c>
      <c r="Q28" s="5">
        <v>33.479999999999997</v>
      </c>
      <c r="R28" s="10">
        <v>0.30129032258064536</v>
      </c>
      <c r="S28" s="30">
        <v>0.49</v>
      </c>
      <c r="T28" s="5" t="s">
        <v>405</v>
      </c>
    </row>
    <row r="29" spans="1:20">
      <c r="A29" s="2" t="s">
        <v>337</v>
      </c>
      <c r="B29" s="2" t="s">
        <v>368</v>
      </c>
      <c r="C29" s="6">
        <v>50.413400000000003</v>
      </c>
      <c r="D29" s="6">
        <v>1.0000000045806701E-6</v>
      </c>
      <c r="E29" s="15">
        <v>8.0660000000000003E-3</v>
      </c>
      <c r="F29" s="6">
        <v>50.413398999999998</v>
      </c>
      <c r="G29" s="6"/>
      <c r="H29" s="11" t="s">
        <v>21</v>
      </c>
      <c r="I29" s="6">
        <v>47.529998999999997</v>
      </c>
      <c r="J29" s="11">
        <v>6.0664865572582993E-2</v>
      </c>
      <c r="K29" s="6">
        <v>48.522835049999983</v>
      </c>
      <c r="L29" s="11">
        <v>3.8962376127691156E-2</v>
      </c>
      <c r="M29" s="6">
        <v>47.254694966666669</v>
      </c>
      <c r="N29" s="11">
        <v>6.6844258238498266E-2</v>
      </c>
      <c r="O29" s="6">
        <v>50.413398999999998</v>
      </c>
      <c r="P29" s="11">
        <v>1.9835996400985323E-8</v>
      </c>
      <c r="Q29" s="6">
        <v>39.599997999999999</v>
      </c>
      <c r="R29" s="11">
        <v>0.27306572086190517</v>
      </c>
      <c r="S29" s="31">
        <v>0.71</v>
      </c>
      <c r="T29" s="6" t="s">
        <v>406</v>
      </c>
    </row>
    <row r="30" spans="1:20">
      <c r="A30" s="1" t="s">
        <v>338</v>
      </c>
      <c r="B30" s="1" t="s">
        <v>369</v>
      </c>
      <c r="C30" s="5">
        <v>19.940000000000001</v>
      </c>
      <c r="D30" s="5">
        <v>-1.0000000010279564E-6</v>
      </c>
      <c r="E30" s="14">
        <v>-3.0599999999999999E-2</v>
      </c>
      <c r="F30" s="5">
        <v>19.940001000000002</v>
      </c>
      <c r="G30" s="5"/>
      <c r="H30" s="10" t="s">
        <v>21</v>
      </c>
      <c r="I30" s="5">
        <v>18.52</v>
      </c>
      <c r="J30" s="10">
        <v>7.6673866090712917E-2</v>
      </c>
      <c r="K30" s="5">
        <v>18.846500025000005</v>
      </c>
      <c r="L30" s="10">
        <v>5.8021381877243039E-2</v>
      </c>
      <c r="M30" s="5">
        <v>18.624749925</v>
      </c>
      <c r="N30" s="10">
        <v>7.0618401873656422E-2</v>
      </c>
      <c r="O30" s="5">
        <v>23.280001000000002</v>
      </c>
      <c r="P30" s="10">
        <v>-0.14347082717049708</v>
      </c>
      <c r="Q30" s="5">
        <v>15.56</v>
      </c>
      <c r="R30" s="10">
        <v>0.28149100257069404</v>
      </c>
      <c r="S30" s="30">
        <v>0.39</v>
      </c>
      <c r="T30" s="5" t="s">
        <v>407</v>
      </c>
    </row>
    <row r="31" spans="1:20">
      <c r="A31" s="2" t="s">
        <v>339</v>
      </c>
      <c r="B31" s="2" t="s">
        <v>370</v>
      </c>
      <c r="C31" s="6">
        <v>11.68</v>
      </c>
      <c r="D31" s="6">
        <v>4.9999999999998934E-2</v>
      </c>
      <c r="E31" s="15">
        <v>-7.6E-3</v>
      </c>
      <c r="F31" s="6">
        <v>11.63</v>
      </c>
      <c r="G31" s="6"/>
      <c r="H31" s="11" t="s">
        <v>21</v>
      </c>
      <c r="I31" s="6">
        <v>10.79</v>
      </c>
      <c r="J31" s="11">
        <v>8.2483781278962054E-2</v>
      </c>
      <c r="K31" s="6">
        <v>11.093999999999998</v>
      </c>
      <c r="L31" s="11">
        <v>5.2821344871101683E-2</v>
      </c>
      <c r="M31" s="6">
        <v>11.258166666666666</v>
      </c>
      <c r="N31" s="11">
        <v>3.7469096507720456E-2</v>
      </c>
      <c r="O31" s="6">
        <v>15.1</v>
      </c>
      <c r="P31" s="11">
        <v>-0.22649006622516554</v>
      </c>
      <c r="Q31" s="6">
        <v>9.59</v>
      </c>
      <c r="R31" s="11">
        <v>0.2179353493222107</v>
      </c>
      <c r="S31" s="31">
        <v>0.39</v>
      </c>
      <c r="T31" s="6" t="s">
        <v>408</v>
      </c>
    </row>
    <row r="32" spans="1:20">
      <c r="A32" s="1" t="s">
        <v>340</v>
      </c>
      <c r="B32" s="1" t="s">
        <v>371</v>
      </c>
      <c r="C32" s="5">
        <v>29.92</v>
      </c>
      <c r="D32" s="5">
        <v>-1.4998999999995988E-2</v>
      </c>
      <c r="E32" s="14">
        <v>6.9999999999999999E-4</v>
      </c>
      <c r="F32" s="5">
        <v>29.934998999999998</v>
      </c>
      <c r="G32" s="5"/>
      <c r="H32" s="10" t="s">
        <v>21</v>
      </c>
      <c r="I32" s="5">
        <v>29.219998999999998</v>
      </c>
      <c r="J32" s="10">
        <v>2.3956229430398102E-2</v>
      </c>
      <c r="K32" s="5">
        <v>29.265124925000009</v>
      </c>
      <c r="L32" s="10">
        <v>2.2377320331906647E-2</v>
      </c>
      <c r="M32" s="5">
        <v>28.716791666666651</v>
      </c>
      <c r="N32" s="10">
        <v>4.1899121158788466E-2</v>
      </c>
      <c r="O32" s="5">
        <v>30.42</v>
      </c>
      <c r="P32" s="10">
        <v>-1.643655489809337E-2</v>
      </c>
      <c r="Q32" s="5">
        <v>25.799999</v>
      </c>
      <c r="R32" s="10">
        <v>0.15968996742984376</v>
      </c>
      <c r="S32" s="30">
        <v>0.48</v>
      </c>
      <c r="T32" s="5" t="s">
        <v>126</v>
      </c>
    </row>
    <row r="33" spans="1:20">
      <c r="A33" s="2" t="s">
        <v>341</v>
      </c>
      <c r="B33" s="2" t="s">
        <v>372</v>
      </c>
      <c r="C33" s="6">
        <v>49.18</v>
      </c>
      <c r="D33" s="6">
        <v>2.0000000000003126E-2</v>
      </c>
      <c r="E33" s="15">
        <v>8.2000000000000007E-3</v>
      </c>
      <c r="F33" s="6">
        <v>49.16</v>
      </c>
      <c r="G33" s="6"/>
      <c r="H33" s="11" t="s">
        <v>21</v>
      </c>
      <c r="I33" s="6">
        <v>47.889998999999996</v>
      </c>
      <c r="J33" s="11">
        <v>2.6936751449921914E-2</v>
      </c>
      <c r="K33" s="6">
        <v>48.079874699999998</v>
      </c>
      <c r="L33" s="11">
        <v>2.2881201477008117E-2</v>
      </c>
      <c r="M33" s="6">
        <v>46.853499891666658</v>
      </c>
      <c r="N33" s="11">
        <v>4.9654777417110996E-2</v>
      </c>
      <c r="O33" s="6">
        <v>49.16</v>
      </c>
      <c r="P33" s="11">
        <v>4.0683482506098656E-4</v>
      </c>
      <c r="Q33" s="6">
        <v>38.830002</v>
      </c>
      <c r="R33" s="11">
        <v>0.26654641944133806</v>
      </c>
      <c r="S33" s="31">
        <v>0.1</v>
      </c>
      <c r="T33" s="6" t="s">
        <v>409</v>
      </c>
    </row>
    <row r="34" spans="1:20">
      <c r="A34" s="1" t="s">
        <v>342</v>
      </c>
      <c r="B34" s="1" t="s">
        <v>373</v>
      </c>
      <c r="C34" s="5">
        <v>56.5</v>
      </c>
      <c r="D34" s="5">
        <v>-2.9998999999996556E-2</v>
      </c>
      <c r="E34" s="14">
        <v>4.7999999999999996E-3</v>
      </c>
      <c r="F34" s="5">
        <v>56.529998999999997</v>
      </c>
      <c r="G34" s="5"/>
      <c r="H34" s="10" t="s">
        <v>21</v>
      </c>
      <c r="I34" s="5">
        <v>55.419998</v>
      </c>
      <c r="J34" s="10">
        <v>1.9487586412399338E-2</v>
      </c>
      <c r="K34" s="5">
        <v>55.582749700000008</v>
      </c>
      <c r="L34" s="10">
        <v>1.6502427550826759E-2</v>
      </c>
      <c r="M34" s="5">
        <v>54.235274816666674</v>
      </c>
      <c r="N34" s="10">
        <v>4.1757420626867825E-2</v>
      </c>
      <c r="O34" s="5">
        <v>56.529998999999997</v>
      </c>
      <c r="P34" s="10">
        <v>-5.3067398780592967E-4</v>
      </c>
      <c r="Q34" s="5">
        <v>48.790001000000004</v>
      </c>
      <c r="R34" s="10">
        <v>0.15802416154900256</v>
      </c>
      <c r="S34" s="30">
        <v>0.1</v>
      </c>
      <c r="T34" s="5" t="s">
        <v>410</v>
      </c>
    </row>
    <row r="35" spans="1:20">
      <c r="A35" s="2" t="s">
        <v>343</v>
      </c>
      <c r="B35" s="2" t="s">
        <v>29</v>
      </c>
      <c r="C35" s="6">
        <v>55.26</v>
      </c>
      <c r="D35" s="6">
        <v>3.9998999999994567E-2</v>
      </c>
      <c r="E35" s="15">
        <v>5.3E-3</v>
      </c>
      <c r="F35" s="6">
        <v>55.220001000000003</v>
      </c>
      <c r="G35" s="6"/>
      <c r="H35" s="11" t="s">
        <v>21</v>
      </c>
      <c r="I35" s="6">
        <v>54.470001000000003</v>
      </c>
      <c r="J35" s="11">
        <v>1.450337773997834E-2</v>
      </c>
      <c r="K35" s="6">
        <v>54.494500250000002</v>
      </c>
      <c r="L35" s="11">
        <v>1.4047284523909243E-2</v>
      </c>
      <c r="M35" s="6">
        <v>53.352250158333305</v>
      </c>
      <c r="N35" s="11">
        <v>3.5757626641895524E-2</v>
      </c>
      <c r="O35" s="6">
        <v>55.220001000000003</v>
      </c>
      <c r="P35" s="11">
        <v>7.2435710386886676E-4</v>
      </c>
      <c r="Q35" s="6">
        <v>48.360001000000004</v>
      </c>
      <c r="R35" s="11">
        <v>0.14267987711580066</v>
      </c>
      <c r="S35" s="31">
        <v>0.48</v>
      </c>
      <c r="T35" s="6" t="s">
        <v>411</v>
      </c>
    </row>
    <row r="36" spans="1:20">
      <c r="A36" s="1" t="s">
        <v>206</v>
      </c>
      <c r="B36" s="1" t="s">
        <v>374</v>
      </c>
      <c r="C36" s="5">
        <v>35.76</v>
      </c>
      <c r="D36" s="5">
        <v>3.0000000000001137E-2</v>
      </c>
      <c r="E36" s="14">
        <v>1.4500000000000001E-2</v>
      </c>
      <c r="F36" s="5">
        <v>35.729999999999997</v>
      </c>
      <c r="G36" s="5"/>
      <c r="H36" s="10" t="s">
        <v>21</v>
      </c>
      <c r="I36" s="5">
        <v>33.279998999999997</v>
      </c>
      <c r="J36" s="10">
        <v>7.4519263056468388E-2</v>
      </c>
      <c r="K36" s="5">
        <v>33.725249925</v>
      </c>
      <c r="L36" s="10">
        <v>6.0333135544583971E-2</v>
      </c>
      <c r="M36" s="5">
        <v>31.946916608333325</v>
      </c>
      <c r="N36" s="10">
        <v>0.11935685181811984</v>
      </c>
      <c r="O36" s="5">
        <v>35.729999999999997</v>
      </c>
      <c r="P36" s="10">
        <v>8.3963056255242918E-4</v>
      </c>
      <c r="Q36" s="5">
        <v>26.639999</v>
      </c>
      <c r="R36" s="10">
        <v>0.34234239273057021</v>
      </c>
      <c r="S36" s="30">
        <v>0.49</v>
      </c>
      <c r="T36" s="5" t="s">
        <v>412</v>
      </c>
    </row>
    <row r="37" spans="1:20">
      <c r="A37" s="2" t="s">
        <v>344</v>
      </c>
      <c r="B37" s="2" t="s">
        <v>375</v>
      </c>
      <c r="C37" s="6">
        <v>33.9</v>
      </c>
      <c r="D37" s="6"/>
      <c r="E37" s="15">
        <v>8.0000000000000002E-3</v>
      </c>
      <c r="F37" s="6"/>
      <c r="G37" s="6"/>
      <c r="H37" s="11" t="s">
        <v>21</v>
      </c>
      <c r="I37" s="6"/>
      <c r="J37" s="11"/>
      <c r="K37" s="6"/>
      <c r="L37" s="11"/>
      <c r="M37" s="6"/>
      <c r="N37" s="11"/>
      <c r="O37" s="6"/>
      <c r="P37" s="11"/>
      <c r="Q37" s="6"/>
      <c r="R37" s="11"/>
      <c r="S37" s="31">
        <v>0.5</v>
      </c>
      <c r="T37" s="6" t="s">
        <v>413</v>
      </c>
    </row>
    <row r="38" spans="1:20">
      <c r="A38" s="1" t="s">
        <v>345</v>
      </c>
      <c r="B38" s="1" t="s">
        <v>376</v>
      </c>
      <c r="C38" s="5">
        <v>46.38</v>
      </c>
      <c r="D38" s="5">
        <v>0</v>
      </c>
      <c r="E38" s="14">
        <v>7.7999999999999996E-3</v>
      </c>
      <c r="F38" s="5">
        <v>45.57</v>
      </c>
      <c r="G38" s="5"/>
      <c r="H38" s="10" t="s">
        <v>21</v>
      </c>
      <c r="I38" s="5">
        <v>45.244500350000003</v>
      </c>
      <c r="J38" s="10">
        <v>7.1942368129167544E-3</v>
      </c>
      <c r="K38" s="5">
        <v>45.263999799999986</v>
      </c>
      <c r="L38" s="10">
        <v>6.7603437909173891E-3</v>
      </c>
      <c r="M38" s="5">
        <v>44.199666608333352</v>
      </c>
      <c r="N38" s="10">
        <v>3.1003251762272033E-2</v>
      </c>
      <c r="O38" s="5">
        <v>45.990002000000004</v>
      </c>
      <c r="P38" s="10">
        <v>-9.1324631818890945E-3</v>
      </c>
      <c r="Q38" s="5">
        <v>36.889998999999996</v>
      </c>
      <c r="R38" s="10">
        <v>0.23529415113294005</v>
      </c>
      <c r="S38" s="5">
        <v>0.6</v>
      </c>
      <c r="T38" s="5" t="s">
        <v>414</v>
      </c>
    </row>
    <row r="39" spans="1:20">
      <c r="A39" s="2" t="s">
        <v>346</v>
      </c>
      <c r="B39" s="2" t="s">
        <v>377</v>
      </c>
      <c r="C39" s="6">
        <v>62.79</v>
      </c>
      <c r="D39" s="6">
        <v>9.9999999747524271E-7</v>
      </c>
      <c r="E39" s="15">
        <v>2.0299999999999999E-2</v>
      </c>
      <c r="F39" s="6">
        <v>62.119999</v>
      </c>
      <c r="G39" s="6"/>
      <c r="H39" s="11" t="s">
        <v>21</v>
      </c>
      <c r="I39" s="6">
        <v>60.608499550000012</v>
      </c>
      <c r="J39" s="11">
        <v>2.4938753825328508E-2</v>
      </c>
      <c r="K39" s="6">
        <v>59.38349989999999</v>
      </c>
      <c r="L39" s="11">
        <v>4.6081825837281265E-2</v>
      </c>
      <c r="M39" s="6">
        <v>54.716999983333309</v>
      </c>
      <c r="N39" s="11">
        <v>0.13529616058851235</v>
      </c>
      <c r="O39" s="6">
        <v>62.119999</v>
      </c>
      <c r="P39" s="11">
        <v>1.6097875255027816E-8</v>
      </c>
      <c r="Q39" s="6">
        <v>42.799999</v>
      </c>
      <c r="R39" s="11">
        <v>0.45140190307013794</v>
      </c>
      <c r="S39" s="6">
        <v>0.64</v>
      </c>
      <c r="T39" s="6" t="s">
        <v>415</v>
      </c>
    </row>
    <row r="40" spans="1:20">
      <c r="A40" s="1" t="s">
        <v>210</v>
      </c>
      <c r="B40" s="1" t="s">
        <v>378</v>
      </c>
      <c r="C40" s="5">
        <v>72.885000000000005</v>
      </c>
      <c r="D40" s="5"/>
      <c r="E40" s="14">
        <v>1.2999999999999999E-2</v>
      </c>
      <c r="F40" s="5"/>
      <c r="G40" s="5"/>
      <c r="H40" s="10" t="s">
        <v>21</v>
      </c>
      <c r="I40" s="5"/>
      <c r="J40" s="10"/>
      <c r="K40" s="5"/>
      <c r="L40" s="10"/>
      <c r="M40" s="5"/>
      <c r="N40" s="10"/>
      <c r="O40" s="5"/>
      <c r="P40" s="10"/>
      <c r="Q40" s="5"/>
      <c r="R40" s="10"/>
      <c r="S40" s="5">
        <v>0.72</v>
      </c>
      <c r="T40" s="5" t="s">
        <v>416</v>
      </c>
    </row>
    <row r="41" spans="1:20">
      <c r="A41" s="2" t="s">
        <v>347</v>
      </c>
      <c r="B41" s="2" t="s">
        <v>379</v>
      </c>
      <c r="C41" s="6">
        <v>31.265000000000001</v>
      </c>
      <c r="D41" s="6">
        <v>-3.4998999999999114E-2</v>
      </c>
      <c r="E41" s="15">
        <v>8.5500000000000003E-3</v>
      </c>
      <c r="F41" s="6">
        <v>31.299999</v>
      </c>
      <c r="G41" s="6"/>
      <c r="H41" s="11" t="s">
        <v>21</v>
      </c>
      <c r="I41" s="6">
        <v>30.209999</v>
      </c>
      <c r="J41" s="11">
        <v>3.4922245445953237E-2</v>
      </c>
      <c r="K41" s="6">
        <v>29.883499950000004</v>
      </c>
      <c r="L41" s="11">
        <v>4.6229526404586885E-2</v>
      </c>
      <c r="M41" s="6">
        <v>29.174749941666668</v>
      </c>
      <c r="N41" s="11">
        <v>7.1645860290582508E-2</v>
      </c>
      <c r="O41" s="6">
        <v>31.299999</v>
      </c>
      <c r="P41" s="11">
        <v>-1.1181789494625338E-3</v>
      </c>
      <c r="Q41" s="6">
        <v>24.610001</v>
      </c>
      <c r="R41" s="11">
        <v>0.27041847743118752</v>
      </c>
      <c r="S41" s="6">
        <v>0.79</v>
      </c>
      <c r="T41" s="6" t="s">
        <v>417</v>
      </c>
    </row>
    <row r="42" spans="1:20">
      <c r="A42" s="1" t="s">
        <v>348</v>
      </c>
      <c r="B42" s="1" t="s">
        <v>380</v>
      </c>
      <c r="C42" s="5">
        <v>35.590000000000003</v>
      </c>
      <c r="D42" s="5">
        <v>2.0000000000003126E-2</v>
      </c>
      <c r="E42" s="14">
        <v>9.1000000000000004E-3</v>
      </c>
      <c r="F42" s="5">
        <v>35.57</v>
      </c>
      <c r="G42" s="5"/>
      <c r="H42" s="10" t="s">
        <v>21</v>
      </c>
      <c r="I42" s="5">
        <v>34.779998999999997</v>
      </c>
      <c r="J42" s="10">
        <v>2.3289276115275426E-2</v>
      </c>
      <c r="K42" s="5">
        <v>35.288499850000008</v>
      </c>
      <c r="L42" s="10">
        <v>8.5438641846939944E-3</v>
      </c>
      <c r="M42" s="5">
        <v>34.035916749999998</v>
      </c>
      <c r="N42" s="10">
        <v>4.56600966977041E-2</v>
      </c>
      <c r="O42" s="5">
        <v>36.099997999999999</v>
      </c>
      <c r="P42" s="10">
        <v>-1.4127369203732254E-2</v>
      </c>
      <c r="Q42" s="5">
        <v>26.700001</v>
      </c>
      <c r="R42" s="10">
        <v>0.33295875157457866</v>
      </c>
      <c r="S42" s="5">
        <v>0.93</v>
      </c>
      <c r="T42" s="5" t="s">
        <v>418</v>
      </c>
    </row>
    <row r="43" spans="1:20">
      <c r="A43" s="2"/>
      <c r="B43" s="2"/>
      <c r="C43" s="6"/>
      <c r="D43" s="6"/>
      <c r="E43" s="15"/>
      <c r="F43" s="6"/>
      <c r="G43" s="6"/>
      <c r="H43" s="11"/>
      <c r="I43" s="6"/>
      <c r="J43" s="11"/>
      <c r="K43" s="6"/>
      <c r="L43" s="11"/>
      <c r="M43" s="6"/>
      <c r="N43" s="11"/>
      <c r="O43" s="6"/>
      <c r="P43" s="11"/>
      <c r="Q43" s="6"/>
      <c r="R43" s="11"/>
      <c r="S43" s="6"/>
      <c r="T43" s="6"/>
    </row>
    <row r="44" spans="1:20">
      <c r="A44" s="1"/>
      <c r="B44" s="1"/>
      <c r="C44" s="5"/>
      <c r="D44" s="5"/>
      <c r="E44" s="14"/>
      <c r="F44" s="5"/>
      <c r="G44" s="5"/>
      <c r="H44" s="10"/>
      <c r="I44" s="5"/>
      <c r="J44" s="10"/>
      <c r="K44" s="5"/>
      <c r="L44" s="10"/>
      <c r="M44" s="5"/>
      <c r="N44" s="10"/>
      <c r="O44" s="5"/>
      <c r="P44" s="10"/>
      <c r="Q44" s="5"/>
      <c r="R44" s="10"/>
      <c r="S44" s="5"/>
      <c r="T44" s="5"/>
    </row>
    <row r="45" spans="1:20">
      <c r="A45" s="2"/>
      <c r="B45" s="2"/>
      <c r="C45" s="6"/>
      <c r="D45" s="6"/>
      <c r="E45" s="15"/>
      <c r="F45" s="6"/>
      <c r="G45" s="6"/>
      <c r="H45" s="11"/>
      <c r="I45" s="6"/>
      <c r="J45" s="11"/>
      <c r="K45" s="6"/>
      <c r="L45" s="11"/>
      <c r="M45" s="6"/>
      <c r="N45" s="11"/>
      <c r="O45" s="6"/>
      <c r="P45" s="11"/>
      <c r="Q45" s="6"/>
      <c r="R45" s="11"/>
      <c r="S45" s="6"/>
      <c r="T45" s="6"/>
    </row>
    <row r="46" spans="1:20">
      <c r="A46" s="1"/>
      <c r="B46" s="1"/>
      <c r="C46" s="5"/>
      <c r="D46" s="5"/>
      <c r="E46" s="14"/>
      <c r="F46" s="5"/>
      <c r="G46" s="5"/>
      <c r="H46" s="10"/>
      <c r="I46" s="5"/>
      <c r="J46" s="10"/>
      <c r="K46" s="5"/>
      <c r="L46" s="10"/>
      <c r="M46" s="5"/>
      <c r="N46" s="10"/>
      <c r="O46" s="5"/>
      <c r="P46" s="10"/>
      <c r="Q46" s="5"/>
      <c r="R46" s="10"/>
      <c r="S46" s="5"/>
      <c r="T46" s="5"/>
    </row>
    <row r="47" spans="1:20">
      <c r="A47" s="2"/>
      <c r="B47" s="2"/>
      <c r="C47" s="6"/>
      <c r="D47" s="6"/>
      <c r="E47" s="15"/>
      <c r="F47" s="6"/>
      <c r="G47" s="6"/>
      <c r="H47" s="11"/>
      <c r="I47" s="6"/>
      <c r="J47" s="11"/>
      <c r="K47" s="6"/>
      <c r="L47" s="11"/>
      <c r="M47" s="6"/>
      <c r="N47" s="11"/>
      <c r="O47" s="6"/>
      <c r="P47" s="11"/>
      <c r="Q47" s="6"/>
      <c r="R47" s="11"/>
      <c r="S47" s="6"/>
      <c r="T47" s="6"/>
    </row>
    <row r="48" spans="1:20">
      <c r="A48" s="1"/>
      <c r="B48" s="1"/>
      <c r="C48" s="5"/>
      <c r="D48" s="5"/>
      <c r="E48" s="14"/>
      <c r="F48" s="5"/>
      <c r="G48" s="5"/>
      <c r="H48" s="10"/>
      <c r="I48" s="5"/>
      <c r="J48" s="10"/>
      <c r="K48" s="5"/>
      <c r="L48" s="10"/>
      <c r="M48" s="5"/>
      <c r="N48" s="10"/>
      <c r="O48" s="5"/>
      <c r="P48" s="10"/>
      <c r="Q48" s="5"/>
      <c r="R48" s="10"/>
      <c r="S48" s="5"/>
      <c r="T48" s="5"/>
    </row>
    <row r="49" spans="1:20">
      <c r="A49" s="2"/>
      <c r="B49" s="2"/>
      <c r="C49" s="6"/>
      <c r="D49" s="6"/>
      <c r="E49" s="15"/>
      <c r="F49" s="6"/>
      <c r="G49" s="6"/>
      <c r="H49" s="11"/>
      <c r="I49" s="6"/>
      <c r="J49" s="11"/>
      <c r="K49" s="6"/>
      <c r="L49" s="11"/>
      <c r="M49" s="6"/>
      <c r="N49" s="11"/>
      <c r="O49" s="6"/>
      <c r="P49" s="11"/>
      <c r="Q49" s="6"/>
      <c r="R49" s="11"/>
      <c r="S49" s="6"/>
      <c r="T49" s="6"/>
    </row>
    <row r="50" spans="1:20">
      <c r="A50" s="1"/>
      <c r="B50" s="1"/>
      <c r="C50" s="5"/>
      <c r="D50" s="5"/>
      <c r="E50" s="14"/>
      <c r="F50" s="5"/>
      <c r="G50" s="5"/>
      <c r="H50" s="10"/>
      <c r="I50" s="5"/>
      <c r="J50" s="10"/>
      <c r="K50" s="5"/>
      <c r="L50" s="10"/>
      <c r="M50" s="5"/>
      <c r="N50" s="10"/>
      <c r="O50" s="5"/>
      <c r="P50" s="10"/>
      <c r="Q50" s="5"/>
      <c r="R50" s="10"/>
      <c r="S50" s="5"/>
      <c r="T50" s="5"/>
    </row>
    <row r="51" spans="1:20">
      <c r="A51" s="2"/>
      <c r="B51" s="2"/>
      <c r="C51" s="6"/>
      <c r="D51" s="6"/>
      <c r="E51" s="15"/>
      <c r="F51" s="6"/>
      <c r="G51" s="6"/>
      <c r="H51" s="11"/>
      <c r="I51" s="6"/>
      <c r="J51" s="11"/>
      <c r="K51" s="6"/>
      <c r="L51" s="11"/>
      <c r="M51" s="6"/>
      <c r="N51" s="11"/>
      <c r="O51" s="6"/>
      <c r="P51" s="11"/>
      <c r="Q51" s="6"/>
      <c r="R51" s="11"/>
      <c r="S51" s="6"/>
      <c r="T51" s="6"/>
    </row>
    <row r="52" spans="1:20">
      <c r="A52" s="1"/>
      <c r="B52" s="1"/>
      <c r="C52" s="5"/>
      <c r="D52" s="5"/>
      <c r="E52" s="14"/>
      <c r="F52" s="5"/>
      <c r="G52" s="5"/>
      <c r="H52" s="10"/>
      <c r="I52" s="5"/>
      <c r="J52" s="10"/>
      <c r="K52" s="5"/>
      <c r="L52" s="10"/>
      <c r="M52" s="5"/>
      <c r="N52" s="10"/>
      <c r="O52" s="5"/>
      <c r="P52" s="10"/>
      <c r="Q52" s="5"/>
      <c r="R52" s="10"/>
      <c r="S52" s="5"/>
      <c r="T52" s="5"/>
    </row>
    <row r="53" spans="1:20">
      <c r="A53" s="2"/>
      <c r="B53" s="2"/>
      <c r="C53" s="6"/>
      <c r="D53" s="6"/>
      <c r="E53" s="15"/>
      <c r="F53" s="6"/>
      <c r="G53" s="6"/>
      <c r="H53" s="11"/>
      <c r="I53" s="6"/>
      <c r="J53" s="11"/>
      <c r="K53" s="6"/>
      <c r="L53" s="11"/>
      <c r="M53" s="6"/>
      <c r="N53" s="11"/>
      <c r="O53" s="6"/>
      <c r="P53" s="11"/>
      <c r="Q53" s="6"/>
      <c r="R53" s="11"/>
      <c r="S53" s="6"/>
      <c r="T53" s="6"/>
    </row>
    <row r="54" spans="1:20">
      <c r="A54" s="1"/>
      <c r="B54" s="1"/>
      <c r="C54" s="5"/>
      <c r="D54" s="5"/>
      <c r="E54" s="14"/>
      <c r="F54" s="5"/>
      <c r="G54" s="5"/>
      <c r="H54" s="10"/>
      <c r="I54" s="5"/>
      <c r="J54" s="10"/>
      <c r="K54" s="5"/>
      <c r="L54" s="10"/>
      <c r="M54" s="5"/>
      <c r="N54" s="10"/>
      <c r="O54" s="5"/>
      <c r="P54" s="10"/>
      <c r="Q54" s="5"/>
      <c r="R54" s="10"/>
      <c r="S54" s="5"/>
      <c r="T54" s="5"/>
    </row>
    <row r="55" spans="1:20">
      <c r="A55" s="2"/>
      <c r="B55" s="2"/>
      <c r="C55" s="6"/>
      <c r="D55" s="6"/>
      <c r="E55" s="15"/>
      <c r="F55" s="6"/>
      <c r="G55" s="6"/>
      <c r="H55" s="11"/>
      <c r="I55" s="6"/>
      <c r="J55" s="11"/>
      <c r="K55" s="6"/>
      <c r="L55" s="11"/>
      <c r="M55" s="6"/>
      <c r="N55" s="11"/>
      <c r="O55" s="6"/>
      <c r="P55" s="11"/>
      <c r="Q55" s="6"/>
      <c r="R55" s="11"/>
      <c r="S55" s="6"/>
      <c r="T55" s="6"/>
    </row>
    <row r="56" spans="1:20">
      <c r="A56" s="1"/>
      <c r="B56" s="1"/>
      <c r="C56" s="5"/>
      <c r="D56" s="5"/>
      <c r="E56" s="14"/>
      <c r="F56" s="5"/>
      <c r="G56" s="5"/>
      <c r="H56" s="10"/>
      <c r="I56" s="5"/>
      <c r="J56" s="10"/>
      <c r="K56" s="5"/>
      <c r="L56" s="10"/>
      <c r="M56" s="5"/>
      <c r="N56" s="10"/>
      <c r="O56" s="5"/>
      <c r="P56" s="10"/>
      <c r="Q56" s="5"/>
      <c r="R56" s="10"/>
      <c r="S56" s="5"/>
      <c r="T56" s="5"/>
    </row>
    <row r="57" spans="1:20">
      <c r="A57" s="2"/>
      <c r="B57" s="2"/>
      <c r="C57" s="6"/>
      <c r="D57" s="6"/>
      <c r="E57" s="15"/>
      <c r="F57" s="6"/>
      <c r="G57" s="6"/>
      <c r="H57" s="11"/>
      <c r="I57" s="6"/>
      <c r="J57" s="11"/>
      <c r="K57" s="6"/>
      <c r="L57" s="11"/>
      <c r="M57" s="6"/>
      <c r="N57" s="11"/>
      <c r="O57" s="6"/>
      <c r="P57" s="11"/>
      <c r="Q57" s="6"/>
      <c r="R57" s="11"/>
      <c r="S57" s="6"/>
      <c r="T57" s="6"/>
    </row>
    <row r="58" spans="1:20">
      <c r="A58" s="1"/>
      <c r="B58" s="1"/>
      <c r="C58" s="5"/>
      <c r="D58" s="5"/>
      <c r="E58" s="14"/>
      <c r="F58" s="5"/>
      <c r="G58" s="5"/>
      <c r="H58" s="10"/>
      <c r="I58" s="5"/>
      <c r="J58" s="10"/>
      <c r="K58" s="5"/>
      <c r="L58" s="10"/>
      <c r="M58" s="5"/>
      <c r="N58" s="10"/>
      <c r="O58" s="5"/>
      <c r="P58" s="10"/>
      <c r="Q58" s="5"/>
      <c r="R58" s="10"/>
      <c r="S58" s="5"/>
      <c r="T58" s="5"/>
    </row>
    <row r="59" spans="1:20">
      <c r="A59" s="2"/>
      <c r="B59" s="2"/>
      <c r="C59" s="6"/>
      <c r="D59" s="6"/>
      <c r="E59" s="15"/>
      <c r="F59" s="6"/>
      <c r="G59" s="6"/>
      <c r="H59" s="11"/>
      <c r="I59" s="6"/>
      <c r="J59" s="11"/>
      <c r="K59" s="6"/>
      <c r="L59" s="11"/>
      <c r="M59" s="6"/>
      <c r="N59" s="11"/>
      <c r="O59" s="6"/>
      <c r="P59" s="11"/>
      <c r="Q59" s="6"/>
      <c r="R59" s="11"/>
      <c r="S59" s="6"/>
      <c r="T59" s="6"/>
    </row>
    <row r="60" spans="1:20">
      <c r="A60" s="1"/>
      <c r="B60" s="1"/>
      <c r="C60" s="5"/>
      <c r="D60" s="5"/>
      <c r="E60" s="14"/>
      <c r="F60" s="5"/>
      <c r="G60" s="5"/>
      <c r="H60" s="10"/>
      <c r="I60" s="5"/>
      <c r="J60" s="10"/>
      <c r="K60" s="5"/>
      <c r="L60" s="10"/>
      <c r="M60" s="5"/>
      <c r="N60" s="10"/>
      <c r="O60" s="5"/>
      <c r="P60" s="10"/>
      <c r="Q60" s="5"/>
      <c r="R60" s="10"/>
      <c r="S60" s="5"/>
      <c r="T60" s="5"/>
    </row>
  </sheetData>
  <conditionalFormatting sqref="J2:J60 L2:L60 N2:N60">
    <cfRule type="cellIs" dxfId="39" priority="5" operator="lessThan">
      <formula>-0.02</formula>
    </cfRule>
  </conditionalFormatting>
  <conditionalFormatting sqref="P2:P60">
    <cfRule type="cellIs" dxfId="38" priority="4" operator="between">
      <formula>-0.05</formula>
      <formula>0.05</formula>
    </cfRule>
  </conditionalFormatting>
  <conditionalFormatting sqref="H2:H60">
    <cfRule type="cellIs" dxfId="37" priority="2" operator="between">
      <formula>0</formula>
      <formula>0.05</formula>
    </cfRule>
    <cfRule type="cellIs" dxfId="36" priority="3" operator="between">
      <formula>-0.05</formula>
      <formula>0</formula>
    </cfRule>
  </conditionalFormatting>
  <conditionalFormatting sqref="R2:R60">
    <cfRule type="cellIs" dxfId="35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UpdateCurrentSheet">
                <anchor moveWithCells="1" sizeWithCells="1">
                  <from>
                    <xdr:col>23</xdr:col>
                    <xdr:colOff>38100</xdr:colOff>
                    <xdr:row>0</xdr:row>
                    <xdr:rowOff>28575</xdr:rowOff>
                  </from>
                  <to>
                    <xdr:col>24</xdr:col>
                    <xdr:colOff>419100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5"/>
  </sheetPr>
  <dimension ref="A1:Y60"/>
  <sheetViews>
    <sheetView zoomScale="80" zoomScaleNormal="80" workbookViewId="0">
      <pane ySplit="1" topLeftCell="A2" activePane="bottomLeft" state="frozen"/>
      <selection activeCell="D48" sqref="D48"/>
      <selection pane="bottomLeft" activeCell="B29" sqref="B29"/>
    </sheetView>
  </sheetViews>
  <sheetFormatPr defaultRowHeight="15"/>
  <cols>
    <col min="1" max="1" width="10.28515625" bestFit="1" customWidth="1"/>
    <col min="2" max="2" width="43.42578125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18" width="10.28515625" bestFit="1" customWidth="1"/>
    <col min="20" max="20" width="10.28515625" bestFit="1" customWidth="1"/>
    <col min="24" max="24" width="10.7109375" customWidth="1"/>
  </cols>
  <sheetData>
    <row r="1" spans="1:25" ht="30.75" thickBot="1">
      <c r="A1" s="3" t="s">
        <v>2</v>
      </c>
      <c r="B1" s="4" t="s">
        <v>3</v>
      </c>
      <c r="C1" s="3" t="s">
        <v>5</v>
      </c>
      <c r="D1" s="3" t="s">
        <v>6</v>
      </c>
      <c r="E1" s="3" t="s">
        <v>7</v>
      </c>
      <c r="F1" s="3" t="s">
        <v>8</v>
      </c>
      <c r="G1" s="27" t="s">
        <v>14</v>
      </c>
      <c r="H1" s="7" t="s">
        <v>15</v>
      </c>
      <c r="I1" s="3" t="s">
        <v>9</v>
      </c>
      <c r="J1" s="3" t="s">
        <v>16</v>
      </c>
      <c r="K1" s="3" t="s">
        <v>10</v>
      </c>
      <c r="L1" s="3" t="s">
        <v>17</v>
      </c>
      <c r="M1" s="3" t="s">
        <v>11</v>
      </c>
      <c r="N1" s="3" t="s">
        <v>18</v>
      </c>
      <c r="O1" s="3" t="s">
        <v>12</v>
      </c>
      <c r="P1" s="3" t="s">
        <v>19</v>
      </c>
      <c r="Q1" s="3" t="s">
        <v>13</v>
      </c>
      <c r="R1" s="3" t="s">
        <v>20</v>
      </c>
      <c r="S1" s="28" t="s">
        <v>115</v>
      </c>
      <c r="T1" s="29" t="s">
        <v>116</v>
      </c>
    </row>
    <row r="2" spans="1:25">
      <c r="A2" s="1" t="s">
        <v>31</v>
      </c>
      <c r="B2" s="1" t="s">
        <v>146</v>
      </c>
      <c r="C2" s="5">
        <v>110.11</v>
      </c>
      <c r="D2" s="5">
        <v>-1.5000000000000568E-2</v>
      </c>
      <c r="E2" s="14">
        <v>-3.0000000000000001E-3</v>
      </c>
      <c r="F2" s="5">
        <v>110.125</v>
      </c>
      <c r="G2" s="5"/>
      <c r="H2" s="10" t="s">
        <v>21</v>
      </c>
      <c r="I2" s="5">
        <v>109.82</v>
      </c>
      <c r="J2" s="10">
        <v>2.6406847568749559E-3</v>
      </c>
      <c r="K2" s="5">
        <v>109.90712509999999</v>
      </c>
      <c r="L2" s="10">
        <v>1.8458757775297041E-3</v>
      </c>
      <c r="M2" s="5">
        <v>109.43770829999998</v>
      </c>
      <c r="N2" s="10">
        <v>6.1431449035562746E-3</v>
      </c>
      <c r="O2" s="5">
        <v>112.540001</v>
      </c>
      <c r="P2" s="10">
        <v>-2.1592331423562094E-2</v>
      </c>
      <c r="Q2" s="5">
        <v>107.120003</v>
      </c>
      <c r="R2" s="10">
        <v>2.7912592571529338E-2</v>
      </c>
      <c r="S2" s="30">
        <v>0.05</v>
      </c>
      <c r="T2" s="5" t="s">
        <v>465</v>
      </c>
    </row>
    <row r="3" spans="1:25">
      <c r="A3" s="2" t="s">
        <v>419</v>
      </c>
      <c r="B3" s="2" t="s">
        <v>443</v>
      </c>
      <c r="C3" s="6">
        <v>100.708</v>
      </c>
      <c r="D3" s="6">
        <v>-1.9989999999978636E-3</v>
      </c>
      <c r="E3" s="15">
        <v>-9.1E-4</v>
      </c>
      <c r="F3" s="6">
        <v>100.709999</v>
      </c>
      <c r="G3" s="6"/>
      <c r="H3" s="11" t="s">
        <v>21</v>
      </c>
      <c r="I3" s="6">
        <v>100.400002</v>
      </c>
      <c r="J3" s="11">
        <v>3.0677091022368597E-3</v>
      </c>
      <c r="K3" s="6">
        <v>100.46925017499998</v>
      </c>
      <c r="L3" s="11">
        <v>2.3763472364346505E-3</v>
      </c>
      <c r="M3" s="6">
        <v>100.72674976666666</v>
      </c>
      <c r="N3" s="11">
        <v>-1.8614485933565739E-4</v>
      </c>
      <c r="O3" s="6">
        <v>101.550003</v>
      </c>
      <c r="P3" s="11">
        <v>-8.2915113257062689E-3</v>
      </c>
      <c r="Q3" s="6">
        <v>100</v>
      </c>
      <c r="R3" s="11">
        <v>7.0799999999999752E-3</v>
      </c>
      <c r="S3" s="31">
        <v>0.06</v>
      </c>
      <c r="T3" s="6" t="s">
        <v>466</v>
      </c>
      <c r="X3" t="s">
        <v>42</v>
      </c>
      <c r="Y3" t="s">
        <v>442</v>
      </c>
    </row>
    <row r="4" spans="1:25">
      <c r="A4" s="1" t="s">
        <v>420</v>
      </c>
      <c r="B4" s="1" t="s">
        <v>444</v>
      </c>
      <c r="C4" s="5">
        <v>51.27</v>
      </c>
      <c r="D4" s="5">
        <v>-2.0001000000000602E-2</v>
      </c>
      <c r="E4" s="14">
        <v>-2.3E-3</v>
      </c>
      <c r="F4" s="5">
        <v>51.290001000000004</v>
      </c>
      <c r="G4" s="5"/>
      <c r="H4" s="10" t="s">
        <v>21</v>
      </c>
      <c r="I4" s="5">
        <v>51.099997999999999</v>
      </c>
      <c r="J4" s="10">
        <v>3.3268494452778352E-3</v>
      </c>
      <c r="K4" s="5">
        <v>51.15299985</v>
      </c>
      <c r="L4" s="10">
        <v>2.2872588185069986E-3</v>
      </c>
      <c r="M4" s="5">
        <v>50.940083200000011</v>
      </c>
      <c r="N4" s="10">
        <v>6.4765657862135839E-3</v>
      </c>
      <c r="O4" s="5">
        <v>52.130001</v>
      </c>
      <c r="P4" s="10">
        <v>-1.6497237358579664E-2</v>
      </c>
      <c r="Q4" s="5">
        <v>49.830002</v>
      </c>
      <c r="R4" s="10">
        <v>2.8898212767481057E-2</v>
      </c>
      <c r="S4" s="30">
        <v>0.06</v>
      </c>
      <c r="T4" s="5" t="s">
        <v>465</v>
      </c>
      <c r="X4" t="s">
        <v>37</v>
      </c>
    </row>
    <row r="5" spans="1:25">
      <c r="A5" s="2" t="s">
        <v>421</v>
      </c>
      <c r="B5" s="2" t="s">
        <v>445</v>
      </c>
      <c r="C5" s="6">
        <v>50.37</v>
      </c>
      <c r="D5" s="6">
        <v>-5.000000000002558E-3</v>
      </c>
      <c r="E5" s="15">
        <v>-2.0000000000000001E-4</v>
      </c>
      <c r="F5" s="6">
        <v>50.375</v>
      </c>
      <c r="G5" s="6"/>
      <c r="H5" s="11" t="s">
        <v>21</v>
      </c>
      <c r="I5" s="6">
        <v>50.310001</v>
      </c>
      <c r="J5" s="11">
        <v>1.1925859432997399E-3</v>
      </c>
      <c r="K5" s="6">
        <v>50.326875274999992</v>
      </c>
      <c r="L5" s="11">
        <v>8.5689256017507098E-4</v>
      </c>
      <c r="M5" s="6">
        <v>50.251375124999996</v>
      </c>
      <c r="N5" s="11">
        <v>2.3606294296409924E-3</v>
      </c>
      <c r="O5" s="6">
        <v>50.68</v>
      </c>
      <c r="P5" s="11">
        <v>-6.1168113654301859E-3</v>
      </c>
      <c r="Q5" s="6">
        <v>49.700001</v>
      </c>
      <c r="R5" s="11">
        <v>1.348086491990208E-2</v>
      </c>
      <c r="S5" s="31">
        <v>0.06</v>
      </c>
      <c r="T5" s="6" t="s">
        <v>465</v>
      </c>
    </row>
    <row r="6" spans="1:25">
      <c r="A6" s="1" t="s">
        <v>422</v>
      </c>
      <c r="B6" s="1" t="s">
        <v>446</v>
      </c>
      <c r="C6" s="5">
        <v>50.63</v>
      </c>
      <c r="D6" s="5">
        <v>-4.9979999999933966E-3</v>
      </c>
      <c r="E6" s="14">
        <v>-1.4E-3</v>
      </c>
      <c r="F6" s="5">
        <v>50.634997999999996</v>
      </c>
      <c r="G6" s="5"/>
      <c r="H6" s="10" t="s">
        <v>21</v>
      </c>
      <c r="I6" s="5">
        <v>50.619999</v>
      </c>
      <c r="J6" s="10">
        <v>1.9757013428622905E-4</v>
      </c>
      <c r="K6" s="5">
        <v>50.639125100000001</v>
      </c>
      <c r="L6" s="10">
        <v>-1.8019861089579869E-4</v>
      </c>
      <c r="M6" s="5">
        <v>50.534291591666651</v>
      </c>
      <c r="N6" s="10">
        <v>1.8939299497202633E-3</v>
      </c>
      <c r="O6" s="5">
        <v>50.889998999999996</v>
      </c>
      <c r="P6" s="10">
        <v>-5.1090392043433575E-3</v>
      </c>
      <c r="Q6" s="5">
        <v>49.950001</v>
      </c>
      <c r="R6" s="10">
        <v>1.3613593321049278E-2</v>
      </c>
      <c r="S6" s="30">
        <v>0.06</v>
      </c>
      <c r="T6" s="5" t="s">
        <v>467</v>
      </c>
    </row>
    <row r="7" spans="1:25">
      <c r="A7" s="2" t="s">
        <v>423</v>
      </c>
      <c r="B7" s="2" t="s">
        <v>447</v>
      </c>
      <c r="C7" s="6">
        <v>64.216800000000006</v>
      </c>
      <c r="D7" s="6">
        <v>-7.3200999999997407E-2</v>
      </c>
      <c r="E7" s="15">
        <v>-6.2399999999999999E-3</v>
      </c>
      <c r="F7" s="6">
        <v>64.290001000000004</v>
      </c>
      <c r="G7" s="6"/>
      <c r="H7" s="11" t="s">
        <v>21</v>
      </c>
      <c r="I7" s="6">
        <v>63.650002000000001</v>
      </c>
      <c r="J7" s="11">
        <v>8.9049172378659058E-3</v>
      </c>
      <c r="K7" s="6">
        <v>63.925000474999976</v>
      </c>
      <c r="L7" s="11">
        <v>4.5647168217721745E-3</v>
      </c>
      <c r="M7" s="6">
        <v>63.064166808333333</v>
      </c>
      <c r="N7" s="11">
        <v>1.8277149290972128E-2</v>
      </c>
      <c r="O7" s="6">
        <v>67.069999999999993</v>
      </c>
      <c r="P7" s="11">
        <v>-4.2540629193379864E-2</v>
      </c>
      <c r="Q7" s="6">
        <v>59.389998999999996</v>
      </c>
      <c r="R7" s="11">
        <v>8.1272959778968978E-2</v>
      </c>
      <c r="S7" s="31">
        <v>0.06</v>
      </c>
      <c r="T7" s="6" t="s">
        <v>465</v>
      </c>
    </row>
    <row r="8" spans="1:25">
      <c r="A8" s="1" t="s">
        <v>137</v>
      </c>
      <c r="B8" s="1" t="s">
        <v>448</v>
      </c>
      <c r="C8" s="5">
        <v>107.43</v>
      </c>
      <c r="D8" s="5">
        <v>0</v>
      </c>
      <c r="E8" s="14">
        <v>-1.6999999999999999E-3</v>
      </c>
      <c r="F8" s="5">
        <v>107.43</v>
      </c>
      <c r="G8" s="5"/>
      <c r="H8" s="10" t="s">
        <v>21</v>
      </c>
      <c r="I8" s="5">
        <v>107.16999799999999</v>
      </c>
      <c r="J8" s="10">
        <v>2.4260707740240139E-3</v>
      </c>
      <c r="K8" s="5">
        <v>107.20900002499998</v>
      </c>
      <c r="L8" s="10">
        <v>2.0613938657061404E-3</v>
      </c>
      <c r="M8" s="5">
        <v>106.99416680833338</v>
      </c>
      <c r="N8" s="10">
        <v>4.0734294650601743E-3</v>
      </c>
      <c r="O8" s="5">
        <v>110.199997</v>
      </c>
      <c r="P8" s="10">
        <v>-2.5136089613505108E-2</v>
      </c>
      <c r="Q8" s="5">
        <v>105.08000200000001</v>
      </c>
      <c r="R8" s="10">
        <v>2.2363893750211306E-2</v>
      </c>
      <c r="S8" s="30">
        <v>0.09</v>
      </c>
      <c r="T8" s="5" t="s">
        <v>468</v>
      </c>
    </row>
    <row r="9" spans="1:25">
      <c r="A9" s="2" t="s">
        <v>424</v>
      </c>
      <c r="B9" s="2" t="s">
        <v>449</v>
      </c>
      <c r="C9" s="6">
        <v>52.06</v>
      </c>
      <c r="D9" s="6">
        <v>-9.9999999999980105E-3</v>
      </c>
      <c r="E9" s="15">
        <v>-1.5E-3</v>
      </c>
      <c r="F9" s="6">
        <v>52.07</v>
      </c>
      <c r="G9" s="6"/>
      <c r="H9" s="11" t="s">
        <v>21</v>
      </c>
      <c r="I9" s="6">
        <v>51.869999</v>
      </c>
      <c r="J9" s="11">
        <v>3.6630230125895835E-3</v>
      </c>
      <c r="K9" s="6">
        <v>51.887975000000004</v>
      </c>
      <c r="L9" s="11">
        <v>3.3153153500400379E-3</v>
      </c>
      <c r="M9" s="6">
        <v>51.943708216666657</v>
      </c>
      <c r="N9" s="11">
        <v>2.2388040308611856E-3</v>
      </c>
      <c r="O9" s="6">
        <v>53.599997999999999</v>
      </c>
      <c r="P9" s="11">
        <v>-2.8731307042212939E-2</v>
      </c>
      <c r="Q9" s="6">
        <v>51.044998</v>
      </c>
      <c r="R9" s="11">
        <v>1.9884455671836943E-2</v>
      </c>
      <c r="S9" s="31">
        <v>0.09</v>
      </c>
      <c r="T9" s="6" t="s">
        <v>465</v>
      </c>
    </row>
    <row r="10" spans="1:25">
      <c r="A10" s="1" t="s">
        <v>138</v>
      </c>
      <c r="B10" s="1" t="s">
        <v>159</v>
      </c>
      <c r="C10" s="5">
        <v>120.89</v>
      </c>
      <c r="D10" s="5">
        <v>9.9999999747524271E-7</v>
      </c>
      <c r="E10" s="14">
        <v>-2.8999999999999998E-3</v>
      </c>
      <c r="F10" s="5">
        <v>120.889999</v>
      </c>
      <c r="G10" s="5"/>
      <c r="H10" s="10" t="s">
        <v>21</v>
      </c>
      <c r="I10" s="5">
        <v>120.410004</v>
      </c>
      <c r="J10" s="10">
        <v>3.9863465165237422E-3</v>
      </c>
      <c r="K10" s="5">
        <v>120.96374997499997</v>
      </c>
      <c r="L10" s="10">
        <v>-6.0968657978288654E-4</v>
      </c>
      <c r="M10" s="5">
        <v>119.93058340833328</v>
      </c>
      <c r="N10" s="10">
        <v>7.9997659012476241E-3</v>
      </c>
      <c r="O10" s="5">
        <v>123.449997</v>
      </c>
      <c r="P10" s="10">
        <v>-2.0737116745332851E-2</v>
      </c>
      <c r="Q10" s="5">
        <v>115.599998</v>
      </c>
      <c r="R10" s="10">
        <v>4.5761263767496008E-2</v>
      </c>
      <c r="S10" s="30">
        <v>0.15</v>
      </c>
      <c r="T10" s="5" t="s">
        <v>467</v>
      </c>
    </row>
    <row r="11" spans="1:25">
      <c r="A11" s="2" t="s">
        <v>27</v>
      </c>
      <c r="B11" s="2" t="s">
        <v>162</v>
      </c>
      <c r="C11" s="6">
        <v>84.623400000000004</v>
      </c>
      <c r="D11" s="6">
        <v>-1.6990000000021155E-3</v>
      </c>
      <c r="E11" s="15">
        <v>-7.8600000000000002E-4</v>
      </c>
      <c r="F11" s="6">
        <v>84.625099000000006</v>
      </c>
      <c r="G11" s="6"/>
      <c r="H11" s="11" t="s">
        <v>21</v>
      </c>
      <c r="I11" s="6">
        <v>84.589995999999999</v>
      </c>
      <c r="J11" s="11">
        <v>3.9489303203188442E-4</v>
      </c>
      <c r="K11" s="6">
        <v>84.591877799999992</v>
      </c>
      <c r="L11" s="11">
        <v>3.7263861282932353E-4</v>
      </c>
      <c r="M11" s="6">
        <v>84.546292766666681</v>
      </c>
      <c r="N11" s="11">
        <v>9.1201199733403904E-4</v>
      </c>
      <c r="O11" s="6">
        <v>85.110000999999997</v>
      </c>
      <c r="P11" s="11">
        <v>-5.7173186967768297E-3</v>
      </c>
      <c r="Q11" s="6">
        <v>84.239998</v>
      </c>
      <c r="R11" s="11">
        <v>4.5513059010282575E-3</v>
      </c>
      <c r="S11" s="31">
        <v>0.15</v>
      </c>
      <c r="T11" s="6" t="s">
        <v>466</v>
      </c>
    </row>
    <row r="12" spans="1:25">
      <c r="A12" s="1" t="s">
        <v>425</v>
      </c>
      <c r="B12" s="1" t="s">
        <v>450</v>
      </c>
      <c r="C12" s="5">
        <v>108.035</v>
      </c>
      <c r="D12" s="5">
        <v>-5.0010000000071386E-3</v>
      </c>
      <c r="E12" s="14">
        <v>-5.5700000000000003E-3</v>
      </c>
      <c r="F12" s="5">
        <v>108.040001</v>
      </c>
      <c r="G12" s="5"/>
      <c r="H12" s="10" t="s">
        <v>21</v>
      </c>
      <c r="I12" s="5">
        <v>107.290001</v>
      </c>
      <c r="J12" s="10">
        <v>6.9437877999460884E-3</v>
      </c>
      <c r="K12" s="5">
        <v>107.40324990000002</v>
      </c>
      <c r="L12" s="10">
        <v>5.8820389568117193E-3</v>
      </c>
      <c r="M12" s="5">
        <v>106.86358343333335</v>
      </c>
      <c r="N12" s="10">
        <v>1.0961793803194286E-2</v>
      </c>
      <c r="O12" s="5">
        <v>112.160004</v>
      </c>
      <c r="P12" s="10">
        <v>-3.6777851755426139E-2</v>
      </c>
      <c r="Q12" s="5">
        <v>103.510002</v>
      </c>
      <c r="R12" s="10">
        <v>4.3715562868987146E-2</v>
      </c>
      <c r="S12" s="30">
        <v>0.15</v>
      </c>
      <c r="T12" s="5" t="s">
        <v>466</v>
      </c>
    </row>
    <row r="13" spans="1:25">
      <c r="A13" s="2" t="s">
        <v>426</v>
      </c>
      <c r="B13" s="2" t="s">
        <v>160</v>
      </c>
      <c r="C13" s="6">
        <v>124.545</v>
      </c>
      <c r="D13" s="6">
        <v>4.9989999999979773E-3</v>
      </c>
      <c r="E13" s="15">
        <v>-2.6800000000000001E-3</v>
      </c>
      <c r="F13" s="6">
        <v>124.540001</v>
      </c>
      <c r="G13" s="6"/>
      <c r="H13" s="11" t="s">
        <v>21</v>
      </c>
      <c r="I13" s="6">
        <v>124.16999799999999</v>
      </c>
      <c r="J13" s="11">
        <v>3.0200693085298269E-3</v>
      </c>
      <c r="K13" s="6">
        <v>124.17399887500002</v>
      </c>
      <c r="L13" s="11">
        <v>2.9877520927181767E-3</v>
      </c>
      <c r="M13" s="6">
        <v>123.80958320833332</v>
      </c>
      <c r="N13" s="11">
        <v>5.9399020060442176E-3</v>
      </c>
      <c r="O13" s="6">
        <v>126.709999</v>
      </c>
      <c r="P13" s="11">
        <v>-1.7086252206504948E-2</v>
      </c>
      <c r="Q13" s="6">
        <v>121.519997</v>
      </c>
      <c r="R13" s="11">
        <v>2.4893047026655291E-2</v>
      </c>
      <c r="S13" s="31">
        <v>0.15</v>
      </c>
      <c r="T13" s="6" t="s">
        <v>466</v>
      </c>
    </row>
    <row r="14" spans="1:25">
      <c r="A14" s="1" t="s">
        <v>40</v>
      </c>
      <c r="B14" s="1" t="s">
        <v>161</v>
      </c>
      <c r="C14" s="5">
        <v>127.42</v>
      </c>
      <c r="D14" s="5">
        <v>-0.10000700000000506</v>
      </c>
      <c r="E14" s="14">
        <v>-1.2200000000000001E-2</v>
      </c>
      <c r="F14" s="5">
        <v>147.570007</v>
      </c>
      <c r="G14" s="5"/>
      <c r="H14" s="10" t="s">
        <v>21</v>
      </c>
      <c r="I14" s="5">
        <v>145.71949990000002</v>
      </c>
      <c r="J14" s="10">
        <v>1.2012806118613328E-2</v>
      </c>
      <c r="K14" s="5">
        <v>147.86175037500001</v>
      </c>
      <c r="L14" s="10">
        <v>-2.6494368828076098E-3</v>
      </c>
      <c r="M14" s="5">
        <v>147.81566682499994</v>
      </c>
      <c r="N14" s="10">
        <v>-2.3384992431768614E-3</v>
      </c>
      <c r="O14" s="5">
        <v>152.69000199999999</v>
      </c>
      <c r="P14" s="10">
        <v>-3.4186927314337145E-2</v>
      </c>
      <c r="Q14" s="5">
        <v>127.529999</v>
      </c>
      <c r="R14" s="10">
        <v>0.15635537643186215</v>
      </c>
      <c r="S14" s="30">
        <v>0.15</v>
      </c>
      <c r="T14" s="5" t="s">
        <v>466</v>
      </c>
    </row>
    <row r="15" spans="1:25">
      <c r="A15" s="2" t="s">
        <v>427</v>
      </c>
      <c r="B15" s="2" t="s">
        <v>451</v>
      </c>
      <c r="C15" s="6">
        <v>110.355</v>
      </c>
      <c r="D15" s="6">
        <v>-5.0009999999929278E-3</v>
      </c>
      <c r="E15" s="15">
        <v>1.3999999999999999E-4</v>
      </c>
      <c r="F15" s="6">
        <v>110.360001</v>
      </c>
      <c r="G15" s="6"/>
      <c r="H15" s="11" t="s">
        <v>21</v>
      </c>
      <c r="I15" s="6">
        <v>110.349998</v>
      </c>
      <c r="J15" s="11">
        <v>4.5328501048214065E-5</v>
      </c>
      <c r="K15" s="6">
        <v>110.3464994</v>
      </c>
      <c r="L15" s="11">
        <v>7.7035520349211239E-5</v>
      </c>
      <c r="M15" s="6">
        <v>110.30299998333344</v>
      </c>
      <c r="N15" s="11">
        <v>4.7142885211126639E-4</v>
      </c>
      <c r="O15" s="6">
        <v>110.459999</v>
      </c>
      <c r="P15" s="11">
        <v>-9.5056129775983322E-4</v>
      </c>
      <c r="Q15" s="6">
        <v>110.220001</v>
      </c>
      <c r="R15" s="11">
        <v>1.2248139972346195E-3</v>
      </c>
      <c r="S15" s="31">
        <v>0.15</v>
      </c>
      <c r="T15" s="6" t="s">
        <v>466</v>
      </c>
    </row>
    <row r="16" spans="1:25">
      <c r="A16" s="1" t="s">
        <v>428</v>
      </c>
      <c r="B16" s="1" t="s">
        <v>452</v>
      </c>
      <c r="C16" s="5">
        <v>25.460100000000001</v>
      </c>
      <c r="D16" s="5">
        <v>-9.8989999999972156E-3</v>
      </c>
      <c r="E16" s="14">
        <v>-4.2979999999999997E-3</v>
      </c>
      <c r="F16" s="5">
        <v>25.469998999999998</v>
      </c>
      <c r="G16" s="5"/>
      <c r="H16" s="10" t="s">
        <v>21</v>
      </c>
      <c r="I16" s="5">
        <v>25.370001000000002</v>
      </c>
      <c r="J16" s="10">
        <v>3.5513991505162767E-3</v>
      </c>
      <c r="K16" s="5">
        <v>25.372499900000005</v>
      </c>
      <c r="L16" s="10">
        <v>3.4525608570401545E-3</v>
      </c>
      <c r="M16" s="5">
        <v>25.267166708333331</v>
      </c>
      <c r="N16" s="10">
        <v>7.6357311404859907E-3</v>
      </c>
      <c r="O16" s="5">
        <v>26.129998999999998</v>
      </c>
      <c r="P16" s="10">
        <v>-2.5637161333224578E-2</v>
      </c>
      <c r="Q16" s="5">
        <v>24.73</v>
      </c>
      <c r="R16" s="10">
        <v>2.9522846744844289E-2</v>
      </c>
      <c r="S16" s="30">
        <v>0.15</v>
      </c>
      <c r="T16" s="5" t="s">
        <v>466</v>
      </c>
    </row>
    <row r="17" spans="1:20">
      <c r="A17" s="2" t="s">
        <v>429</v>
      </c>
      <c r="B17" s="2" t="s">
        <v>453</v>
      </c>
      <c r="C17" s="6">
        <v>49.9223</v>
      </c>
      <c r="D17" s="6">
        <v>2.0000000020559128E-6</v>
      </c>
      <c r="E17" s="15">
        <v>-2.3519999999999999E-3</v>
      </c>
      <c r="F17" s="6">
        <v>49.922297999999998</v>
      </c>
      <c r="G17" s="6"/>
      <c r="H17" s="11" t="s">
        <v>21</v>
      </c>
      <c r="I17" s="6">
        <v>49.790001000000004</v>
      </c>
      <c r="J17" s="11">
        <v>2.6571399345822755E-3</v>
      </c>
      <c r="K17" s="6">
        <v>49.854557549999988</v>
      </c>
      <c r="L17" s="11">
        <v>1.3588015485259675E-3</v>
      </c>
      <c r="M17" s="6">
        <v>49.842019166666681</v>
      </c>
      <c r="N17" s="11">
        <v>1.6107058798093821E-3</v>
      </c>
      <c r="O17" s="6">
        <v>51.07</v>
      </c>
      <c r="P17" s="11">
        <v>-2.2473076169962858E-2</v>
      </c>
      <c r="Q17" s="6">
        <v>48.990002000000004</v>
      </c>
      <c r="R17" s="11">
        <v>1.9030372768713111E-2</v>
      </c>
      <c r="S17" s="31">
        <v>0.15</v>
      </c>
      <c r="T17" s="6" t="s">
        <v>468</v>
      </c>
    </row>
    <row r="18" spans="1:20">
      <c r="A18" s="1" t="s">
        <v>430</v>
      </c>
      <c r="B18" s="1" t="s">
        <v>165</v>
      </c>
      <c r="C18" s="5">
        <v>114.81</v>
      </c>
      <c r="D18" s="5">
        <v>9.9969999999984793E-3</v>
      </c>
      <c r="E18" s="14">
        <v>-3.5999999999999999E-3</v>
      </c>
      <c r="F18" s="5">
        <v>114.800003</v>
      </c>
      <c r="G18" s="5"/>
      <c r="H18" s="10" t="s">
        <v>21</v>
      </c>
      <c r="I18" s="5">
        <v>113.82</v>
      </c>
      <c r="J18" s="10">
        <v>8.6979441222985177E-3</v>
      </c>
      <c r="K18" s="5">
        <v>113.96425052499998</v>
      </c>
      <c r="L18" s="10">
        <v>7.4211822664027594E-3</v>
      </c>
      <c r="M18" s="5">
        <v>114.07499985000003</v>
      </c>
      <c r="N18" s="10">
        <v>6.4431308434489409E-3</v>
      </c>
      <c r="O18" s="5">
        <v>116.510002</v>
      </c>
      <c r="P18" s="10">
        <v>-1.4591039145291584E-2</v>
      </c>
      <c r="Q18" s="5">
        <v>111.089996</v>
      </c>
      <c r="R18" s="10">
        <v>3.3486399621438512E-2</v>
      </c>
      <c r="S18" s="30">
        <v>0.2</v>
      </c>
      <c r="T18" s="5" t="s">
        <v>466</v>
      </c>
    </row>
    <row r="19" spans="1:20">
      <c r="A19" s="2" t="s">
        <v>431</v>
      </c>
      <c r="B19" s="2" t="s">
        <v>454</v>
      </c>
      <c r="C19" s="6">
        <v>50.83</v>
      </c>
      <c r="D19" s="6">
        <v>-1.0000000000005116E-2</v>
      </c>
      <c r="E19" s="15">
        <v>-4.0000000000000002E-4</v>
      </c>
      <c r="F19" s="6">
        <v>50.84</v>
      </c>
      <c r="G19" s="6"/>
      <c r="H19" s="11" t="s">
        <v>21</v>
      </c>
      <c r="I19" s="6">
        <v>50.869999</v>
      </c>
      <c r="J19" s="11">
        <v>-7.8629842316291221E-4</v>
      </c>
      <c r="K19" s="6">
        <v>50.888500100000002</v>
      </c>
      <c r="L19" s="11">
        <v>-1.1495740665384835E-3</v>
      </c>
      <c r="M19" s="6">
        <v>50.866083425000021</v>
      </c>
      <c r="N19" s="11">
        <v>-7.0938084024541048E-4</v>
      </c>
      <c r="O19" s="6">
        <v>50.939999</v>
      </c>
      <c r="P19" s="11">
        <v>-2.1593836309262704E-3</v>
      </c>
      <c r="Q19" s="6">
        <v>50.669998</v>
      </c>
      <c r="R19" s="11">
        <v>3.1577265900029072E-3</v>
      </c>
      <c r="S19" s="31">
        <v>0.2</v>
      </c>
      <c r="T19" s="6" t="s">
        <v>467</v>
      </c>
    </row>
    <row r="20" spans="1:20">
      <c r="A20" s="1" t="s">
        <v>432</v>
      </c>
      <c r="B20" s="1" t="s">
        <v>166</v>
      </c>
      <c r="C20" s="5">
        <v>111.42</v>
      </c>
      <c r="D20" s="5">
        <v>4.0002999999998679E-2</v>
      </c>
      <c r="E20" s="14">
        <v>-2.0999999999999999E-3</v>
      </c>
      <c r="F20" s="5">
        <v>111.379997</v>
      </c>
      <c r="G20" s="5"/>
      <c r="H20" s="10" t="s">
        <v>21</v>
      </c>
      <c r="I20" s="5">
        <v>111.110001</v>
      </c>
      <c r="J20" s="10">
        <v>2.7900188750786814E-3</v>
      </c>
      <c r="K20" s="5">
        <v>111.195749675</v>
      </c>
      <c r="L20" s="10">
        <v>2.0167166969549122E-3</v>
      </c>
      <c r="M20" s="5">
        <v>110.8777498333333</v>
      </c>
      <c r="N20" s="10">
        <v>4.8905228279054747E-3</v>
      </c>
      <c r="O20" s="5">
        <v>113</v>
      </c>
      <c r="P20" s="10">
        <v>-1.3982300884955778E-2</v>
      </c>
      <c r="Q20" s="5">
        <v>109.05999799999999</v>
      </c>
      <c r="R20" s="10">
        <v>2.1639483250311509E-2</v>
      </c>
      <c r="S20" s="30">
        <v>0.2</v>
      </c>
      <c r="T20" s="5" t="s">
        <v>465</v>
      </c>
    </row>
    <row r="21" spans="1:20">
      <c r="A21" s="2" t="s">
        <v>433</v>
      </c>
      <c r="B21" s="2" t="s">
        <v>455</v>
      </c>
      <c r="C21" s="6">
        <v>114.23</v>
      </c>
      <c r="D21" s="6">
        <v>-2.9999999924257281E-6</v>
      </c>
      <c r="E21" s="15">
        <v>-2.3E-3</v>
      </c>
      <c r="F21" s="6">
        <v>114.230003</v>
      </c>
      <c r="G21" s="6"/>
      <c r="H21" s="11" t="s">
        <v>21</v>
      </c>
      <c r="I21" s="6">
        <v>114</v>
      </c>
      <c r="J21" s="11">
        <v>2.0175438596492512E-3</v>
      </c>
      <c r="K21" s="6">
        <v>114.028750225</v>
      </c>
      <c r="L21" s="11">
        <v>1.7649038036715581E-3</v>
      </c>
      <c r="M21" s="6">
        <v>113.69016693333334</v>
      </c>
      <c r="N21" s="11">
        <v>4.7482828218838868E-3</v>
      </c>
      <c r="O21" s="6">
        <v>115.760002</v>
      </c>
      <c r="P21" s="11">
        <v>-1.321701773985795E-2</v>
      </c>
      <c r="Q21" s="6">
        <v>111.949997</v>
      </c>
      <c r="R21" s="11">
        <v>2.0366262269752466E-2</v>
      </c>
      <c r="S21" s="31">
        <v>0.2</v>
      </c>
      <c r="T21" s="6" t="s">
        <v>468</v>
      </c>
    </row>
    <row r="22" spans="1:20">
      <c r="A22" s="1" t="s">
        <v>434</v>
      </c>
      <c r="B22" s="1" t="s">
        <v>456</v>
      </c>
      <c r="C22" s="5">
        <v>111.4466</v>
      </c>
      <c r="D22" s="5">
        <v>9.9999999747524271E-7</v>
      </c>
      <c r="E22" s="14">
        <v>-1.9109999999999999E-3</v>
      </c>
      <c r="F22" s="5">
        <v>50.619999</v>
      </c>
      <c r="G22" s="5"/>
      <c r="H22" s="10" t="s">
        <v>21</v>
      </c>
      <c r="I22" s="5">
        <v>50.594050249999995</v>
      </c>
      <c r="J22" s="10">
        <v>5.1290121806379929E-4</v>
      </c>
      <c r="K22" s="5">
        <v>50.581925099999999</v>
      </c>
      <c r="L22" s="10">
        <v>7.5273726582625322E-4</v>
      </c>
      <c r="M22" s="5">
        <v>50.443283549999983</v>
      </c>
      <c r="N22" s="10">
        <v>3.5032701593433746E-3</v>
      </c>
      <c r="O22" s="5">
        <v>51.049999</v>
      </c>
      <c r="P22" s="10">
        <v>-8.4230951698941459E-3</v>
      </c>
      <c r="Q22" s="5">
        <v>49.849997999999999</v>
      </c>
      <c r="R22" s="10">
        <v>1.5446379757126483E-2</v>
      </c>
      <c r="S22" s="30">
        <v>0.25</v>
      </c>
      <c r="T22" s="5" t="s">
        <v>469</v>
      </c>
    </row>
    <row r="23" spans="1:20">
      <c r="A23" s="2" t="s">
        <v>435</v>
      </c>
      <c r="B23" s="2" t="s">
        <v>457</v>
      </c>
      <c r="C23" s="6">
        <v>106.23</v>
      </c>
      <c r="D23" s="6">
        <v>-2.9999999924257281E-6</v>
      </c>
      <c r="E23" s="15">
        <v>-8.0000000000000004E-4</v>
      </c>
      <c r="F23" s="6">
        <v>106.230003</v>
      </c>
      <c r="G23" s="6"/>
      <c r="H23" s="11" t="s">
        <v>21</v>
      </c>
      <c r="I23" s="6">
        <v>106.32</v>
      </c>
      <c r="J23" s="11">
        <v>-8.4650112866802019E-4</v>
      </c>
      <c r="K23" s="6">
        <v>106.20024945000003</v>
      </c>
      <c r="L23" s="11">
        <v>2.8013634764567641E-4</v>
      </c>
      <c r="M23" s="6">
        <v>105.94141640833342</v>
      </c>
      <c r="N23" s="11">
        <v>2.7239921972941339E-3</v>
      </c>
      <c r="O23" s="6">
        <v>106.379997</v>
      </c>
      <c r="P23" s="11">
        <v>-1.4100113200792297E-3</v>
      </c>
      <c r="Q23" s="6">
        <v>104.589996</v>
      </c>
      <c r="R23" s="11">
        <v>1.5680314205194223E-2</v>
      </c>
      <c r="S23" s="31">
        <v>0.25</v>
      </c>
      <c r="T23" s="6" t="s">
        <v>469</v>
      </c>
    </row>
    <row r="24" spans="1:20">
      <c r="A24" s="1" t="s">
        <v>436</v>
      </c>
      <c r="B24" s="1" t="s">
        <v>458</v>
      </c>
      <c r="C24" s="5">
        <v>119.363</v>
      </c>
      <c r="D24" s="5">
        <v>3.2997999999992089E-2</v>
      </c>
      <c r="E24" s="14">
        <v>-6.4000000000000005E-4</v>
      </c>
      <c r="F24" s="5">
        <v>119.33000200000001</v>
      </c>
      <c r="G24" s="5"/>
      <c r="H24" s="10" t="s">
        <v>21</v>
      </c>
      <c r="I24" s="5">
        <v>118.860001</v>
      </c>
      <c r="J24" s="10">
        <v>4.2318609773526195E-3</v>
      </c>
      <c r="K24" s="5">
        <v>118.7805</v>
      </c>
      <c r="L24" s="10">
        <v>4.9040036032850232E-3</v>
      </c>
      <c r="M24" s="5">
        <v>117.80174981666661</v>
      </c>
      <c r="N24" s="10">
        <v>1.3253200277272059E-2</v>
      </c>
      <c r="O24" s="5">
        <v>120.860001</v>
      </c>
      <c r="P24" s="10">
        <v>-1.2386240175523366E-2</v>
      </c>
      <c r="Q24" s="5">
        <v>113.279999</v>
      </c>
      <c r="R24" s="10">
        <v>5.3698808736747816E-2</v>
      </c>
      <c r="S24" s="30">
        <v>0.25</v>
      </c>
      <c r="T24" s="5" t="s">
        <v>469</v>
      </c>
    </row>
    <row r="25" spans="1:20">
      <c r="A25" s="2" t="s">
        <v>437</v>
      </c>
      <c r="B25" s="2" t="s">
        <v>459</v>
      </c>
      <c r="C25" s="6">
        <v>112.47</v>
      </c>
      <c r="D25" s="6">
        <v>-9.9999999747524271E-7</v>
      </c>
      <c r="E25" s="15">
        <v>-2.0999999999999999E-3</v>
      </c>
      <c r="F25" s="6">
        <v>112.470001</v>
      </c>
      <c r="G25" s="6"/>
      <c r="H25" s="11" t="s">
        <v>21</v>
      </c>
      <c r="I25" s="6">
        <v>112.239998</v>
      </c>
      <c r="J25" s="11">
        <v>2.0491981833428152E-3</v>
      </c>
      <c r="K25" s="6">
        <v>112.21275019999996</v>
      </c>
      <c r="L25" s="11">
        <v>2.2925184485858008E-3</v>
      </c>
      <c r="M25" s="6">
        <v>111.51308367499998</v>
      </c>
      <c r="N25" s="11">
        <v>8.5812022541580379E-3</v>
      </c>
      <c r="O25" s="6">
        <v>114.129997</v>
      </c>
      <c r="P25" s="11">
        <v>-1.4544791410097013E-2</v>
      </c>
      <c r="Q25" s="6">
        <v>107.410004</v>
      </c>
      <c r="R25" s="11">
        <v>4.7109168713930893E-2</v>
      </c>
      <c r="S25" s="31">
        <v>0.25</v>
      </c>
      <c r="T25" s="6" t="s">
        <v>469</v>
      </c>
    </row>
    <row r="26" spans="1:20">
      <c r="A26" s="1" t="s">
        <v>438</v>
      </c>
      <c r="B26" s="1" t="s">
        <v>460</v>
      </c>
      <c r="C26" s="5">
        <v>47.557499999999997</v>
      </c>
      <c r="D26" s="5">
        <v>9.9990000000005352E-3</v>
      </c>
      <c r="E26" s="14">
        <v>2.0539999999999998E-3</v>
      </c>
      <c r="F26" s="5">
        <v>54.380001</v>
      </c>
      <c r="G26" s="5"/>
      <c r="H26" s="10" t="s">
        <v>21</v>
      </c>
      <c r="I26" s="5">
        <v>53.108499800000004</v>
      </c>
      <c r="J26" s="10">
        <v>2.4129851244639955E-2</v>
      </c>
      <c r="K26" s="5">
        <v>52.723249950000003</v>
      </c>
      <c r="L26" s="10">
        <v>3.1613188708599305E-2</v>
      </c>
      <c r="M26" s="5">
        <v>50.352250050000016</v>
      </c>
      <c r="N26" s="10">
        <v>8.0190059947479631E-2</v>
      </c>
      <c r="O26" s="5">
        <v>54.380001</v>
      </c>
      <c r="P26" s="10">
        <v>1.838727439522625E-4</v>
      </c>
      <c r="Q26" s="5">
        <v>41.419998</v>
      </c>
      <c r="R26" s="10">
        <v>0.31313381521650485</v>
      </c>
      <c r="S26" s="30">
        <v>0.3</v>
      </c>
      <c r="T26" s="5" t="s">
        <v>467</v>
      </c>
    </row>
    <row r="27" spans="1:20">
      <c r="A27" s="2" t="s">
        <v>439</v>
      </c>
      <c r="B27" s="2" t="s">
        <v>461</v>
      </c>
      <c r="C27" s="6">
        <v>50.31</v>
      </c>
      <c r="D27" s="6">
        <v>4.9998000000002207E-2</v>
      </c>
      <c r="E27" s="15">
        <v>-9.2999999999999992E-3</v>
      </c>
      <c r="F27" s="6">
        <v>58.400002000000001</v>
      </c>
      <c r="G27" s="6"/>
      <c r="H27" s="11" t="s">
        <v>21</v>
      </c>
      <c r="I27" s="6">
        <v>57.516999949999999</v>
      </c>
      <c r="J27" s="11">
        <v>1.6221291979954922E-2</v>
      </c>
      <c r="K27" s="6">
        <v>57.26549997499999</v>
      </c>
      <c r="L27" s="11">
        <v>2.0684356646097912E-2</v>
      </c>
      <c r="M27" s="6">
        <v>55.563916508333335</v>
      </c>
      <c r="N27" s="11">
        <v>5.1941685774324675E-2</v>
      </c>
      <c r="O27" s="6">
        <v>58.400002000000001</v>
      </c>
      <c r="P27" s="11">
        <v>8.561301076668304E-4</v>
      </c>
      <c r="Q27" s="6">
        <v>47.950001</v>
      </c>
      <c r="R27" s="11">
        <v>0.21897807676792347</v>
      </c>
      <c r="S27" s="31">
        <v>0.35</v>
      </c>
      <c r="T27" s="6" t="s">
        <v>466</v>
      </c>
    </row>
    <row r="28" spans="1:20">
      <c r="A28" s="1" t="s">
        <v>440</v>
      </c>
      <c r="B28" s="1" t="s">
        <v>462</v>
      </c>
      <c r="C28" s="5">
        <v>117.05</v>
      </c>
      <c r="D28" s="5">
        <v>2.0000000020559128E-6</v>
      </c>
      <c r="E28" s="14">
        <v>-1.8E-3</v>
      </c>
      <c r="F28" s="5">
        <v>43.259997999999996</v>
      </c>
      <c r="G28" s="5"/>
      <c r="H28" s="10" t="s">
        <v>21</v>
      </c>
      <c r="I28" s="5">
        <v>42.054999649999999</v>
      </c>
      <c r="J28" s="10">
        <v>2.8652963025289191E-2</v>
      </c>
      <c r="K28" s="5">
        <v>41.70824979999999</v>
      </c>
      <c r="L28" s="10">
        <v>3.7204874513818709E-2</v>
      </c>
      <c r="M28" s="5">
        <v>40.706999875000001</v>
      </c>
      <c r="N28" s="10">
        <v>6.2716489371350326E-2</v>
      </c>
      <c r="O28" s="5">
        <v>43.259997999999996</v>
      </c>
      <c r="P28" s="10">
        <v>4.6232087269615363E-8</v>
      </c>
      <c r="Q28" s="5">
        <v>33.479999999999997</v>
      </c>
      <c r="R28" s="10">
        <v>0.29211469534050183</v>
      </c>
      <c r="S28" s="30">
        <v>0.39</v>
      </c>
      <c r="T28" s="5" t="s">
        <v>466</v>
      </c>
    </row>
    <row r="29" spans="1:20">
      <c r="A29" s="2" t="s">
        <v>441</v>
      </c>
      <c r="B29" s="2" t="s">
        <v>463</v>
      </c>
      <c r="C29" s="6">
        <v>38.8887</v>
      </c>
      <c r="D29" s="6">
        <v>1.8701000000000079E-2</v>
      </c>
      <c r="E29" s="15">
        <v>3.32E-3</v>
      </c>
      <c r="F29" s="6">
        <v>38.869999</v>
      </c>
      <c r="G29" s="6"/>
      <c r="H29" s="11" t="s">
        <v>21</v>
      </c>
      <c r="I29" s="6">
        <v>38.830002</v>
      </c>
      <c r="J29" s="11">
        <v>1.5116661595844239E-3</v>
      </c>
      <c r="K29" s="6">
        <v>38.977250099999999</v>
      </c>
      <c r="L29" s="11">
        <v>-2.2718406191513107E-3</v>
      </c>
      <c r="M29" s="6">
        <v>38.923000141666648</v>
      </c>
      <c r="N29" s="11">
        <v>-8.8123067445489145E-4</v>
      </c>
      <c r="O29" s="6">
        <v>39.830002</v>
      </c>
      <c r="P29" s="11">
        <v>-2.3632989021692752E-2</v>
      </c>
      <c r="Q29" s="6">
        <v>36.779998999999997</v>
      </c>
      <c r="R29" s="11">
        <v>5.7332818307036959E-2</v>
      </c>
      <c r="S29" s="31">
        <v>0.47</v>
      </c>
      <c r="T29" s="6" t="s">
        <v>470</v>
      </c>
    </row>
    <row r="30" spans="1:20">
      <c r="A30" s="1" t="s">
        <v>442</v>
      </c>
      <c r="B30" s="1" t="s">
        <v>464</v>
      </c>
      <c r="C30" s="5">
        <v>88.08</v>
      </c>
      <c r="D30" s="5">
        <v>-1.999800000000107E-2</v>
      </c>
      <c r="E30" s="14">
        <v>3.3E-3</v>
      </c>
      <c r="F30" s="5">
        <v>88.099997999999999</v>
      </c>
      <c r="G30" s="5"/>
      <c r="H30" s="10" t="s">
        <v>21</v>
      </c>
      <c r="I30" s="5">
        <v>87.790001000000004</v>
      </c>
      <c r="J30" s="10">
        <v>3.3033260815202858E-3</v>
      </c>
      <c r="K30" s="5">
        <v>88.238250375000021</v>
      </c>
      <c r="L30" s="10">
        <v>-1.7934441619986696E-3</v>
      </c>
      <c r="M30" s="5">
        <v>88.025416700000008</v>
      </c>
      <c r="N30" s="10">
        <v>6.2008567577720441E-4</v>
      </c>
      <c r="O30" s="5">
        <v>88.970000999999996</v>
      </c>
      <c r="P30" s="10">
        <v>-1.0003383050428361E-2</v>
      </c>
      <c r="Q30" s="5">
        <v>83.470000999999996</v>
      </c>
      <c r="R30" s="10">
        <v>5.5229411103038029E-2</v>
      </c>
      <c r="S30" s="30">
        <v>0.49</v>
      </c>
      <c r="T30" s="5" t="s">
        <v>467</v>
      </c>
    </row>
    <row r="31" spans="1:20">
      <c r="A31" s="2"/>
      <c r="B31" s="2"/>
      <c r="C31" s="6"/>
      <c r="D31" s="6"/>
      <c r="E31" s="15"/>
      <c r="F31" s="6"/>
      <c r="G31" s="6"/>
      <c r="H31" s="11"/>
      <c r="I31" s="6"/>
      <c r="J31" s="11"/>
      <c r="K31" s="6"/>
      <c r="L31" s="11"/>
      <c r="M31" s="6"/>
      <c r="N31" s="11"/>
      <c r="O31" s="6"/>
      <c r="P31" s="11"/>
      <c r="Q31" s="6"/>
      <c r="R31" s="11"/>
      <c r="S31" s="31"/>
      <c r="T31" s="6"/>
    </row>
    <row r="32" spans="1:20">
      <c r="A32" s="1"/>
      <c r="B32" s="1"/>
      <c r="C32" s="5"/>
      <c r="D32" s="5"/>
      <c r="E32" s="14"/>
      <c r="F32" s="5"/>
      <c r="G32" s="5"/>
      <c r="H32" s="10"/>
      <c r="I32" s="5"/>
      <c r="J32" s="10"/>
      <c r="K32" s="5"/>
      <c r="L32" s="10"/>
      <c r="M32" s="5"/>
      <c r="N32" s="10"/>
      <c r="O32" s="5"/>
      <c r="P32" s="10"/>
      <c r="Q32" s="5"/>
      <c r="R32" s="10"/>
      <c r="S32" s="30"/>
      <c r="T32" s="5"/>
    </row>
    <row r="33" spans="1:20">
      <c r="A33" s="2"/>
      <c r="B33" s="2"/>
      <c r="C33" s="6"/>
      <c r="D33" s="6"/>
      <c r="E33" s="15"/>
      <c r="F33" s="6"/>
      <c r="G33" s="6"/>
      <c r="H33" s="11"/>
      <c r="I33" s="6"/>
      <c r="J33" s="11"/>
      <c r="K33" s="6"/>
      <c r="L33" s="11"/>
      <c r="M33" s="6"/>
      <c r="N33" s="11"/>
      <c r="O33" s="6"/>
      <c r="P33" s="11"/>
      <c r="Q33" s="6"/>
      <c r="R33" s="11"/>
      <c r="S33" s="31"/>
      <c r="T33" s="6"/>
    </row>
    <row r="34" spans="1:20">
      <c r="A34" s="1"/>
      <c r="B34" s="1"/>
      <c r="C34" s="5"/>
      <c r="D34" s="5"/>
      <c r="E34" s="14"/>
      <c r="F34" s="5"/>
      <c r="G34" s="5"/>
      <c r="H34" s="10"/>
      <c r="I34" s="5"/>
      <c r="J34" s="10"/>
      <c r="K34" s="5"/>
      <c r="L34" s="10"/>
      <c r="M34" s="5"/>
      <c r="N34" s="10"/>
      <c r="O34" s="5"/>
      <c r="P34" s="10"/>
      <c r="Q34" s="5"/>
      <c r="R34" s="10"/>
      <c r="S34" s="30"/>
      <c r="T34" s="5"/>
    </row>
    <row r="35" spans="1:20">
      <c r="A35" s="2"/>
      <c r="B35" s="2"/>
      <c r="C35" s="6"/>
      <c r="D35" s="6"/>
      <c r="E35" s="15"/>
      <c r="F35" s="6"/>
      <c r="G35" s="6"/>
      <c r="H35" s="11"/>
      <c r="I35" s="6"/>
      <c r="J35" s="11"/>
      <c r="K35" s="6"/>
      <c r="L35" s="11"/>
      <c r="M35" s="6"/>
      <c r="N35" s="11"/>
      <c r="O35" s="6"/>
      <c r="P35" s="11"/>
      <c r="Q35" s="6"/>
      <c r="R35" s="11"/>
      <c r="S35" s="31"/>
      <c r="T35" s="6"/>
    </row>
    <row r="36" spans="1:20">
      <c r="A36" s="1"/>
      <c r="B36" s="1"/>
      <c r="C36" s="5"/>
      <c r="D36" s="5"/>
      <c r="E36" s="14"/>
      <c r="F36" s="5"/>
      <c r="G36" s="5"/>
      <c r="H36" s="10"/>
      <c r="I36" s="5"/>
      <c r="J36" s="10"/>
      <c r="K36" s="5"/>
      <c r="L36" s="10"/>
      <c r="M36" s="5"/>
      <c r="N36" s="10"/>
      <c r="O36" s="5"/>
      <c r="P36" s="10"/>
      <c r="Q36" s="5"/>
      <c r="R36" s="10"/>
      <c r="S36" s="30"/>
      <c r="T36" s="5"/>
    </row>
    <row r="37" spans="1:20">
      <c r="A37" s="2"/>
      <c r="B37" s="2"/>
      <c r="C37" s="6"/>
      <c r="D37" s="6"/>
      <c r="E37" s="15"/>
      <c r="F37" s="6"/>
      <c r="G37" s="6"/>
      <c r="H37" s="11"/>
      <c r="I37" s="6"/>
      <c r="J37" s="11"/>
      <c r="K37" s="6"/>
      <c r="L37" s="11"/>
      <c r="M37" s="6"/>
      <c r="N37" s="11"/>
      <c r="O37" s="6"/>
      <c r="P37" s="11"/>
      <c r="Q37" s="6"/>
      <c r="R37" s="11"/>
      <c r="S37" s="31"/>
      <c r="T37" s="6"/>
    </row>
    <row r="38" spans="1:20">
      <c r="A38" s="1"/>
      <c r="B38" s="1"/>
      <c r="C38" s="5"/>
      <c r="D38" s="5"/>
      <c r="E38" s="14"/>
      <c r="F38" s="5"/>
      <c r="G38" s="5"/>
      <c r="H38" s="10"/>
      <c r="I38" s="5"/>
      <c r="J38" s="10"/>
      <c r="K38" s="5"/>
      <c r="L38" s="10"/>
      <c r="M38" s="5"/>
      <c r="N38" s="10"/>
      <c r="O38" s="5"/>
      <c r="P38" s="10"/>
      <c r="Q38" s="5"/>
      <c r="R38" s="10"/>
      <c r="S38" s="5"/>
      <c r="T38" s="5"/>
    </row>
    <row r="39" spans="1:20">
      <c r="A39" s="2"/>
      <c r="B39" s="2"/>
      <c r="C39" s="6"/>
      <c r="D39" s="6"/>
      <c r="E39" s="15"/>
      <c r="F39" s="6"/>
      <c r="G39" s="6"/>
      <c r="H39" s="11"/>
      <c r="I39" s="6"/>
      <c r="J39" s="11"/>
      <c r="K39" s="6"/>
      <c r="L39" s="11"/>
      <c r="M39" s="6"/>
      <c r="N39" s="11"/>
      <c r="O39" s="6"/>
      <c r="P39" s="11"/>
      <c r="Q39" s="6"/>
      <c r="R39" s="11"/>
      <c r="S39" s="6"/>
      <c r="T39" s="6"/>
    </row>
    <row r="40" spans="1:20">
      <c r="A40" s="1"/>
      <c r="B40" s="1"/>
      <c r="C40" s="5"/>
      <c r="D40" s="5"/>
      <c r="E40" s="14"/>
      <c r="F40" s="5"/>
      <c r="G40" s="5"/>
      <c r="H40" s="10"/>
      <c r="I40" s="5"/>
      <c r="J40" s="10"/>
      <c r="K40" s="5"/>
      <c r="L40" s="10"/>
      <c r="M40" s="5"/>
      <c r="N40" s="10"/>
      <c r="O40" s="5"/>
      <c r="P40" s="10"/>
      <c r="Q40" s="5"/>
      <c r="R40" s="10"/>
      <c r="S40" s="5"/>
      <c r="T40" s="5"/>
    </row>
    <row r="41" spans="1:20">
      <c r="A41" s="2"/>
      <c r="B41" s="2"/>
      <c r="C41" s="6"/>
      <c r="D41" s="6"/>
      <c r="E41" s="15"/>
      <c r="F41" s="6"/>
      <c r="G41" s="6"/>
      <c r="H41" s="11"/>
      <c r="I41" s="6"/>
      <c r="J41" s="11"/>
      <c r="K41" s="6"/>
      <c r="L41" s="11"/>
      <c r="M41" s="6"/>
      <c r="N41" s="11"/>
      <c r="O41" s="6"/>
      <c r="P41" s="11"/>
      <c r="Q41" s="6"/>
      <c r="R41" s="11"/>
      <c r="S41" s="6"/>
      <c r="T41" s="6"/>
    </row>
    <row r="42" spans="1:20">
      <c r="A42" s="1"/>
      <c r="B42" s="1"/>
      <c r="C42" s="5"/>
      <c r="D42" s="5"/>
      <c r="E42" s="14"/>
      <c r="F42" s="5"/>
      <c r="G42" s="5"/>
      <c r="H42" s="10"/>
      <c r="I42" s="5"/>
      <c r="J42" s="10"/>
      <c r="K42" s="5"/>
      <c r="L42" s="10"/>
      <c r="M42" s="5"/>
      <c r="N42" s="10"/>
      <c r="O42" s="5"/>
      <c r="P42" s="10"/>
      <c r="Q42" s="5"/>
      <c r="R42" s="10"/>
      <c r="S42" s="5"/>
      <c r="T42" s="5"/>
    </row>
    <row r="43" spans="1:20">
      <c r="A43" s="2"/>
      <c r="B43" s="2"/>
      <c r="C43" s="6"/>
      <c r="D43" s="6"/>
      <c r="E43" s="15"/>
      <c r="F43" s="6"/>
      <c r="G43" s="6"/>
      <c r="H43" s="11"/>
      <c r="I43" s="6"/>
      <c r="J43" s="11"/>
      <c r="K43" s="6"/>
      <c r="L43" s="11"/>
      <c r="M43" s="6"/>
      <c r="N43" s="11"/>
      <c r="O43" s="6"/>
      <c r="P43" s="11"/>
      <c r="Q43" s="6"/>
      <c r="R43" s="11"/>
      <c r="S43" s="6"/>
      <c r="T43" s="6"/>
    </row>
    <row r="44" spans="1:20">
      <c r="A44" s="1"/>
      <c r="B44" s="1"/>
      <c r="C44" s="5"/>
      <c r="D44" s="5"/>
      <c r="E44" s="14"/>
      <c r="F44" s="5"/>
      <c r="G44" s="5"/>
      <c r="H44" s="10"/>
      <c r="I44" s="5"/>
      <c r="J44" s="10"/>
      <c r="K44" s="5"/>
      <c r="L44" s="10"/>
      <c r="M44" s="5"/>
      <c r="N44" s="10"/>
      <c r="O44" s="5"/>
      <c r="P44" s="10"/>
      <c r="Q44" s="5"/>
      <c r="R44" s="10"/>
      <c r="S44" s="5"/>
      <c r="T44" s="5"/>
    </row>
    <row r="45" spans="1:20">
      <c r="A45" s="2"/>
      <c r="B45" s="2"/>
      <c r="C45" s="6"/>
      <c r="D45" s="6"/>
      <c r="E45" s="15"/>
      <c r="F45" s="6"/>
      <c r="G45" s="6"/>
      <c r="H45" s="11"/>
      <c r="I45" s="6"/>
      <c r="J45" s="11"/>
      <c r="K45" s="6"/>
      <c r="L45" s="11"/>
      <c r="M45" s="6"/>
      <c r="N45" s="11"/>
      <c r="O45" s="6"/>
      <c r="P45" s="11"/>
      <c r="Q45" s="6"/>
      <c r="R45" s="11"/>
      <c r="S45" s="6"/>
      <c r="T45" s="6"/>
    </row>
    <row r="46" spans="1:20">
      <c r="A46" s="1"/>
      <c r="B46" s="1"/>
      <c r="C46" s="5"/>
      <c r="D46" s="5"/>
      <c r="E46" s="14"/>
      <c r="F46" s="5"/>
      <c r="G46" s="5"/>
      <c r="H46" s="10"/>
      <c r="I46" s="5"/>
      <c r="J46" s="10"/>
      <c r="K46" s="5"/>
      <c r="L46" s="10"/>
      <c r="M46" s="5"/>
      <c r="N46" s="10"/>
      <c r="O46" s="5"/>
      <c r="P46" s="10"/>
      <c r="Q46" s="5"/>
      <c r="R46" s="10"/>
      <c r="S46" s="5"/>
      <c r="T46" s="5"/>
    </row>
    <row r="47" spans="1:20">
      <c r="A47" s="2"/>
      <c r="B47" s="2"/>
      <c r="C47" s="6"/>
      <c r="D47" s="6"/>
      <c r="E47" s="15"/>
      <c r="F47" s="6"/>
      <c r="G47" s="6"/>
      <c r="H47" s="11"/>
      <c r="I47" s="6"/>
      <c r="J47" s="11"/>
      <c r="K47" s="6"/>
      <c r="L47" s="11"/>
      <c r="M47" s="6"/>
      <c r="N47" s="11"/>
      <c r="O47" s="6"/>
      <c r="P47" s="11"/>
      <c r="Q47" s="6"/>
      <c r="R47" s="11"/>
      <c r="S47" s="6"/>
      <c r="T47" s="6"/>
    </row>
    <row r="48" spans="1:20">
      <c r="A48" s="1"/>
      <c r="B48" s="1"/>
      <c r="C48" s="5"/>
      <c r="D48" s="5"/>
      <c r="E48" s="14"/>
      <c r="F48" s="5"/>
      <c r="G48" s="5"/>
      <c r="H48" s="10"/>
      <c r="I48" s="5"/>
      <c r="J48" s="10"/>
      <c r="K48" s="5"/>
      <c r="L48" s="10"/>
      <c r="M48" s="5"/>
      <c r="N48" s="10"/>
      <c r="O48" s="5"/>
      <c r="P48" s="10"/>
      <c r="Q48" s="5"/>
      <c r="R48" s="10"/>
      <c r="S48" s="5"/>
      <c r="T48" s="5"/>
    </row>
    <row r="49" spans="1:20">
      <c r="A49" s="2"/>
      <c r="B49" s="2"/>
      <c r="C49" s="6"/>
      <c r="D49" s="6"/>
      <c r="E49" s="15"/>
      <c r="F49" s="6"/>
      <c r="G49" s="6"/>
      <c r="H49" s="11"/>
      <c r="I49" s="6"/>
      <c r="J49" s="11"/>
      <c r="K49" s="6"/>
      <c r="L49" s="11"/>
      <c r="M49" s="6"/>
      <c r="N49" s="11"/>
      <c r="O49" s="6"/>
      <c r="P49" s="11"/>
      <c r="Q49" s="6"/>
      <c r="R49" s="11"/>
      <c r="S49" s="6"/>
      <c r="T49" s="6"/>
    </row>
    <row r="50" spans="1:20">
      <c r="A50" s="1"/>
      <c r="B50" s="1"/>
      <c r="C50" s="5"/>
      <c r="D50" s="5"/>
      <c r="E50" s="14"/>
      <c r="F50" s="5"/>
      <c r="G50" s="5"/>
      <c r="H50" s="10"/>
      <c r="I50" s="5"/>
      <c r="J50" s="10"/>
      <c r="K50" s="5"/>
      <c r="L50" s="10"/>
      <c r="M50" s="5"/>
      <c r="N50" s="10"/>
      <c r="O50" s="5"/>
      <c r="P50" s="10"/>
      <c r="Q50" s="5"/>
      <c r="R50" s="10"/>
      <c r="S50" s="5"/>
      <c r="T50" s="5"/>
    </row>
    <row r="51" spans="1:20">
      <c r="A51" s="2"/>
      <c r="B51" s="2"/>
      <c r="C51" s="6"/>
      <c r="D51" s="6"/>
      <c r="E51" s="15"/>
      <c r="F51" s="6"/>
      <c r="G51" s="6"/>
      <c r="H51" s="11"/>
      <c r="I51" s="6"/>
      <c r="J51" s="11"/>
      <c r="K51" s="6"/>
      <c r="L51" s="11"/>
      <c r="M51" s="6"/>
      <c r="N51" s="11"/>
      <c r="O51" s="6"/>
      <c r="P51" s="11"/>
      <c r="Q51" s="6"/>
      <c r="R51" s="11"/>
      <c r="S51" s="6"/>
      <c r="T51" s="6"/>
    </row>
    <row r="52" spans="1:20">
      <c r="A52" s="1"/>
      <c r="B52" s="1"/>
      <c r="C52" s="5"/>
      <c r="D52" s="5"/>
      <c r="E52" s="14"/>
      <c r="F52" s="5"/>
      <c r="G52" s="5"/>
      <c r="H52" s="10"/>
      <c r="I52" s="5"/>
      <c r="J52" s="10"/>
      <c r="K52" s="5"/>
      <c r="L52" s="10"/>
      <c r="M52" s="5"/>
      <c r="N52" s="10"/>
      <c r="O52" s="5"/>
      <c r="P52" s="10"/>
      <c r="Q52" s="5"/>
      <c r="R52" s="10"/>
      <c r="S52" s="5"/>
      <c r="T52" s="5"/>
    </row>
    <row r="53" spans="1:20">
      <c r="A53" s="2"/>
      <c r="B53" s="2"/>
      <c r="C53" s="6"/>
      <c r="D53" s="6"/>
      <c r="E53" s="15"/>
      <c r="F53" s="6"/>
      <c r="G53" s="6"/>
      <c r="H53" s="11"/>
      <c r="I53" s="6"/>
      <c r="J53" s="11"/>
      <c r="K53" s="6"/>
      <c r="L53" s="11"/>
      <c r="M53" s="6"/>
      <c r="N53" s="11"/>
      <c r="O53" s="6"/>
      <c r="P53" s="11"/>
      <c r="Q53" s="6"/>
      <c r="R53" s="11"/>
      <c r="S53" s="6"/>
      <c r="T53" s="6"/>
    </row>
    <row r="54" spans="1:20">
      <c r="A54" s="1"/>
      <c r="B54" s="1"/>
      <c r="C54" s="5"/>
      <c r="D54" s="5"/>
      <c r="E54" s="14"/>
      <c r="F54" s="5"/>
      <c r="G54" s="5"/>
      <c r="H54" s="10"/>
      <c r="I54" s="5"/>
      <c r="J54" s="10"/>
      <c r="K54" s="5"/>
      <c r="L54" s="10"/>
      <c r="M54" s="5"/>
      <c r="N54" s="10"/>
      <c r="O54" s="5"/>
      <c r="P54" s="10"/>
      <c r="Q54" s="5"/>
      <c r="R54" s="10"/>
      <c r="S54" s="5"/>
      <c r="T54" s="5"/>
    </row>
    <row r="55" spans="1:20">
      <c r="A55" s="2"/>
      <c r="B55" s="2"/>
      <c r="C55" s="6"/>
      <c r="D55" s="6"/>
      <c r="E55" s="15"/>
      <c r="F55" s="6"/>
      <c r="G55" s="6"/>
      <c r="H55" s="11"/>
      <c r="I55" s="6"/>
      <c r="J55" s="11"/>
      <c r="K55" s="6"/>
      <c r="L55" s="11"/>
      <c r="M55" s="6"/>
      <c r="N55" s="11"/>
      <c r="O55" s="6"/>
      <c r="P55" s="11"/>
      <c r="Q55" s="6"/>
      <c r="R55" s="11"/>
      <c r="S55" s="6"/>
      <c r="T55" s="6"/>
    </row>
    <row r="56" spans="1:20">
      <c r="A56" s="1"/>
      <c r="B56" s="1"/>
      <c r="C56" s="5"/>
      <c r="D56" s="5"/>
      <c r="E56" s="14"/>
      <c r="F56" s="5"/>
      <c r="G56" s="5"/>
      <c r="H56" s="10"/>
      <c r="I56" s="5"/>
      <c r="J56" s="10"/>
      <c r="K56" s="5"/>
      <c r="L56" s="10"/>
      <c r="M56" s="5"/>
      <c r="N56" s="10"/>
      <c r="O56" s="5"/>
      <c r="P56" s="10"/>
      <c r="Q56" s="5"/>
      <c r="R56" s="10"/>
      <c r="S56" s="5"/>
      <c r="T56" s="5"/>
    </row>
    <row r="57" spans="1:20">
      <c r="A57" s="2"/>
      <c r="B57" s="2"/>
      <c r="C57" s="6"/>
      <c r="D57" s="6"/>
      <c r="E57" s="15"/>
      <c r="F57" s="6"/>
      <c r="G57" s="6"/>
      <c r="H57" s="11"/>
      <c r="I57" s="6"/>
      <c r="J57" s="11"/>
      <c r="K57" s="6"/>
      <c r="L57" s="11"/>
      <c r="M57" s="6"/>
      <c r="N57" s="11"/>
      <c r="O57" s="6"/>
      <c r="P57" s="11"/>
      <c r="Q57" s="6"/>
      <c r="R57" s="11"/>
      <c r="S57" s="6"/>
      <c r="T57" s="6"/>
    </row>
    <row r="58" spans="1:20">
      <c r="A58" s="1"/>
      <c r="B58" s="1"/>
      <c r="C58" s="5"/>
      <c r="D58" s="5"/>
      <c r="E58" s="14"/>
      <c r="F58" s="5"/>
      <c r="G58" s="5"/>
      <c r="H58" s="10"/>
      <c r="I58" s="5"/>
      <c r="J58" s="10"/>
      <c r="K58" s="5"/>
      <c r="L58" s="10"/>
      <c r="M58" s="5"/>
      <c r="N58" s="10"/>
      <c r="O58" s="5"/>
      <c r="P58" s="10"/>
      <c r="Q58" s="5"/>
      <c r="R58" s="10"/>
      <c r="S58" s="5"/>
      <c r="T58" s="5"/>
    </row>
    <row r="59" spans="1:20">
      <c r="A59" s="2"/>
      <c r="B59" s="2"/>
      <c r="C59" s="6"/>
      <c r="D59" s="6"/>
      <c r="E59" s="15"/>
      <c r="F59" s="6"/>
      <c r="G59" s="6"/>
      <c r="H59" s="11"/>
      <c r="I59" s="6"/>
      <c r="J59" s="11"/>
      <c r="K59" s="6"/>
      <c r="L59" s="11"/>
      <c r="M59" s="6"/>
      <c r="N59" s="11"/>
      <c r="O59" s="6"/>
      <c r="P59" s="11"/>
      <c r="Q59" s="6"/>
      <c r="R59" s="11"/>
      <c r="S59" s="6"/>
      <c r="T59" s="6"/>
    </row>
    <row r="60" spans="1:20">
      <c r="A60" s="1"/>
      <c r="B60" s="1"/>
      <c r="C60" s="5"/>
      <c r="D60" s="5"/>
      <c r="E60" s="14"/>
      <c r="F60" s="5"/>
      <c r="G60" s="5"/>
      <c r="H60" s="10"/>
      <c r="I60" s="5"/>
      <c r="J60" s="10"/>
      <c r="K60" s="5"/>
      <c r="L60" s="10"/>
      <c r="M60" s="5"/>
      <c r="N60" s="10"/>
      <c r="O60" s="5"/>
      <c r="P60" s="10"/>
      <c r="Q60" s="5"/>
      <c r="R60" s="10"/>
      <c r="S60" s="5"/>
      <c r="T60" s="5"/>
    </row>
  </sheetData>
  <conditionalFormatting sqref="J2:J60 L2:L60 N2:N60">
    <cfRule type="cellIs" dxfId="34" priority="5" operator="lessThan">
      <formula>-0.02</formula>
    </cfRule>
  </conditionalFormatting>
  <conditionalFormatting sqref="P2:P60">
    <cfRule type="cellIs" dxfId="33" priority="4" operator="between">
      <formula>-0.05</formula>
      <formula>0.05</formula>
    </cfRule>
  </conditionalFormatting>
  <conditionalFormatting sqref="H2:H60">
    <cfRule type="cellIs" dxfId="32" priority="2" operator="between">
      <formula>0</formula>
      <formula>0.05</formula>
    </cfRule>
    <cfRule type="cellIs" dxfId="31" priority="3" operator="between">
      <formula>-0.05</formula>
      <formula>0</formula>
    </cfRule>
  </conditionalFormatting>
  <conditionalFormatting sqref="R2:R60">
    <cfRule type="cellIs" dxfId="30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UpdateCurrentSheet">
                <anchor moveWithCells="1" sizeWithCells="1">
                  <from>
                    <xdr:col>23</xdr:col>
                    <xdr:colOff>38100</xdr:colOff>
                    <xdr:row>0</xdr:row>
                    <xdr:rowOff>28575</xdr:rowOff>
                  </from>
                  <to>
                    <xdr:col>24</xdr:col>
                    <xdr:colOff>419100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3"/>
  </sheetPr>
  <dimension ref="A1:Y60"/>
  <sheetViews>
    <sheetView zoomScale="80" zoomScaleNormal="80" workbookViewId="0">
      <pane ySplit="1" topLeftCell="A2" activePane="bottomLeft" state="frozen"/>
      <selection activeCell="B41" sqref="B41"/>
      <selection pane="bottomLeft" activeCell="B20" sqref="B20"/>
    </sheetView>
  </sheetViews>
  <sheetFormatPr defaultRowHeight="15"/>
  <cols>
    <col min="1" max="1" width="10.28515625" bestFit="1" customWidth="1"/>
    <col min="2" max="2" width="52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18" width="10.28515625" bestFit="1" customWidth="1"/>
    <col min="20" max="20" width="10.28515625" bestFit="1" customWidth="1"/>
    <col min="24" max="24" width="10.7109375" customWidth="1"/>
  </cols>
  <sheetData>
    <row r="1" spans="1:25" ht="30.75" thickBot="1">
      <c r="A1" s="3" t="s">
        <v>2</v>
      </c>
      <c r="B1" s="4" t="s">
        <v>3</v>
      </c>
      <c r="C1" s="3" t="s">
        <v>5</v>
      </c>
      <c r="D1" s="3" t="s">
        <v>6</v>
      </c>
      <c r="E1" s="3" t="s">
        <v>7</v>
      </c>
      <c r="F1" s="3" t="s">
        <v>8</v>
      </c>
      <c r="G1" s="27" t="s">
        <v>14</v>
      </c>
      <c r="H1" s="7" t="s">
        <v>15</v>
      </c>
      <c r="I1" s="3" t="s">
        <v>9</v>
      </c>
      <c r="J1" s="3" t="s">
        <v>16</v>
      </c>
      <c r="K1" s="3" t="s">
        <v>10</v>
      </c>
      <c r="L1" s="3" t="s">
        <v>17</v>
      </c>
      <c r="M1" s="3" t="s">
        <v>11</v>
      </c>
      <c r="N1" s="3" t="s">
        <v>18</v>
      </c>
      <c r="O1" s="3" t="s">
        <v>12</v>
      </c>
      <c r="P1" s="3" t="s">
        <v>19</v>
      </c>
      <c r="Q1" s="3" t="s">
        <v>13</v>
      </c>
      <c r="R1" s="3" t="s">
        <v>20</v>
      </c>
      <c r="S1" s="28" t="s">
        <v>115</v>
      </c>
      <c r="T1" s="29" t="s">
        <v>116</v>
      </c>
    </row>
    <row r="2" spans="1:25">
      <c r="A2" s="1" t="s">
        <v>507</v>
      </c>
      <c r="B2" s="1" t="s">
        <v>485</v>
      </c>
      <c r="C2" s="5">
        <v>28.91</v>
      </c>
      <c r="D2" s="5">
        <v>3.0001000000002165E-2</v>
      </c>
      <c r="E2" s="14">
        <v>9.7000000000000003E-3</v>
      </c>
      <c r="F2" s="5">
        <v>28.879998999999998</v>
      </c>
      <c r="G2" s="5"/>
      <c r="H2" s="10" t="s">
        <v>21</v>
      </c>
      <c r="I2" s="5">
        <v>29.040001</v>
      </c>
      <c r="J2" s="10">
        <v>-4.4766183031467177E-3</v>
      </c>
      <c r="K2" s="5">
        <v>28.905775049999999</v>
      </c>
      <c r="L2" s="10">
        <v>1.4616283399049301E-4</v>
      </c>
      <c r="M2" s="5">
        <v>28.570300041666655</v>
      </c>
      <c r="N2" s="10">
        <v>1.1889968178070642E-2</v>
      </c>
      <c r="O2" s="5">
        <v>29.4</v>
      </c>
      <c r="P2" s="10">
        <v>-1.6666666666666607E-2</v>
      </c>
      <c r="Q2" s="5">
        <v>24.99</v>
      </c>
      <c r="R2" s="10">
        <v>0.15686274509803932</v>
      </c>
      <c r="S2" s="17">
        <v>6.4999999999999997E-3</v>
      </c>
      <c r="T2" s="5" t="s">
        <v>117</v>
      </c>
    </row>
    <row r="3" spans="1:25">
      <c r="A3" s="2" t="s">
        <v>508</v>
      </c>
      <c r="B3" s="2" t="s">
        <v>486</v>
      </c>
      <c r="C3" s="6">
        <v>17.850000000000001</v>
      </c>
      <c r="D3" s="6">
        <v>-6.0010000000012553E-3</v>
      </c>
      <c r="E3" s="15">
        <v>1.0699999999999999E-2</v>
      </c>
      <c r="F3" s="6">
        <v>17.856001000000003</v>
      </c>
      <c r="G3" s="6"/>
      <c r="H3" s="11" t="s">
        <v>21</v>
      </c>
      <c r="I3" s="6">
        <v>17.649999999999999</v>
      </c>
      <c r="J3" s="11">
        <v>1.1331444759206999E-2</v>
      </c>
      <c r="K3" s="6">
        <v>17.634899949999998</v>
      </c>
      <c r="L3" s="11">
        <v>1.2197406881234052E-2</v>
      </c>
      <c r="M3" s="6">
        <v>17.345483250000012</v>
      </c>
      <c r="N3" s="11">
        <v>2.9086347306004789E-2</v>
      </c>
      <c r="O3" s="6">
        <v>17.856001000000003</v>
      </c>
      <c r="P3" s="11">
        <v>-3.3607749013908617E-4</v>
      </c>
      <c r="Q3" s="6">
        <v>14.88</v>
      </c>
      <c r="R3" s="11">
        <v>0.19959677419354849</v>
      </c>
      <c r="S3" s="18">
        <v>4.3E-3</v>
      </c>
      <c r="T3" s="6" t="s">
        <v>117</v>
      </c>
      <c r="X3" t="s">
        <v>42</v>
      </c>
      <c r="Y3" t="s">
        <v>556</v>
      </c>
    </row>
    <row r="4" spans="1:25">
      <c r="A4" s="1" t="s">
        <v>509</v>
      </c>
      <c r="B4" s="1" t="s">
        <v>487</v>
      </c>
      <c r="C4" s="5">
        <v>15.35</v>
      </c>
      <c r="D4" s="5">
        <v>0</v>
      </c>
      <c r="E4" s="14">
        <v>-3.2000000000000002E-3</v>
      </c>
      <c r="F4" s="5">
        <v>15.35</v>
      </c>
      <c r="G4" s="5"/>
      <c r="H4" s="10" t="s">
        <v>21</v>
      </c>
      <c r="I4" s="5">
        <v>15.11</v>
      </c>
      <c r="J4" s="10">
        <v>1.588352084712108E-2</v>
      </c>
      <c r="K4" s="5">
        <v>15.279100000000003</v>
      </c>
      <c r="L4" s="10">
        <v>4.6403256736324838E-3</v>
      </c>
      <c r="M4" s="5">
        <v>15.068191666666657</v>
      </c>
      <c r="N4" s="10">
        <v>1.8702199943258613E-2</v>
      </c>
      <c r="O4" s="5">
        <v>15.435</v>
      </c>
      <c r="P4" s="10">
        <v>-5.5069646906381609E-3</v>
      </c>
      <c r="Q4" s="5">
        <v>13.13</v>
      </c>
      <c r="R4" s="10">
        <v>0.16907844630616897</v>
      </c>
      <c r="S4" s="17">
        <v>7.4999999999999997E-3</v>
      </c>
      <c r="T4" s="5" t="s">
        <v>117</v>
      </c>
      <c r="X4" t="s">
        <v>37</v>
      </c>
    </row>
    <row r="5" spans="1:25">
      <c r="A5" s="2" t="s">
        <v>510</v>
      </c>
      <c r="B5" s="2" t="s">
        <v>488</v>
      </c>
      <c r="C5" s="6">
        <v>30.646699999999999</v>
      </c>
      <c r="D5" s="6">
        <v>0</v>
      </c>
      <c r="E5" s="15">
        <v>6.4929999999999996E-3</v>
      </c>
      <c r="F5" s="6">
        <v>30.646699999999999</v>
      </c>
      <c r="G5" s="6"/>
      <c r="H5" s="11" t="s">
        <v>21</v>
      </c>
      <c r="I5" s="6">
        <v>30.295000000000002</v>
      </c>
      <c r="J5" s="11">
        <v>1.1609176431754298E-2</v>
      </c>
      <c r="K5" s="6">
        <v>30.292792500000008</v>
      </c>
      <c r="L5" s="11">
        <v>1.1682894536711785E-2</v>
      </c>
      <c r="M5" s="6">
        <v>29.65565578333333</v>
      </c>
      <c r="N5" s="11">
        <v>3.3418388178879654E-2</v>
      </c>
      <c r="O5" s="6">
        <v>30.646699999999999</v>
      </c>
      <c r="P5" s="11">
        <v>0</v>
      </c>
      <c r="Q5" s="6">
        <v>25.469000000000001</v>
      </c>
      <c r="R5" s="11">
        <v>0.20329420079312088</v>
      </c>
      <c r="S5" s="18">
        <v>2.8999999999999998E-3</v>
      </c>
      <c r="T5" s="6" t="s">
        <v>117</v>
      </c>
    </row>
    <row r="6" spans="1:25">
      <c r="A6" s="1" t="s">
        <v>511</v>
      </c>
      <c r="B6" s="1" t="s">
        <v>489</v>
      </c>
      <c r="C6" s="5">
        <v>29.24</v>
      </c>
      <c r="D6" s="5">
        <v>-4.1199999999999903E-2</v>
      </c>
      <c r="E6" s="14">
        <v>1.0699999999999999E-2</v>
      </c>
      <c r="F6" s="5">
        <v>29.281199999999998</v>
      </c>
      <c r="G6" s="5"/>
      <c r="H6" s="10" t="s">
        <v>21</v>
      </c>
      <c r="I6" s="5">
        <v>29.02</v>
      </c>
      <c r="J6" s="10">
        <v>7.5809786354237296E-3</v>
      </c>
      <c r="K6" s="5">
        <v>28.999479849999993</v>
      </c>
      <c r="L6" s="10">
        <v>8.293947037812277E-3</v>
      </c>
      <c r="M6" s="5">
        <v>28.502176583333338</v>
      </c>
      <c r="N6" s="10">
        <v>2.5886563943965823E-2</v>
      </c>
      <c r="O6" s="5">
        <v>29.281199999999998</v>
      </c>
      <c r="P6" s="10">
        <v>-1.4070461593104211E-3</v>
      </c>
      <c r="Q6" s="5">
        <v>25.049999</v>
      </c>
      <c r="R6" s="10">
        <v>0.16726551565930192</v>
      </c>
      <c r="S6" s="17">
        <v>1.9E-3</v>
      </c>
      <c r="T6" s="5" t="s">
        <v>117</v>
      </c>
    </row>
    <row r="7" spans="1:25">
      <c r="A7" s="2" t="s">
        <v>512</v>
      </c>
      <c r="B7" s="2" t="s">
        <v>490</v>
      </c>
      <c r="C7" s="6">
        <v>94.26</v>
      </c>
      <c r="D7" s="6">
        <v>-9.999700000000189E-2</v>
      </c>
      <c r="E7" s="15">
        <v>0.01</v>
      </c>
      <c r="F7" s="6">
        <v>131.199997</v>
      </c>
      <c r="G7" s="6"/>
      <c r="H7" s="11" t="s">
        <v>21</v>
      </c>
      <c r="I7" s="6">
        <v>129.85599905000001</v>
      </c>
      <c r="J7" s="11">
        <v>9.5798496727208526E-3</v>
      </c>
      <c r="K7" s="6">
        <v>130.13200000000001</v>
      </c>
      <c r="L7" s="11">
        <v>7.438600805335982E-3</v>
      </c>
      <c r="M7" s="6">
        <v>126.81449993333334</v>
      </c>
      <c r="N7" s="11">
        <v>3.3793454762030883E-2</v>
      </c>
      <c r="O7" s="6">
        <v>131.949997</v>
      </c>
      <c r="P7" s="11">
        <v>-6.4418114386164405E-3</v>
      </c>
      <c r="Q7" s="6">
        <v>107.029999</v>
      </c>
      <c r="R7" s="11">
        <v>0.22489022914033652</v>
      </c>
      <c r="S7" s="18">
        <v>2E-3</v>
      </c>
      <c r="T7" s="6" t="s">
        <v>117</v>
      </c>
    </row>
    <row r="8" spans="1:25">
      <c r="A8" s="1" t="s">
        <v>513</v>
      </c>
      <c r="B8" s="1" t="s">
        <v>491</v>
      </c>
      <c r="C8" s="5">
        <v>32.312399999999997</v>
      </c>
      <c r="D8" s="5">
        <v>1.2400999999996998E-2</v>
      </c>
      <c r="E8" s="14">
        <v>1.1802E-2</v>
      </c>
      <c r="F8" s="5">
        <v>32.299999</v>
      </c>
      <c r="G8" s="5"/>
      <c r="H8" s="10" t="s">
        <v>21</v>
      </c>
      <c r="I8" s="5">
        <v>31.938998999999999</v>
      </c>
      <c r="J8" s="10">
        <v>1.1691067713174075E-2</v>
      </c>
      <c r="K8" s="5">
        <v>31.933024975000002</v>
      </c>
      <c r="L8" s="10">
        <v>1.1880334709818641E-2</v>
      </c>
      <c r="M8" s="5">
        <v>31.48969162500002</v>
      </c>
      <c r="N8" s="10">
        <v>2.6126276014301064E-2</v>
      </c>
      <c r="O8" s="5">
        <v>32.299999</v>
      </c>
      <c r="P8" s="10">
        <v>3.8393190043128911E-4</v>
      </c>
      <c r="Q8" s="5">
        <v>27.139999</v>
      </c>
      <c r="R8" s="10">
        <v>0.19058221041201939</v>
      </c>
      <c r="S8" s="17">
        <v>3.5000000000000001E-3</v>
      </c>
      <c r="T8" s="5" t="s">
        <v>117</v>
      </c>
    </row>
    <row r="9" spans="1:25">
      <c r="A9" s="2" t="s">
        <v>514</v>
      </c>
      <c r="B9" s="2" t="s">
        <v>492</v>
      </c>
      <c r="C9" s="6">
        <v>66.81</v>
      </c>
      <c r="D9" s="6">
        <v>0</v>
      </c>
      <c r="E9" s="15">
        <v>9.7000000000000003E-3</v>
      </c>
      <c r="F9" s="6">
        <v>66.828299999999999</v>
      </c>
      <c r="G9" s="6"/>
      <c r="H9" s="11" t="s">
        <v>21</v>
      </c>
      <c r="I9" s="6">
        <v>65.629997000000003</v>
      </c>
      <c r="J9" s="11">
        <v>1.8258464951628639E-2</v>
      </c>
      <c r="K9" s="6">
        <v>65.747457499999982</v>
      </c>
      <c r="L9" s="11">
        <v>1.6439304896315177E-2</v>
      </c>
      <c r="M9" s="6">
        <v>64.764961099999965</v>
      </c>
      <c r="N9" s="11">
        <v>3.1858876543045422E-2</v>
      </c>
      <c r="O9" s="6">
        <v>66.828299999999999</v>
      </c>
      <c r="P9" s="11">
        <v>0</v>
      </c>
      <c r="Q9" s="6">
        <v>56.07</v>
      </c>
      <c r="R9" s="11">
        <v>0.19187265917603002</v>
      </c>
      <c r="S9" s="18">
        <v>1.9E-3</v>
      </c>
      <c r="T9" s="6" t="s">
        <v>117</v>
      </c>
    </row>
    <row r="10" spans="1:25">
      <c r="A10" s="1" t="s">
        <v>515</v>
      </c>
      <c r="B10" s="1" t="s">
        <v>493</v>
      </c>
      <c r="C10" s="5">
        <v>28.68</v>
      </c>
      <c r="D10" s="5">
        <v>-1.0001000000002591E-2</v>
      </c>
      <c r="E10" s="14">
        <v>8.3999999999999995E-3</v>
      </c>
      <c r="F10" s="5">
        <v>28.690001000000002</v>
      </c>
      <c r="G10" s="5"/>
      <c r="H10" s="10" t="s">
        <v>21</v>
      </c>
      <c r="I10" s="5">
        <v>28.459</v>
      </c>
      <c r="J10" s="10">
        <v>7.7655574686390505E-3</v>
      </c>
      <c r="K10" s="5">
        <v>28.538974949999982</v>
      </c>
      <c r="L10" s="10">
        <v>4.9414896732307145E-3</v>
      </c>
      <c r="M10" s="5">
        <v>28.259774991666653</v>
      </c>
      <c r="N10" s="10">
        <v>1.4870076228747919E-2</v>
      </c>
      <c r="O10" s="5">
        <v>28.858999000000001</v>
      </c>
      <c r="P10" s="10">
        <v>-6.2025366853507569E-3</v>
      </c>
      <c r="Q10" s="5">
        <v>24.559998999999998</v>
      </c>
      <c r="R10" s="10">
        <v>0.16775249054366825</v>
      </c>
      <c r="S10" s="17">
        <v>4.0000000000000001E-3</v>
      </c>
      <c r="T10" s="5" t="s">
        <v>117</v>
      </c>
    </row>
    <row r="11" spans="1:25">
      <c r="A11" s="2" t="s">
        <v>522</v>
      </c>
      <c r="B11" s="2" t="s">
        <v>494</v>
      </c>
      <c r="C11" s="6">
        <v>86.075599999999994</v>
      </c>
      <c r="D11" s="6">
        <v>0</v>
      </c>
      <c r="E11" s="15">
        <v>1.0467000000000001E-2</v>
      </c>
      <c r="F11" s="6">
        <v>86.075599999999994</v>
      </c>
      <c r="G11" s="6"/>
      <c r="H11" s="11" t="s">
        <v>21</v>
      </c>
      <c r="I11" s="6">
        <v>85.379997000000003</v>
      </c>
      <c r="J11" s="11">
        <v>8.1471424741323961E-3</v>
      </c>
      <c r="K11" s="6">
        <v>85.107389699999999</v>
      </c>
      <c r="L11" s="11">
        <v>1.1376336454600455E-2</v>
      </c>
      <c r="M11" s="6">
        <v>83.48687984999998</v>
      </c>
      <c r="N11" s="11">
        <v>3.1007508660655825E-2</v>
      </c>
      <c r="O11" s="6">
        <v>86.075599999999994</v>
      </c>
      <c r="P11" s="11">
        <v>0</v>
      </c>
      <c r="Q11" s="6">
        <v>70.809997999999993</v>
      </c>
      <c r="R11" s="11">
        <v>0.2155854036318432</v>
      </c>
      <c r="S11" s="18">
        <v>2.8E-3</v>
      </c>
      <c r="T11" s="6" t="s">
        <v>117</v>
      </c>
    </row>
    <row r="12" spans="1:25">
      <c r="A12" s="1" t="s">
        <v>516</v>
      </c>
      <c r="B12" s="1" t="s">
        <v>495</v>
      </c>
      <c r="C12" s="5">
        <v>37.74</v>
      </c>
      <c r="D12" s="5">
        <v>-9.9999999999980105E-3</v>
      </c>
      <c r="E12" s="14">
        <v>1.0200000000000001E-2</v>
      </c>
      <c r="F12" s="5">
        <v>37.75</v>
      </c>
      <c r="G12" s="5"/>
      <c r="H12" s="10" t="s">
        <v>21</v>
      </c>
      <c r="I12" s="5">
        <v>37.279998999999997</v>
      </c>
      <c r="J12" s="10">
        <v>1.2339082949009983E-2</v>
      </c>
      <c r="K12" s="5">
        <v>37.14349997499999</v>
      </c>
      <c r="L12" s="10">
        <v>1.6059338118419086E-2</v>
      </c>
      <c r="M12" s="5">
        <v>36.515833116666649</v>
      </c>
      <c r="N12" s="10">
        <v>3.35242764261241E-2</v>
      </c>
      <c r="O12" s="5">
        <v>37.75</v>
      </c>
      <c r="P12" s="10">
        <v>-2.6490066225159925E-4</v>
      </c>
      <c r="Q12" s="5">
        <v>31.09</v>
      </c>
      <c r="R12" s="10">
        <v>0.21389514313284019</v>
      </c>
      <c r="S12" s="17">
        <v>2.8E-3</v>
      </c>
      <c r="T12" s="5" t="s">
        <v>117</v>
      </c>
    </row>
    <row r="13" spans="1:25">
      <c r="A13" s="2" t="s">
        <v>523</v>
      </c>
      <c r="B13" s="2" t="s">
        <v>496</v>
      </c>
      <c r="C13" s="6">
        <v>88.03</v>
      </c>
      <c r="D13" s="6">
        <v>9.9999999747524271E-7</v>
      </c>
      <c r="E13" s="15">
        <v>1.03E-2</v>
      </c>
      <c r="F13" s="6">
        <v>88.029999000000004</v>
      </c>
      <c r="G13" s="6"/>
      <c r="H13" s="11" t="s">
        <v>21</v>
      </c>
      <c r="I13" s="6">
        <v>86.489998</v>
      </c>
      <c r="J13" s="11">
        <v>1.7805550186277053E-2</v>
      </c>
      <c r="K13" s="6">
        <v>87.199999524999996</v>
      </c>
      <c r="L13" s="11">
        <v>9.5183541229497681E-3</v>
      </c>
      <c r="M13" s="6">
        <v>85.585999683333313</v>
      </c>
      <c r="N13" s="11">
        <v>2.85560760604473E-2</v>
      </c>
      <c r="O13" s="6">
        <v>88.029999000000004</v>
      </c>
      <c r="P13" s="11">
        <v>1.1359763796292555E-8</v>
      </c>
      <c r="Q13" s="6">
        <v>72.599997999999999</v>
      </c>
      <c r="R13" s="11">
        <v>0.21253446866486136</v>
      </c>
      <c r="S13" s="18">
        <v>2.8E-3</v>
      </c>
      <c r="T13" s="6" t="s">
        <v>117</v>
      </c>
    </row>
    <row r="14" spans="1:25">
      <c r="A14" s="1" t="s">
        <v>517</v>
      </c>
      <c r="B14" s="1" t="s">
        <v>497</v>
      </c>
      <c r="C14" s="5">
        <v>25.91</v>
      </c>
      <c r="D14" s="5">
        <v>0</v>
      </c>
      <c r="E14" s="14">
        <v>7.0000000000000001E-3</v>
      </c>
      <c r="F14" s="5">
        <v>25.91</v>
      </c>
      <c r="G14" s="5"/>
      <c r="H14" s="10" t="s">
        <v>21</v>
      </c>
      <c r="I14" s="5">
        <v>25.200001</v>
      </c>
      <c r="J14" s="10">
        <v>2.8174562374025269E-2</v>
      </c>
      <c r="K14" s="5">
        <v>25.606974900000004</v>
      </c>
      <c r="L14" s="10">
        <v>1.1833693795669564E-2</v>
      </c>
      <c r="M14" s="5">
        <v>25.341811111111106</v>
      </c>
      <c r="N14" s="10">
        <v>2.242100560207283E-2</v>
      </c>
      <c r="O14" s="5">
        <v>26.07</v>
      </c>
      <c r="P14" s="10">
        <v>-6.1373225930188013E-3</v>
      </c>
      <c r="Q14" s="5">
        <v>24.41</v>
      </c>
      <c r="R14" s="10">
        <v>6.145022531749289E-2</v>
      </c>
      <c r="S14" s="17">
        <v>5.3E-3</v>
      </c>
      <c r="T14" s="5" t="s">
        <v>121</v>
      </c>
    </row>
    <row r="15" spans="1:25">
      <c r="A15" s="2" t="s">
        <v>518</v>
      </c>
      <c r="B15" s="2" t="s">
        <v>498</v>
      </c>
      <c r="C15" s="6">
        <v>27.677600000000002</v>
      </c>
      <c r="D15" s="6">
        <v>-2.2400999999998561E-2</v>
      </c>
      <c r="E15" s="15">
        <v>8.3280000000000003E-3</v>
      </c>
      <c r="F15" s="6">
        <v>27.700001</v>
      </c>
      <c r="G15" s="6"/>
      <c r="H15" s="11" t="s">
        <v>21</v>
      </c>
      <c r="I15" s="6">
        <v>27.309998999999998</v>
      </c>
      <c r="J15" s="11">
        <v>1.3460308072512417E-2</v>
      </c>
      <c r="K15" s="6">
        <v>27.388999899999988</v>
      </c>
      <c r="L15" s="11">
        <v>1.0537080618267192E-2</v>
      </c>
      <c r="M15" s="6">
        <v>26.764999975000002</v>
      </c>
      <c r="N15" s="11">
        <v>3.4096769133286742E-2</v>
      </c>
      <c r="O15" s="6">
        <v>27.809998999999998</v>
      </c>
      <c r="P15" s="11">
        <v>-4.7608415951397864E-3</v>
      </c>
      <c r="Q15" s="6">
        <v>22.41</v>
      </c>
      <c r="R15" s="11">
        <v>0.23505577867023653</v>
      </c>
      <c r="S15" s="18">
        <v>7.4999999999999997E-3</v>
      </c>
      <c r="T15" s="6" t="s">
        <v>121</v>
      </c>
    </row>
    <row r="16" spans="1:25">
      <c r="A16" s="1" t="s">
        <v>519</v>
      </c>
      <c r="B16" s="1" t="s">
        <v>499</v>
      </c>
      <c r="C16" s="5">
        <v>30.43</v>
      </c>
      <c r="D16" s="5">
        <v>-2.0001000000000602E-2</v>
      </c>
      <c r="E16" s="14">
        <v>8.3000000000000001E-3</v>
      </c>
      <c r="F16" s="5">
        <v>30.450001</v>
      </c>
      <c r="G16" s="5"/>
      <c r="H16" s="10" t="s">
        <v>21</v>
      </c>
      <c r="I16" s="5">
        <v>30.1</v>
      </c>
      <c r="J16" s="10">
        <v>1.09634551495017E-2</v>
      </c>
      <c r="K16" s="5">
        <v>30.078325000000007</v>
      </c>
      <c r="L16" s="10">
        <v>1.1691974204015354E-2</v>
      </c>
      <c r="M16" s="5">
        <v>30.000649999999993</v>
      </c>
      <c r="N16" s="10">
        <v>1.4311356587274116E-2</v>
      </c>
      <c r="O16" s="5">
        <v>30.861000000000001</v>
      </c>
      <c r="P16" s="10">
        <v>-1.3965846861734854E-2</v>
      </c>
      <c r="Q16" s="5">
        <v>26.92</v>
      </c>
      <c r="R16" s="10">
        <v>0.13038632986627041</v>
      </c>
      <c r="S16" s="17">
        <v>2.7000000000000001E-3</v>
      </c>
      <c r="T16" s="5" t="s">
        <v>119</v>
      </c>
    </row>
    <row r="17" spans="1:20">
      <c r="A17" s="2" t="s">
        <v>524</v>
      </c>
      <c r="B17" s="2" t="s">
        <v>500</v>
      </c>
      <c r="C17" s="6">
        <v>47.05</v>
      </c>
      <c r="D17" s="6">
        <v>2.5398999999993066E-2</v>
      </c>
      <c r="E17" s="15">
        <v>1.0500000000000001E-2</v>
      </c>
      <c r="F17" s="6">
        <v>47.024601000000004</v>
      </c>
      <c r="G17" s="6"/>
      <c r="H17" s="11" t="s">
        <v>21</v>
      </c>
      <c r="I17" s="6">
        <v>46.73</v>
      </c>
      <c r="J17" s="11">
        <v>6.8478493473143054E-3</v>
      </c>
      <c r="K17" s="6">
        <v>46.645614974999987</v>
      </c>
      <c r="L17" s="11">
        <v>8.6693041825420813E-3</v>
      </c>
      <c r="M17" s="6">
        <v>46.12878844166665</v>
      </c>
      <c r="N17" s="11">
        <v>1.9970426049630285E-2</v>
      </c>
      <c r="O17" s="6">
        <v>47.18</v>
      </c>
      <c r="P17" s="11">
        <v>-2.7554048325562075E-3</v>
      </c>
      <c r="Q17" s="6">
        <v>40.07</v>
      </c>
      <c r="R17" s="11">
        <v>0.17419515847267264</v>
      </c>
      <c r="S17" s="18">
        <v>3.8999999999999998E-3</v>
      </c>
      <c r="T17" s="6" t="s">
        <v>119</v>
      </c>
    </row>
    <row r="18" spans="1:20">
      <c r="A18" s="1" t="s">
        <v>520</v>
      </c>
      <c r="B18" s="1" t="s">
        <v>501</v>
      </c>
      <c r="C18" s="5">
        <v>34.016399999999997</v>
      </c>
      <c r="D18" s="5">
        <v>2.4299999999996658E-2</v>
      </c>
      <c r="E18" s="14">
        <v>6.1050000000000002E-3</v>
      </c>
      <c r="F18" s="5">
        <v>33.992100000000001</v>
      </c>
      <c r="G18" s="5"/>
      <c r="H18" s="10" t="s">
        <v>21</v>
      </c>
      <c r="I18" s="5">
        <v>33.169998</v>
      </c>
      <c r="J18" s="10">
        <v>2.5517095297985737E-2</v>
      </c>
      <c r="K18" s="5">
        <v>33.422052575000009</v>
      </c>
      <c r="L18" s="10">
        <v>1.7783091677755491E-2</v>
      </c>
      <c r="M18" s="5">
        <v>33.696934299999995</v>
      </c>
      <c r="N18" s="10">
        <v>9.4805568113656147E-3</v>
      </c>
      <c r="O18" s="5">
        <v>35.549999</v>
      </c>
      <c r="P18" s="10">
        <v>-4.313921359041395E-2</v>
      </c>
      <c r="Q18" s="5">
        <v>30.67</v>
      </c>
      <c r="R18" s="10">
        <v>0.10910987936093886</v>
      </c>
      <c r="S18" s="17">
        <v>3.8999999999999998E-3</v>
      </c>
      <c r="T18" s="5" t="s">
        <v>119</v>
      </c>
    </row>
    <row r="19" spans="1:20">
      <c r="A19" s="2" t="s">
        <v>525</v>
      </c>
      <c r="B19" s="2" t="s">
        <v>502</v>
      </c>
      <c r="C19" s="6">
        <v>83.72</v>
      </c>
      <c r="D19" s="6">
        <v>-1.999800000000107E-2</v>
      </c>
      <c r="E19" s="15">
        <v>9.1999999999999998E-3</v>
      </c>
      <c r="F19" s="6">
        <v>83.739998</v>
      </c>
      <c r="G19" s="6"/>
      <c r="H19" s="11" t="s">
        <v>21</v>
      </c>
      <c r="I19" s="6">
        <v>82.120002999999997</v>
      </c>
      <c r="J19" s="11">
        <v>1.9483645172297503E-2</v>
      </c>
      <c r="K19" s="6">
        <v>82.378250024999986</v>
      </c>
      <c r="L19" s="11">
        <v>1.6287672712066881E-2</v>
      </c>
      <c r="M19" s="6">
        <v>82.236083024999985</v>
      </c>
      <c r="N19" s="11">
        <v>1.8044596975136828E-2</v>
      </c>
      <c r="O19" s="6">
        <v>83.889999000000003</v>
      </c>
      <c r="P19" s="11">
        <v>-2.0264513294367958E-3</v>
      </c>
      <c r="Q19" s="6">
        <v>75.339995999999999</v>
      </c>
      <c r="R19" s="11">
        <v>0.11122915376847109</v>
      </c>
      <c r="S19" s="18">
        <v>3.8E-3</v>
      </c>
      <c r="T19" s="6" t="s">
        <v>119</v>
      </c>
    </row>
    <row r="20" spans="1:20">
      <c r="A20" s="1" t="s">
        <v>526</v>
      </c>
      <c r="B20" s="1" t="s">
        <v>503</v>
      </c>
      <c r="C20" s="5">
        <v>69.34</v>
      </c>
      <c r="D20" s="5">
        <v>3.6602000000002022E-2</v>
      </c>
      <c r="E20" s="14">
        <v>9.4999999999999998E-3</v>
      </c>
      <c r="F20" s="5">
        <v>69.318398000000002</v>
      </c>
      <c r="G20" s="5"/>
      <c r="H20" s="10" t="s">
        <v>21</v>
      </c>
      <c r="I20" s="5">
        <v>68.760002</v>
      </c>
      <c r="J20" s="10">
        <v>8.6532574562752096E-3</v>
      </c>
      <c r="K20" s="5">
        <v>68.600210449999977</v>
      </c>
      <c r="L20" s="10">
        <v>1.1002729365533925E-2</v>
      </c>
      <c r="M20" s="5">
        <v>68.465070225000034</v>
      </c>
      <c r="N20" s="10">
        <v>1.2998303690850754E-2</v>
      </c>
      <c r="O20" s="5">
        <v>69.809997999999993</v>
      </c>
      <c r="P20" s="10">
        <v>-6.5176624127677441E-3</v>
      </c>
      <c r="Q20" s="5">
        <v>62.970001000000003</v>
      </c>
      <c r="R20" s="10">
        <v>0.10139747337783911</v>
      </c>
      <c r="S20" s="17">
        <v>3.8E-3</v>
      </c>
      <c r="T20" s="5" t="s">
        <v>119</v>
      </c>
    </row>
    <row r="21" spans="1:20">
      <c r="A21" s="2" t="s">
        <v>527</v>
      </c>
      <c r="B21" s="2" t="s">
        <v>504</v>
      </c>
      <c r="C21" s="6">
        <v>85.9</v>
      </c>
      <c r="D21" s="6">
        <v>-1.999799999998686E-2</v>
      </c>
      <c r="E21" s="15">
        <v>1.0200000000000001E-2</v>
      </c>
      <c r="F21" s="6">
        <v>85.919997999999993</v>
      </c>
      <c r="G21" s="6"/>
      <c r="H21" s="11" t="s">
        <v>21</v>
      </c>
      <c r="I21" s="6">
        <v>85.330002000000007</v>
      </c>
      <c r="J21" s="11">
        <v>6.6799248405033929E-3</v>
      </c>
      <c r="K21" s="6">
        <v>84.978749924999974</v>
      </c>
      <c r="L21" s="11">
        <v>1.0840946422642217E-2</v>
      </c>
      <c r="M21" s="6">
        <v>84.041583700000018</v>
      </c>
      <c r="N21" s="11">
        <v>2.2113056634367023E-2</v>
      </c>
      <c r="O21" s="6">
        <v>85.919997999999993</v>
      </c>
      <c r="P21" s="11">
        <v>-2.3275140206580058E-4</v>
      </c>
      <c r="Q21" s="6">
        <v>74.010002</v>
      </c>
      <c r="R21" s="11">
        <v>0.16065393431552688</v>
      </c>
      <c r="S21" s="18">
        <v>2.8E-3</v>
      </c>
      <c r="T21" s="6" t="s">
        <v>119</v>
      </c>
    </row>
    <row r="22" spans="1:20">
      <c r="A22" s="1" t="s">
        <v>528</v>
      </c>
      <c r="B22" s="1" t="s">
        <v>505</v>
      </c>
      <c r="C22" s="5">
        <v>73.974999999999994</v>
      </c>
      <c r="D22" s="5">
        <v>1.9999999949504854E-6</v>
      </c>
      <c r="E22" s="14">
        <v>9.0600000000000003E-3</v>
      </c>
      <c r="F22" s="5">
        <v>73.974997999999999</v>
      </c>
      <c r="G22" s="5"/>
      <c r="H22" s="10" t="s">
        <v>21</v>
      </c>
      <c r="I22" s="5">
        <v>74.199996999999996</v>
      </c>
      <c r="J22" s="10">
        <v>-3.0323047048101959E-3</v>
      </c>
      <c r="K22" s="5">
        <v>73.760874625</v>
      </c>
      <c r="L22" s="10">
        <v>2.9029668654094731E-3</v>
      </c>
      <c r="M22" s="5">
        <v>72.25654154999998</v>
      </c>
      <c r="N22" s="10">
        <v>2.3782738740836029E-2</v>
      </c>
      <c r="O22" s="5">
        <v>74.610000999999997</v>
      </c>
      <c r="P22" s="10">
        <v>-8.5109367576606809E-3</v>
      </c>
      <c r="Q22" s="5">
        <v>61.220001000000003</v>
      </c>
      <c r="R22" s="10">
        <v>0.20834692570488511</v>
      </c>
      <c r="S22" s="17">
        <v>3.8E-3</v>
      </c>
      <c r="T22" s="5" t="s">
        <v>119</v>
      </c>
    </row>
    <row r="23" spans="1:20">
      <c r="A23" s="2" t="s">
        <v>521</v>
      </c>
      <c r="B23" s="2" t="s">
        <v>506</v>
      </c>
      <c r="C23" s="6">
        <v>86.67</v>
      </c>
      <c r="D23" s="6">
        <v>-4.7996999999995182E-2</v>
      </c>
      <c r="E23" s="15">
        <v>9.4000000000000004E-3</v>
      </c>
      <c r="F23" s="6">
        <v>115.587997</v>
      </c>
      <c r="G23" s="6"/>
      <c r="H23" s="11" t="s">
        <v>21</v>
      </c>
      <c r="I23" s="6">
        <v>115.38689984999996</v>
      </c>
      <c r="J23" s="11">
        <v>1.3268416969263175E-3</v>
      </c>
      <c r="K23" s="6">
        <v>116.12419982500003</v>
      </c>
      <c r="L23" s="11">
        <v>-5.0308189497143552E-3</v>
      </c>
      <c r="M23" s="6">
        <v>115.46123350833342</v>
      </c>
      <c r="N23" s="11">
        <v>6.8218993746405054E-4</v>
      </c>
      <c r="O23" s="6">
        <v>118.41999799999999</v>
      </c>
      <c r="P23" s="11">
        <v>-2.4320199701405087E-2</v>
      </c>
      <c r="Q23" s="6">
        <v>102.199997</v>
      </c>
      <c r="R23" s="11">
        <v>0.13052840891962081</v>
      </c>
      <c r="S23" s="18">
        <v>2.8E-3</v>
      </c>
      <c r="T23" s="6" t="s">
        <v>119</v>
      </c>
    </row>
    <row r="24" spans="1:20">
      <c r="A24" s="1" t="s">
        <v>543</v>
      </c>
      <c r="B24" s="1" t="s">
        <v>529</v>
      </c>
      <c r="C24" s="5">
        <v>59.081499999999998</v>
      </c>
      <c r="D24" s="5">
        <v>-0.12849899999999792</v>
      </c>
      <c r="E24" s="14">
        <v>1.0756E-2</v>
      </c>
      <c r="F24" s="5">
        <v>59.209998999999996</v>
      </c>
      <c r="G24" s="5"/>
      <c r="H24" s="10" t="s">
        <v>21</v>
      </c>
      <c r="I24" s="5">
        <v>58.720001000000003</v>
      </c>
      <c r="J24" s="10">
        <v>6.1563180150490115E-3</v>
      </c>
      <c r="K24" s="5">
        <v>59.006500400000014</v>
      </c>
      <c r="L24" s="10">
        <v>1.271039622610548E-3</v>
      </c>
      <c r="M24" s="5">
        <v>59.146000166666653</v>
      </c>
      <c r="N24" s="10">
        <v>-1.0905245745257419E-3</v>
      </c>
      <c r="O24" s="5">
        <v>61</v>
      </c>
      <c r="P24" s="10">
        <v>-3.1450819672131147E-2</v>
      </c>
      <c r="Q24" s="5">
        <v>50.240002000000004</v>
      </c>
      <c r="R24" s="10">
        <v>0.17598522388593851</v>
      </c>
      <c r="S24" s="17">
        <v>4.1000000000000003E-3</v>
      </c>
      <c r="T24" s="5" t="s">
        <v>118</v>
      </c>
    </row>
    <row r="25" spans="1:20">
      <c r="A25" s="2" t="s">
        <v>544</v>
      </c>
      <c r="B25" s="2" t="s">
        <v>530</v>
      </c>
      <c r="C25" s="6">
        <v>31.625</v>
      </c>
      <c r="D25" s="6">
        <v>0</v>
      </c>
      <c r="E25" s="15">
        <v>1.1350000000000001E-2</v>
      </c>
      <c r="F25" s="6">
        <v>31.625</v>
      </c>
      <c r="G25" s="6"/>
      <c r="H25" s="11" t="s">
        <v>21</v>
      </c>
      <c r="I25" s="6">
        <v>31.23</v>
      </c>
      <c r="J25" s="11">
        <v>1.2648094780659536E-2</v>
      </c>
      <c r="K25" s="6">
        <v>31.310924874999994</v>
      </c>
      <c r="L25" s="11">
        <v>1.0030847899059614E-2</v>
      </c>
      <c r="M25" s="6">
        <v>30.970574941666669</v>
      </c>
      <c r="N25" s="11">
        <v>2.1130542767318516E-2</v>
      </c>
      <c r="O25" s="6">
        <v>31.879998999999998</v>
      </c>
      <c r="P25" s="11">
        <v>-7.9987141781276971E-3</v>
      </c>
      <c r="Q25" s="6">
        <v>26.43</v>
      </c>
      <c r="R25" s="11">
        <v>0.196556942867953</v>
      </c>
      <c r="S25" s="18">
        <v>4.4999999999999997E-3</v>
      </c>
      <c r="T25" s="6" t="s">
        <v>118</v>
      </c>
    </row>
    <row r="26" spans="1:20">
      <c r="A26" s="1" t="s">
        <v>545</v>
      </c>
      <c r="B26" s="1" t="s">
        <v>531</v>
      </c>
      <c r="C26" s="5">
        <v>60.13</v>
      </c>
      <c r="D26" s="5">
        <v>4.9998000000002207E-2</v>
      </c>
      <c r="E26" s="14">
        <v>1.11E-2</v>
      </c>
      <c r="F26" s="5">
        <v>60.080002</v>
      </c>
      <c r="G26" s="5"/>
      <c r="H26" s="10" t="s">
        <v>21</v>
      </c>
      <c r="I26" s="5">
        <v>59.080002</v>
      </c>
      <c r="J26" s="10">
        <v>1.777247739429666E-2</v>
      </c>
      <c r="K26" s="5">
        <v>59.284125025000016</v>
      </c>
      <c r="L26" s="10">
        <v>1.4268153146281382E-2</v>
      </c>
      <c r="M26" s="5">
        <v>58.640808199999988</v>
      </c>
      <c r="N26" s="10">
        <v>2.53951445369065E-2</v>
      </c>
      <c r="O26" s="5">
        <v>60.139998999999996</v>
      </c>
      <c r="P26" s="10">
        <v>-1.6626205796899107E-4</v>
      </c>
      <c r="Q26" s="5">
        <v>50.813999000000003</v>
      </c>
      <c r="R26" s="10">
        <v>0.18333532458250335</v>
      </c>
      <c r="S26" s="17">
        <v>2.3999999999999998E-3</v>
      </c>
      <c r="T26" s="5" t="s">
        <v>118</v>
      </c>
    </row>
    <row r="27" spans="1:20">
      <c r="A27" s="2" t="s">
        <v>546</v>
      </c>
      <c r="B27" s="2" t="s">
        <v>532</v>
      </c>
      <c r="C27" s="6">
        <v>35.92</v>
      </c>
      <c r="D27" s="6">
        <v>1.0000000000005116E-2</v>
      </c>
      <c r="E27" s="15">
        <v>1.1299999999999999E-2</v>
      </c>
      <c r="F27" s="6">
        <v>35.909999999999997</v>
      </c>
      <c r="G27" s="6"/>
      <c r="H27" s="11" t="s">
        <v>21</v>
      </c>
      <c r="I27" s="6">
        <v>35.720001000000003</v>
      </c>
      <c r="J27" s="11">
        <v>5.5990759910673482E-3</v>
      </c>
      <c r="K27" s="6">
        <v>35.774499974999998</v>
      </c>
      <c r="L27" s="11">
        <v>4.0671434989079103E-3</v>
      </c>
      <c r="M27" s="6">
        <v>35.563333358333331</v>
      </c>
      <c r="N27" s="11">
        <v>1.0029055433947276E-2</v>
      </c>
      <c r="O27" s="6">
        <v>36.729999999999997</v>
      </c>
      <c r="P27" s="11">
        <v>-2.2052817860059748E-2</v>
      </c>
      <c r="Q27" s="6">
        <v>30.166665999999996</v>
      </c>
      <c r="R27" s="11">
        <v>0.19071825835841483</v>
      </c>
      <c r="S27" s="18">
        <v>3.8E-3</v>
      </c>
      <c r="T27" s="6" t="s">
        <v>118</v>
      </c>
    </row>
    <row r="28" spans="1:20">
      <c r="A28" s="1" t="s">
        <v>547</v>
      </c>
      <c r="B28" s="1" t="s">
        <v>533</v>
      </c>
      <c r="C28" s="5">
        <v>34.489899999999999</v>
      </c>
      <c r="D28" s="5">
        <v>9.9999999747524271E-7</v>
      </c>
      <c r="E28" s="14">
        <v>7.5929999999999999E-3</v>
      </c>
      <c r="F28" s="5">
        <v>34.489899000000001</v>
      </c>
      <c r="G28" s="5"/>
      <c r="H28" s="10" t="s">
        <v>21</v>
      </c>
      <c r="I28" s="5">
        <v>34.445999</v>
      </c>
      <c r="J28" s="10">
        <v>1.2744876407850825E-3</v>
      </c>
      <c r="K28" s="5">
        <v>34.448322349999998</v>
      </c>
      <c r="L28" s="10">
        <v>1.206957180020618E-3</v>
      </c>
      <c r="M28" s="5">
        <v>33.784307483333329</v>
      </c>
      <c r="N28" s="10">
        <v>2.0885214741037883E-2</v>
      </c>
      <c r="O28" s="5">
        <v>37.900002000000001</v>
      </c>
      <c r="P28" s="10">
        <v>-8.997630132051182E-2</v>
      </c>
      <c r="Q28" s="5">
        <v>28.295999999999999</v>
      </c>
      <c r="R28" s="10">
        <v>0.21889666383941186</v>
      </c>
      <c r="S28" s="17">
        <v>5.0000000000000001E-3</v>
      </c>
      <c r="T28" s="5" t="s">
        <v>122</v>
      </c>
    </row>
    <row r="29" spans="1:20">
      <c r="A29" s="2" t="s">
        <v>548</v>
      </c>
      <c r="B29" s="2" t="s">
        <v>534</v>
      </c>
      <c r="C29" s="6">
        <v>25.2866</v>
      </c>
      <c r="D29" s="6">
        <v>2.6599999999998403E-2</v>
      </c>
      <c r="E29" s="15">
        <v>8.2380000000000005E-3</v>
      </c>
      <c r="F29" s="6">
        <v>25.26</v>
      </c>
      <c r="G29" s="6"/>
      <c r="H29" s="11" t="s">
        <v>21</v>
      </c>
      <c r="I29" s="6">
        <v>25.290001</v>
      </c>
      <c r="J29" s="11">
        <v>-1.3448002631555322E-4</v>
      </c>
      <c r="K29" s="6">
        <v>25.322750024999994</v>
      </c>
      <c r="L29" s="11">
        <v>-1.4275710562361432E-3</v>
      </c>
      <c r="M29" s="6">
        <v>25.304000125000012</v>
      </c>
      <c r="N29" s="11">
        <v>-6.8764325458647857E-4</v>
      </c>
      <c r="O29" s="6">
        <v>25.82</v>
      </c>
      <c r="P29" s="11">
        <v>-2.0658404337722702E-2</v>
      </c>
      <c r="Q29" s="6">
        <v>23.41</v>
      </c>
      <c r="R29" s="11">
        <v>8.0162323793250723E-2</v>
      </c>
      <c r="S29" s="18">
        <v>4.4999999999999997E-3</v>
      </c>
      <c r="T29" s="6" t="s">
        <v>125</v>
      </c>
    </row>
    <row r="30" spans="1:20">
      <c r="A30" s="1" t="s">
        <v>549</v>
      </c>
      <c r="B30" s="1" t="s">
        <v>535</v>
      </c>
      <c r="C30" s="5">
        <v>55.744</v>
      </c>
      <c r="D30" s="5">
        <v>5.4000999999999522E-2</v>
      </c>
      <c r="E30" s="14">
        <v>1.353E-2</v>
      </c>
      <c r="F30" s="5">
        <v>55.689999</v>
      </c>
      <c r="G30" s="5"/>
      <c r="H30" s="10" t="s">
        <v>21</v>
      </c>
      <c r="I30" s="5">
        <v>55.189999</v>
      </c>
      <c r="J30" s="10">
        <v>1.0038068672550526E-2</v>
      </c>
      <c r="K30" s="5">
        <v>55.685249925000008</v>
      </c>
      <c r="L30" s="10">
        <v>1.0550383643626038E-3</v>
      </c>
      <c r="M30" s="5">
        <v>55.532750016666647</v>
      </c>
      <c r="N30" s="10">
        <v>3.8040612660088513E-3</v>
      </c>
      <c r="O30" s="5">
        <v>57.830002</v>
      </c>
      <c r="P30" s="10">
        <v>-3.6071276635957883E-2</v>
      </c>
      <c r="Q30" s="5">
        <v>47.650002000000001</v>
      </c>
      <c r="R30" s="10">
        <v>0.1698635395650141</v>
      </c>
      <c r="S30" s="17">
        <v>3.8999999999999998E-3</v>
      </c>
      <c r="T30" s="5" t="s">
        <v>125</v>
      </c>
    </row>
    <row r="31" spans="1:20">
      <c r="A31" s="2" t="s">
        <v>550</v>
      </c>
      <c r="B31" s="2" t="s">
        <v>536</v>
      </c>
      <c r="C31" s="6">
        <v>98.33</v>
      </c>
      <c r="D31" s="6">
        <v>-2.0000000091613401E-6</v>
      </c>
      <c r="E31" s="15">
        <v>1.0699999999999999E-2</v>
      </c>
      <c r="F31" s="6">
        <v>98.330002000000007</v>
      </c>
      <c r="G31" s="6"/>
      <c r="H31" s="11" t="s">
        <v>21</v>
      </c>
      <c r="I31" s="6">
        <v>97.150002000000001</v>
      </c>
      <c r="J31" s="11">
        <v>1.2146144886337806E-2</v>
      </c>
      <c r="K31" s="6">
        <v>97.421250174999997</v>
      </c>
      <c r="L31" s="11">
        <v>9.3280451992516777E-3</v>
      </c>
      <c r="M31" s="6">
        <v>97.293833325000023</v>
      </c>
      <c r="N31" s="11">
        <v>1.0649869982394033E-2</v>
      </c>
      <c r="O31" s="6">
        <v>99.230002999999996</v>
      </c>
      <c r="P31" s="11">
        <v>-9.0698677092653224E-3</v>
      </c>
      <c r="Q31" s="6">
        <v>86.290001000000004</v>
      </c>
      <c r="R31" s="11">
        <v>0.13952948036238855</v>
      </c>
      <c r="S31" s="18">
        <v>3.8E-3</v>
      </c>
      <c r="T31" s="6" t="s">
        <v>125</v>
      </c>
    </row>
    <row r="32" spans="1:20">
      <c r="A32" s="1" t="s">
        <v>551</v>
      </c>
      <c r="B32" s="1" t="s">
        <v>537</v>
      </c>
      <c r="C32" s="5">
        <v>49.01</v>
      </c>
      <c r="D32" s="5">
        <v>2.0000000020559128E-6</v>
      </c>
      <c r="E32" s="14">
        <v>1.06E-2</v>
      </c>
      <c r="F32" s="5">
        <v>49.009997999999996</v>
      </c>
      <c r="G32" s="5"/>
      <c r="H32" s="10" t="s">
        <v>21</v>
      </c>
      <c r="I32" s="5">
        <v>48.549999</v>
      </c>
      <c r="J32" s="10">
        <v>9.4747890726012418E-3</v>
      </c>
      <c r="K32" s="5">
        <v>48.892249650000011</v>
      </c>
      <c r="L32" s="10">
        <v>2.4083643285575107E-3</v>
      </c>
      <c r="M32" s="5">
        <v>49.100666466666674</v>
      </c>
      <c r="N32" s="10">
        <v>-1.8465424848810308E-3</v>
      </c>
      <c r="O32" s="5">
        <v>51.299999</v>
      </c>
      <c r="P32" s="10">
        <v>-4.4639357595309126E-2</v>
      </c>
      <c r="Q32" s="5">
        <v>41.349997999999999</v>
      </c>
      <c r="R32" s="10">
        <v>0.18524794124536603</v>
      </c>
      <c r="S32" s="17">
        <v>4.1000000000000003E-3</v>
      </c>
      <c r="T32" s="5" t="s">
        <v>120</v>
      </c>
    </row>
    <row r="33" spans="1:20">
      <c r="A33" s="2" t="s">
        <v>552</v>
      </c>
      <c r="B33" s="2" t="s">
        <v>538</v>
      </c>
      <c r="C33" s="6">
        <v>27.419899999999998</v>
      </c>
      <c r="D33" s="6">
        <v>5.9898999999997926E-2</v>
      </c>
      <c r="E33" s="15">
        <v>1.1804E-2</v>
      </c>
      <c r="F33" s="6">
        <v>27.360001</v>
      </c>
      <c r="G33" s="6"/>
      <c r="H33" s="11" t="s">
        <v>21</v>
      </c>
      <c r="I33" s="6">
        <v>27.135999999999999</v>
      </c>
      <c r="J33" s="11">
        <v>1.0462116745282968E-2</v>
      </c>
      <c r="K33" s="6">
        <v>27.158475074999995</v>
      </c>
      <c r="L33" s="11">
        <v>9.6259058830829858E-3</v>
      </c>
      <c r="M33" s="6">
        <v>27.002649991666665</v>
      </c>
      <c r="N33" s="11">
        <v>1.5452187413535379E-2</v>
      </c>
      <c r="O33" s="6">
        <v>27.806000000000001</v>
      </c>
      <c r="P33" s="11">
        <v>-1.3885492339782868E-2</v>
      </c>
      <c r="Q33" s="6">
        <v>25.225000000000001</v>
      </c>
      <c r="R33" s="11">
        <v>8.7012884043607297E-2</v>
      </c>
      <c r="S33" s="18">
        <v>2.8999999999999998E-3</v>
      </c>
      <c r="T33" s="6" t="s">
        <v>120</v>
      </c>
    </row>
    <row r="34" spans="1:20">
      <c r="A34" s="1" t="s">
        <v>553</v>
      </c>
      <c r="B34" s="1" t="s">
        <v>539</v>
      </c>
      <c r="C34" s="5">
        <v>63.47</v>
      </c>
      <c r="D34" s="5"/>
      <c r="E34" s="14">
        <v>1.0699999999999999E-2</v>
      </c>
      <c r="F34" s="5"/>
      <c r="G34" s="5"/>
      <c r="H34" s="10" t="s">
        <v>21</v>
      </c>
      <c r="I34" s="5"/>
      <c r="J34" s="10"/>
      <c r="K34" s="5"/>
      <c r="L34" s="10"/>
      <c r="M34" s="5"/>
      <c r="N34" s="10"/>
      <c r="O34" s="5"/>
      <c r="P34" s="10"/>
      <c r="Q34" s="5"/>
      <c r="R34" s="10"/>
      <c r="S34" s="17">
        <v>3.8999999999999998E-3</v>
      </c>
      <c r="T34" s="5" t="s">
        <v>120</v>
      </c>
    </row>
    <row r="35" spans="1:20">
      <c r="A35" s="2" t="s">
        <v>554</v>
      </c>
      <c r="B35" s="2" t="s">
        <v>540</v>
      </c>
      <c r="C35" s="6">
        <v>32.549999999999997</v>
      </c>
      <c r="D35" s="6">
        <v>9.9989999999934298E-3</v>
      </c>
      <c r="E35" s="15">
        <v>1.5299999999999999E-2</v>
      </c>
      <c r="F35" s="6">
        <v>32.540001000000004</v>
      </c>
      <c r="G35" s="6"/>
      <c r="H35" s="11" t="s">
        <v>21</v>
      </c>
      <c r="I35" s="6">
        <v>32.299999</v>
      </c>
      <c r="J35" s="11">
        <v>7.7399692798751918E-3</v>
      </c>
      <c r="K35" s="6">
        <v>32.35999995000001</v>
      </c>
      <c r="L35" s="11">
        <v>5.8714477841026458E-3</v>
      </c>
      <c r="M35" s="6">
        <v>32.327583366666659</v>
      </c>
      <c r="N35" s="11">
        <v>6.8800884622473024E-3</v>
      </c>
      <c r="O35" s="6">
        <v>33.509997999999996</v>
      </c>
      <c r="P35" s="11">
        <v>-2.8648106753094926E-2</v>
      </c>
      <c r="Q35" s="6">
        <v>26.58</v>
      </c>
      <c r="R35" s="11">
        <v>0.22460496613995473</v>
      </c>
      <c r="S35" s="18">
        <v>3.8E-3</v>
      </c>
      <c r="T35" s="6" t="s">
        <v>120</v>
      </c>
    </row>
    <row r="36" spans="1:20">
      <c r="A36" s="1" t="s">
        <v>555</v>
      </c>
      <c r="B36" s="1" t="s">
        <v>541</v>
      </c>
      <c r="C36" s="5">
        <v>32.380000000000003</v>
      </c>
      <c r="D36" s="5">
        <v>-1.9898999999995226E-2</v>
      </c>
      <c r="E36" s="14">
        <v>1.43E-2</v>
      </c>
      <c r="F36" s="5">
        <v>32.399898999999998</v>
      </c>
      <c r="G36" s="5"/>
      <c r="H36" s="10" t="s">
        <v>21</v>
      </c>
      <c r="I36" s="5">
        <v>32.580002</v>
      </c>
      <c r="J36" s="10">
        <v>-6.138796431013005E-3</v>
      </c>
      <c r="K36" s="5">
        <v>32.637497549999999</v>
      </c>
      <c r="L36" s="10">
        <v>-7.8896229591596256E-3</v>
      </c>
      <c r="M36" s="5">
        <v>32.939999150000013</v>
      </c>
      <c r="N36" s="10">
        <v>-1.7000581798740311E-2</v>
      </c>
      <c r="O36" s="5">
        <v>34.959998999999996</v>
      </c>
      <c r="P36" s="10">
        <v>-7.3798600509113133E-2</v>
      </c>
      <c r="Q36" s="5">
        <v>29.129998999999998</v>
      </c>
      <c r="R36" s="10">
        <v>0.11156886754441708</v>
      </c>
      <c r="S36" s="17">
        <v>3.8E-3</v>
      </c>
      <c r="T36" s="5" t="s">
        <v>120</v>
      </c>
    </row>
    <row r="37" spans="1:20">
      <c r="A37" s="2" t="s">
        <v>556</v>
      </c>
      <c r="B37" s="2" t="s">
        <v>542</v>
      </c>
      <c r="C37" s="6">
        <v>79.967200000000005</v>
      </c>
      <c r="D37" s="6">
        <v>1.3203000000004295E-2</v>
      </c>
      <c r="E37" s="15">
        <v>9.9419999999999994E-3</v>
      </c>
      <c r="F37" s="6">
        <v>79.963996999999992</v>
      </c>
      <c r="G37" s="6"/>
      <c r="H37" s="11" t="s">
        <v>21</v>
      </c>
      <c r="I37" s="6">
        <v>78.949996999999996</v>
      </c>
      <c r="J37" s="11">
        <v>1.3010804800917208E-2</v>
      </c>
      <c r="K37" s="6">
        <v>79.482350324999985</v>
      </c>
      <c r="L37" s="11">
        <v>6.2259064179228663E-3</v>
      </c>
      <c r="M37" s="6">
        <v>80.073950058333324</v>
      </c>
      <c r="N37" s="11">
        <v>-1.208258844016652E-3</v>
      </c>
      <c r="O37" s="6">
        <v>84.209998999999996</v>
      </c>
      <c r="P37" s="11">
        <v>-5.0264802876912484E-2</v>
      </c>
      <c r="Q37" s="6">
        <v>70.309997999999993</v>
      </c>
      <c r="R37" s="11">
        <v>0.13749398769716947</v>
      </c>
      <c r="S37" s="18">
        <v>3.8E-3</v>
      </c>
      <c r="T37" s="6" t="s">
        <v>123</v>
      </c>
    </row>
    <row r="38" spans="1:20">
      <c r="A38" s="1"/>
      <c r="B38" s="1"/>
      <c r="C38" s="5"/>
      <c r="D38" s="5"/>
      <c r="E38" s="14"/>
      <c r="F38" s="5"/>
      <c r="G38" s="5"/>
      <c r="H38" s="10"/>
      <c r="I38" s="5"/>
      <c r="J38" s="10"/>
      <c r="K38" s="5"/>
      <c r="L38" s="10"/>
      <c r="M38" s="5"/>
      <c r="N38" s="10"/>
      <c r="O38" s="5"/>
      <c r="P38" s="10"/>
      <c r="Q38" s="5"/>
      <c r="R38" s="10"/>
      <c r="S38" s="5"/>
      <c r="T38" s="5"/>
    </row>
    <row r="39" spans="1:20">
      <c r="A39" s="2"/>
      <c r="B39" s="2"/>
      <c r="C39" s="6"/>
      <c r="D39" s="6"/>
      <c r="E39" s="15"/>
      <c r="F39" s="6"/>
      <c r="G39" s="6"/>
      <c r="H39" s="11"/>
      <c r="I39" s="6"/>
      <c r="J39" s="11"/>
      <c r="K39" s="6"/>
      <c r="L39" s="11"/>
      <c r="M39" s="6"/>
      <c r="N39" s="11"/>
      <c r="O39" s="6"/>
      <c r="P39" s="11"/>
      <c r="Q39" s="6"/>
      <c r="R39" s="11"/>
      <c r="S39" s="6"/>
      <c r="T39" s="6"/>
    </row>
    <row r="40" spans="1:20">
      <c r="A40" s="1"/>
      <c r="B40" s="1"/>
      <c r="C40" s="5"/>
      <c r="D40" s="5"/>
      <c r="E40" s="14"/>
      <c r="F40" s="5"/>
      <c r="G40" s="5"/>
      <c r="H40" s="10"/>
      <c r="I40" s="5"/>
      <c r="J40" s="10"/>
      <c r="K40" s="5"/>
      <c r="L40" s="10"/>
      <c r="M40" s="5"/>
      <c r="N40" s="10"/>
      <c r="O40" s="5"/>
      <c r="P40" s="10"/>
      <c r="Q40" s="5"/>
      <c r="R40" s="10"/>
      <c r="S40" s="5"/>
      <c r="T40" s="5"/>
    </row>
    <row r="41" spans="1:20">
      <c r="A41" s="2"/>
      <c r="B41" s="2"/>
      <c r="C41" s="6"/>
      <c r="D41" s="6"/>
      <c r="E41" s="15"/>
      <c r="F41" s="6"/>
      <c r="G41" s="6"/>
      <c r="H41" s="11"/>
      <c r="I41" s="6"/>
      <c r="J41" s="11"/>
      <c r="K41" s="6"/>
      <c r="L41" s="11"/>
      <c r="M41" s="6"/>
      <c r="N41" s="11"/>
      <c r="O41" s="6"/>
      <c r="P41" s="11"/>
      <c r="Q41" s="6"/>
      <c r="R41" s="11"/>
      <c r="S41" s="6"/>
      <c r="T41" s="6"/>
    </row>
    <row r="42" spans="1:20">
      <c r="A42" s="1"/>
      <c r="B42" s="1"/>
      <c r="C42" s="5"/>
      <c r="D42" s="5"/>
      <c r="E42" s="14"/>
      <c r="F42" s="5"/>
      <c r="G42" s="5"/>
      <c r="H42" s="10"/>
      <c r="I42" s="5"/>
      <c r="J42" s="10"/>
      <c r="K42" s="5"/>
      <c r="L42" s="10"/>
      <c r="M42" s="5"/>
      <c r="N42" s="10"/>
      <c r="O42" s="5"/>
      <c r="P42" s="10"/>
      <c r="Q42" s="5"/>
      <c r="R42" s="10"/>
      <c r="S42" s="5"/>
      <c r="T42" s="5"/>
    </row>
    <row r="43" spans="1:20">
      <c r="A43" s="2"/>
      <c r="B43" s="2"/>
      <c r="C43" s="6"/>
      <c r="D43" s="6"/>
      <c r="E43" s="15"/>
      <c r="F43" s="6"/>
      <c r="G43" s="6"/>
      <c r="H43" s="11"/>
      <c r="I43" s="6"/>
      <c r="J43" s="11"/>
      <c r="K43" s="6"/>
      <c r="L43" s="11"/>
      <c r="M43" s="6"/>
      <c r="N43" s="11"/>
      <c r="O43" s="6"/>
      <c r="P43" s="11"/>
      <c r="Q43" s="6"/>
      <c r="R43" s="11"/>
      <c r="S43" s="6"/>
      <c r="T43" s="6"/>
    </row>
    <row r="44" spans="1:20">
      <c r="A44" s="1"/>
      <c r="B44" s="1"/>
      <c r="C44" s="5"/>
      <c r="D44" s="5"/>
      <c r="E44" s="14"/>
      <c r="F44" s="5"/>
      <c r="G44" s="5"/>
      <c r="H44" s="10"/>
      <c r="I44" s="5"/>
      <c r="J44" s="10"/>
      <c r="K44" s="5"/>
      <c r="L44" s="10"/>
      <c r="M44" s="5"/>
      <c r="N44" s="10"/>
      <c r="O44" s="5"/>
      <c r="P44" s="10"/>
      <c r="Q44" s="5"/>
      <c r="R44" s="10"/>
      <c r="S44" s="5"/>
      <c r="T44" s="5"/>
    </row>
    <row r="45" spans="1:20">
      <c r="A45" s="2"/>
      <c r="B45" s="2"/>
      <c r="C45" s="6"/>
      <c r="D45" s="6"/>
      <c r="E45" s="15"/>
      <c r="F45" s="6"/>
      <c r="G45" s="6"/>
      <c r="H45" s="11"/>
      <c r="I45" s="6"/>
      <c r="J45" s="11"/>
      <c r="K45" s="6"/>
      <c r="L45" s="11"/>
      <c r="M45" s="6"/>
      <c r="N45" s="11"/>
      <c r="O45" s="6"/>
      <c r="P45" s="11"/>
      <c r="Q45" s="6"/>
      <c r="R45" s="11"/>
      <c r="S45" s="6"/>
      <c r="T45" s="6"/>
    </row>
    <row r="46" spans="1:20">
      <c r="A46" s="1"/>
      <c r="B46" s="1"/>
      <c r="C46" s="5"/>
      <c r="D46" s="5"/>
      <c r="E46" s="14"/>
      <c r="F46" s="5"/>
      <c r="G46" s="5"/>
      <c r="H46" s="10"/>
      <c r="I46" s="5"/>
      <c r="J46" s="10"/>
      <c r="K46" s="5"/>
      <c r="L46" s="10"/>
      <c r="M46" s="5"/>
      <c r="N46" s="10"/>
      <c r="O46" s="5"/>
      <c r="P46" s="10"/>
      <c r="Q46" s="5"/>
      <c r="R46" s="10"/>
      <c r="S46" s="5"/>
      <c r="T46" s="5"/>
    </row>
    <row r="47" spans="1:20">
      <c r="A47" s="2"/>
      <c r="B47" s="2"/>
      <c r="C47" s="6"/>
      <c r="D47" s="6"/>
      <c r="E47" s="15"/>
      <c r="F47" s="6"/>
      <c r="G47" s="6"/>
      <c r="H47" s="11"/>
      <c r="I47" s="6"/>
      <c r="J47" s="11"/>
      <c r="K47" s="6"/>
      <c r="L47" s="11"/>
      <c r="M47" s="6"/>
      <c r="N47" s="11"/>
      <c r="O47" s="6"/>
      <c r="P47" s="11"/>
      <c r="Q47" s="6"/>
      <c r="R47" s="11"/>
      <c r="S47" s="6"/>
      <c r="T47" s="6"/>
    </row>
    <row r="48" spans="1:20">
      <c r="A48" s="1"/>
      <c r="B48" s="1"/>
      <c r="C48" s="5"/>
      <c r="D48" s="5"/>
      <c r="E48" s="14"/>
      <c r="F48" s="5"/>
      <c r="G48" s="5"/>
      <c r="H48" s="10"/>
      <c r="I48" s="5"/>
      <c r="J48" s="10"/>
      <c r="K48" s="5"/>
      <c r="L48" s="10"/>
      <c r="M48" s="5"/>
      <c r="N48" s="10"/>
      <c r="O48" s="5"/>
      <c r="P48" s="10"/>
      <c r="Q48" s="5"/>
      <c r="R48" s="10"/>
      <c r="S48" s="5"/>
      <c r="T48" s="5"/>
    </row>
    <row r="49" spans="1:20">
      <c r="A49" s="2"/>
      <c r="B49" s="2"/>
      <c r="C49" s="6"/>
      <c r="D49" s="6"/>
      <c r="E49" s="15"/>
      <c r="F49" s="6"/>
      <c r="G49" s="6"/>
      <c r="H49" s="11"/>
      <c r="I49" s="6"/>
      <c r="J49" s="11"/>
      <c r="K49" s="6"/>
      <c r="L49" s="11"/>
      <c r="M49" s="6"/>
      <c r="N49" s="11"/>
      <c r="O49" s="6"/>
      <c r="P49" s="11"/>
      <c r="Q49" s="6"/>
      <c r="R49" s="11"/>
      <c r="S49" s="6"/>
      <c r="T49" s="6"/>
    </row>
    <row r="50" spans="1:20">
      <c r="A50" s="1"/>
      <c r="B50" s="1"/>
      <c r="C50" s="5"/>
      <c r="D50" s="5"/>
      <c r="E50" s="14"/>
      <c r="F50" s="5"/>
      <c r="G50" s="5"/>
      <c r="H50" s="10"/>
      <c r="I50" s="5"/>
      <c r="J50" s="10"/>
      <c r="K50" s="5"/>
      <c r="L50" s="10"/>
      <c r="M50" s="5"/>
      <c r="N50" s="10"/>
      <c r="O50" s="5"/>
      <c r="P50" s="10"/>
      <c r="Q50" s="5"/>
      <c r="R50" s="10"/>
      <c r="S50" s="5"/>
      <c r="T50" s="5"/>
    </row>
    <row r="51" spans="1:20">
      <c r="A51" s="2"/>
      <c r="B51" s="2"/>
      <c r="C51" s="6"/>
      <c r="D51" s="6"/>
      <c r="E51" s="15"/>
      <c r="F51" s="6"/>
      <c r="G51" s="6"/>
      <c r="H51" s="11"/>
      <c r="I51" s="6"/>
      <c r="J51" s="11"/>
      <c r="K51" s="6"/>
      <c r="L51" s="11"/>
      <c r="M51" s="6"/>
      <c r="N51" s="11"/>
      <c r="O51" s="6"/>
      <c r="P51" s="11"/>
      <c r="Q51" s="6"/>
      <c r="R51" s="11"/>
      <c r="S51" s="6"/>
      <c r="T51" s="6"/>
    </row>
    <row r="52" spans="1:20">
      <c r="A52" s="1"/>
      <c r="B52" s="1"/>
      <c r="C52" s="5"/>
      <c r="D52" s="5"/>
      <c r="E52" s="14"/>
      <c r="F52" s="5"/>
      <c r="G52" s="5"/>
      <c r="H52" s="10"/>
      <c r="I52" s="5"/>
      <c r="J52" s="10"/>
      <c r="K52" s="5"/>
      <c r="L52" s="10"/>
      <c r="M52" s="5"/>
      <c r="N52" s="10"/>
      <c r="O52" s="5"/>
      <c r="P52" s="10"/>
      <c r="Q52" s="5"/>
      <c r="R52" s="10"/>
      <c r="S52" s="5"/>
      <c r="T52" s="5"/>
    </row>
    <row r="53" spans="1:20">
      <c r="A53" s="2"/>
      <c r="B53" s="2"/>
      <c r="C53" s="6"/>
      <c r="D53" s="6"/>
      <c r="E53" s="15"/>
      <c r="F53" s="6"/>
      <c r="G53" s="6"/>
      <c r="H53" s="11"/>
      <c r="I53" s="6"/>
      <c r="J53" s="11"/>
      <c r="K53" s="6"/>
      <c r="L53" s="11"/>
      <c r="M53" s="6"/>
      <c r="N53" s="11"/>
      <c r="O53" s="6"/>
      <c r="P53" s="11"/>
      <c r="Q53" s="6"/>
      <c r="R53" s="11"/>
      <c r="S53" s="6"/>
      <c r="T53" s="6"/>
    </row>
    <row r="54" spans="1:20">
      <c r="A54" s="1"/>
      <c r="B54" s="1"/>
      <c r="C54" s="5"/>
      <c r="D54" s="5"/>
      <c r="E54" s="14"/>
      <c r="F54" s="5"/>
      <c r="G54" s="5"/>
      <c r="H54" s="10"/>
      <c r="I54" s="5"/>
      <c r="J54" s="10"/>
      <c r="K54" s="5"/>
      <c r="L54" s="10"/>
      <c r="M54" s="5"/>
      <c r="N54" s="10"/>
      <c r="O54" s="5"/>
      <c r="P54" s="10"/>
      <c r="Q54" s="5"/>
      <c r="R54" s="10"/>
      <c r="S54" s="5"/>
      <c r="T54" s="5"/>
    </row>
    <row r="55" spans="1:20">
      <c r="A55" s="2"/>
      <c r="B55" s="2"/>
      <c r="C55" s="6"/>
      <c r="D55" s="6"/>
      <c r="E55" s="15"/>
      <c r="F55" s="6"/>
      <c r="G55" s="6"/>
      <c r="H55" s="11"/>
      <c r="I55" s="6"/>
      <c r="J55" s="11"/>
      <c r="K55" s="6"/>
      <c r="L55" s="11"/>
      <c r="M55" s="6"/>
      <c r="N55" s="11"/>
      <c r="O55" s="6"/>
      <c r="P55" s="11"/>
      <c r="Q55" s="6"/>
      <c r="R55" s="11"/>
      <c r="S55" s="6"/>
      <c r="T55" s="6"/>
    </row>
    <row r="56" spans="1:20">
      <c r="A56" s="1"/>
      <c r="B56" s="1"/>
      <c r="C56" s="5"/>
      <c r="D56" s="5"/>
      <c r="E56" s="14"/>
      <c r="F56" s="5"/>
      <c r="G56" s="5"/>
      <c r="H56" s="10"/>
      <c r="I56" s="5"/>
      <c r="J56" s="10"/>
      <c r="K56" s="5"/>
      <c r="L56" s="10"/>
      <c r="M56" s="5"/>
      <c r="N56" s="10"/>
      <c r="O56" s="5"/>
      <c r="P56" s="10"/>
      <c r="Q56" s="5"/>
      <c r="R56" s="10"/>
      <c r="S56" s="5"/>
      <c r="T56" s="5"/>
    </row>
    <row r="57" spans="1:20">
      <c r="A57" s="2"/>
      <c r="B57" s="2"/>
      <c r="C57" s="6"/>
      <c r="D57" s="6"/>
      <c r="E57" s="15"/>
      <c r="F57" s="6"/>
      <c r="G57" s="6"/>
      <c r="H57" s="11"/>
      <c r="I57" s="6"/>
      <c r="J57" s="11"/>
      <c r="K57" s="6"/>
      <c r="L57" s="11"/>
      <c r="M57" s="6"/>
      <c r="N57" s="11"/>
      <c r="O57" s="6"/>
      <c r="P57" s="11"/>
      <c r="Q57" s="6"/>
      <c r="R57" s="11"/>
      <c r="S57" s="6"/>
      <c r="T57" s="6"/>
    </row>
    <row r="58" spans="1:20">
      <c r="A58" s="1"/>
      <c r="B58" s="1"/>
      <c r="C58" s="5"/>
      <c r="D58" s="5"/>
      <c r="E58" s="14"/>
      <c r="F58" s="5"/>
      <c r="G58" s="5"/>
      <c r="H58" s="10"/>
      <c r="I58" s="5"/>
      <c r="J58" s="10"/>
      <c r="K58" s="5"/>
      <c r="L58" s="10"/>
      <c r="M58" s="5"/>
      <c r="N58" s="10"/>
      <c r="O58" s="5"/>
      <c r="P58" s="10"/>
      <c r="Q58" s="5"/>
      <c r="R58" s="10"/>
      <c r="S58" s="5"/>
      <c r="T58" s="5"/>
    </row>
    <row r="59" spans="1:20">
      <c r="A59" s="2"/>
      <c r="B59" s="2"/>
      <c r="C59" s="6"/>
      <c r="D59" s="6"/>
      <c r="E59" s="15"/>
      <c r="F59" s="6"/>
      <c r="G59" s="6"/>
      <c r="H59" s="11"/>
      <c r="I59" s="6"/>
      <c r="J59" s="11"/>
      <c r="K59" s="6"/>
      <c r="L59" s="11"/>
      <c r="M59" s="6"/>
      <c r="N59" s="11"/>
      <c r="O59" s="6"/>
      <c r="P59" s="11"/>
      <c r="Q59" s="6"/>
      <c r="R59" s="11"/>
      <c r="S59" s="6"/>
      <c r="T59" s="6"/>
    </row>
    <row r="60" spans="1:20">
      <c r="A60" s="1"/>
      <c r="B60" s="1"/>
      <c r="C60" s="5"/>
      <c r="D60" s="5"/>
      <c r="E60" s="14"/>
      <c r="F60" s="5"/>
      <c r="G60" s="5"/>
      <c r="H60" s="10"/>
      <c r="I60" s="5"/>
      <c r="J60" s="10"/>
      <c r="K60" s="5"/>
      <c r="L60" s="10"/>
      <c r="M60" s="5"/>
      <c r="N60" s="10"/>
      <c r="O60" s="5"/>
      <c r="P60" s="10"/>
      <c r="Q60" s="5"/>
      <c r="R60" s="10"/>
      <c r="S60" s="5"/>
      <c r="T60" s="5"/>
    </row>
  </sheetData>
  <conditionalFormatting sqref="J2:J60 L2:L60 N2:N60">
    <cfRule type="cellIs" dxfId="29" priority="5" operator="lessThan">
      <formula>-0.02</formula>
    </cfRule>
  </conditionalFormatting>
  <conditionalFormatting sqref="P2:P60">
    <cfRule type="cellIs" dxfId="28" priority="4" operator="between">
      <formula>-0.05</formula>
      <formula>0.05</formula>
    </cfRule>
  </conditionalFormatting>
  <conditionalFormatting sqref="H2:H60">
    <cfRule type="cellIs" dxfId="27" priority="2" operator="between">
      <formula>0</formula>
      <formula>0.05</formula>
    </cfRule>
    <cfRule type="cellIs" dxfId="26" priority="3" operator="between">
      <formula>-0.05</formula>
      <formula>0</formula>
    </cfRule>
  </conditionalFormatting>
  <conditionalFormatting sqref="R2:R60">
    <cfRule type="cellIs" dxfId="25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UpdateCurrentSheet">
                <anchor moveWithCells="1" sizeWithCells="1">
                  <from>
                    <xdr:col>23</xdr:col>
                    <xdr:colOff>38100</xdr:colOff>
                    <xdr:row>0</xdr:row>
                    <xdr:rowOff>28575</xdr:rowOff>
                  </from>
                  <to>
                    <xdr:col>24</xdr:col>
                    <xdr:colOff>419100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3"/>
  </sheetPr>
  <dimension ref="A1:Y60"/>
  <sheetViews>
    <sheetView zoomScale="80" zoomScaleNormal="80" workbookViewId="0">
      <pane ySplit="1" topLeftCell="A2" activePane="bottomLeft" state="frozen"/>
      <selection activeCell="B41" sqref="B41"/>
      <selection pane="bottomLeft" activeCell="R2" sqref="R2"/>
    </sheetView>
  </sheetViews>
  <sheetFormatPr defaultRowHeight="15"/>
  <cols>
    <col min="1" max="1" width="10.28515625" bestFit="1" customWidth="1"/>
    <col min="2" max="2" width="52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18" width="10.28515625" bestFit="1" customWidth="1"/>
    <col min="20" max="20" width="10.28515625" bestFit="1" customWidth="1"/>
    <col min="24" max="24" width="10.7109375" customWidth="1"/>
  </cols>
  <sheetData>
    <row r="1" spans="1:25" ht="30.75" thickBot="1">
      <c r="A1" s="3" t="s">
        <v>2</v>
      </c>
      <c r="B1" s="4" t="s">
        <v>3</v>
      </c>
      <c r="C1" s="3" t="s">
        <v>5</v>
      </c>
      <c r="D1" s="3" t="s">
        <v>6</v>
      </c>
      <c r="E1" s="3" t="s">
        <v>7</v>
      </c>
      <c r="F1" s="3" t="s">
        <v>8</v>
      </c>
      <c r="G1" s="27" t="s">
        <v>14</v>
      </c>
      <c r="H1" s="7" t="s">
        <v>15</v>
      </c>
      <c r="I1" s="3" t="s">
        <v>9</v>
      </c>
      <c r="J1" s="3" t="s">
        <v>16</v>
      </c>
      <c r="K1" s="3" t="s">
        <v>10</v>
      </c>
      <c r="L1" s="3" t="s">
        <v>17</v>
      </c>
      <c r="M1" s="3" t="s">
        <v>11</v>
      </c>
      <c r="N1" s="3" t="s">
        <v>18</v>
      </c>
      <c r="O1" s="3" t="s">
        <v>12</v>
      </c>
      <c r="P1" s="3" t="s">
        <v>19</v>
      </c>
      <c r="Q1" s="3" t="s">
        <v>13</v>
      </c>
      <c r="R1" s="3" t="s">
        <v>20</v>
      </c>
      <c r="S1" s="28" t="s">
        <v>115</v>
      </c>
      <c r="T1" s="29" t="s">
        <v>116</v>
      </c>
    </row>
    <row r="2" spans="1:25">
      <c r="A2" s="1" t="s">
        <v>609</v>
      </c>
      <c r="B2" s="1" t="s">
        <v>557</v>
      </c>
      <c r="C2" s="5">
        <v>77.411600000000007</v>
      </c>
      <c r="D2" s="5">
        <v>2.0000000091613401E-6</v>
      </c>
      <c r="E2" s="14">
        <v>1.6979999999999999E-2</v>
      </c>
      <c r="F2" s="5">
        <v>77.411597999999998</v>
      </c>
      <c r="G2" s="5"/>
      <c r="H2" s="10" t="s">
        <v>21</v>
      </c>
      <c r="I2" s="5">
        <v>72.239998</v>
      </c>
      <c r="J2" s="10">
        <v>7.158917695429623E-2</v>
      </c>
      <c r="K2" s="5">
        <v>73.298289724999989</v>
      </c>
      <c r="L2" s="10">
        <v>5.6117411339777545E-2</v>
      </c>
      <c r="M2" s="5">
        <v>65.931679675000012</v>
      </c>
      <c r="N2" s="10">
        <v>0.17411842655288745</v>
      </c>
      <c r="O2" s="5">
        <v>77.411597999999998</v>
      </c>
      <c r="P2" s="10">
        <v>2.5835922068395689E-8</v>
      </c>
      <c r="Q2" s="5">
        <v>48</v>
      </c>
      <c r="R2" s="10">
        <v>0.61274166666666674</v>
      </c>
      <c r="S2" s="17">
        <v>3.2000000000000002E-3</v>
      </c>
      <c r="T2" s="5" t="s">
        <v>249</v>
      </c>
    </row>
    <row r="3" spans="1:25">
      <c r="A3" s="2" t="s">
        <v>610</v>
      </c>
      <c r="B3" s="2" t="s">
        <v>558</v>
      </c>
      <c r="C3" s="6">
        <v>16.709</v>
      </c>
      <c r="D3" s="6">
        <v>1.8000000000000682E-2</v>
      </c>
      <c r="E3" s="15">
        <v>6.5700000000000003E-3</v>
      </c>
      <c r="F3" s="6">
        <v>16.690999999999999</v>
      </c>
      <c r="G3" s="6"/>
      <c r="H3" s="11" t="s">
        <v>21</v>
      </c>
      <c r="I3" s="6">
        <v>16.091000000000001</v>
      </c>
      <c r="J3" s="11">
        <v>3.8406562674787148E-2</v>
      </c>
      <c r="K3" s="6">
        <v>16.365950200000004</v>
      </c>
      <c r="L3" s="11">
        <v>2.0961190508816063E-2</v>
      </c>
      <c r="M3" s="6">
        <v>15.985275066666665</v>
      </c>
      <c r="N3" s="11">
        <v>4.527447480978819E-2</v>
      </c>
      <c r="O3" s="6">
        <v>16.690999999999999</v>
      </c>
      <c r="P3" s="11">
        <v>1.0784254987719066E-3</v>
      </c>
      <c r="Q3" s="6">
        <v>13.904</v>
      </c>
      <c r="R3" s="11">
        <v>0.201740506329114</v>
      </c>
      <c r="S3" s="18">
        <v>6.4999999999999997E-3</v>
      </c>
      <c r="T3" s="6" t="s">
        <v>244</v>
      </c>
      <c r="X3" t="s">
        <v>42</v>
      </c>
      <c r="Y3" t="s">
        <v>659</v>
      </c>
    </row>
    <row r="4" spans="1:25">
      <c r="A4" s="1" t="s">
        <v>611</v>
      </c>
      <c r="B4" s="1" t="s">
        <v>559</v>
      </c>
      <c r="C4" s="5">
        <v>23.657399999999999</v>
      </c>
      <c r="D4" s="5">
        <v>-9.7194999999999254E-2</v>
      </c>
      <c r="E4" s="14">
        <v>1.1769999999999999E-2</v>
      </c>
      <c r="F4" s="5">
        <v>143.68249499999999</v>
      </c>
      <c r="G4" s="5"/>
      <c r="H4" s="10" t="s">
        <v>21</v>
      </c>
      <c r="I4" s="5">
        <v>142.77162320000002</v>
      </c>
      <c r="J4" s="10">
        <v>5.6991493250737602E-3</v>
      </c>
      <c r="K4" s="5">
        <v>143.88781084999999</v>
      </c>
      <c r="L4" s="10">
        <v>-2.1024077593019275E-3</v>
      </c>
      <c r="M4" s="5">
        <v>142.01068648333333</v>
      </c>
      <c r="N4" s="10">
        <v>1.1087993133893193E-2</v>
      </c>
      <c r="O4" s="5">
        <v>146.11999499999999</v>
      </c>
      <c r="P4" s="10">
        <v>-1.734666771648874E-2</v>
      </c>
      <c r="Q4" s="5">
        <v>122.839996</v>
      </c>
      <c r="R4" s="10">
        <v>0.16888069582809151</v>
      </c>
      <c r="S4" s="17">
        <v>5.5999999999999999E-3</v>
      </c>
      <c r="T4" s="5" t="s">
        <v>244</v>
      </c>
    </row>
    <row r="5" spans="1:25">
      <c r="A5" s="2" t="s">
        <v>612</v>
      </c>
      <c r="B5" s="2" t="s">
        <v>560</v>
      </c>
      <c r="C5" s="6">
        <v>34.234000000000002</v>
      </c>
      <c r="D5" s="6">
        <v>-9.9999999747524271E-7</v>
      </c>
      <c r="E5" s="15">
        <v>4.47E-3</v>
      </c>
      <c r="F5" s="6">
        <v>34.234000999999999</v>
      </c>
      <c r="G5" s="6"/>
      <c r="H5" s="11" t="s">
        <v>21</v>
      </c>
      <c r="I5" s="6">
        <v>33.330002</v>
      </c>
      <c r="J5" s="11">
        <v>2.7122650637704693E-2</v>
      </c>
      <c r="K5" s="6">
        <v>33.524849949999997</v>
      </c>
      <c r="L5" s="11">
        <v>2.1152967158918123E-2</v>
      </c>
      <c r="M5" s="6">
        <v>32.148116766666668</v>
      </c>
      <c r="N5" s="11">
        <v>6.4883527967526833E-2</v>
      </c>
      <c r="O5" s="6">
        <v>34.234000999999999</v>
      </c>
      <c r="P5" s="11">
        <v>-2.921072528305757E-8</v>
      </c>
      <c r="Q5" s="6">
        <v>27.040001</v>
      </c>
      <c r="R5" s="11">
        <v>0.26605024903660324</v>
      </c>
      <c r="S5" s="18">
        <v>7.0000000000000001E-3</v>
      </c>
      <c r="T5" s="6" t="s">
        <v>244</v>
      </c>
    </row>
    <row r="6" spans="1:25">
      <c r="A6" s="1" t="s">
        <v>613</v>
      </c>
      <c r="B6" s="1" t="s">
        <v>561</v>
      </c>
      <c r="C6" s="5">
        <v>57.55</v>
      </c>
      <c r="D6" s="5">
        <v>9.9989999999934298E-3</v>
      </c>
      <c r="E6" s="14">
        <v>9.2999999999999992E-3</v>
      </c>
      <c r="F6" s="5">
        <v>57.540001000000004</v>
      </c>
      <c r="G6" s="5"/>
      <c r="H6" s="10" t="s">
        <v>21</v>
      </c>
      <c r="I6" s="5">
        <v>55.110001000000004</v>
      </c>
      <c r="J6" s="10">
        <v>4.4275067242332211E-2</v>
      </c>
      <c r="K6" s="5">
        <v>55.712549999999986</v>
      </c>
      <c r="L6" s="10">
        <v>3.2980899276733977E-2</v>
      </c>
      <c r="M6" s="5">
        <v>53.266874974999986</v>
      </c>
      <c r="N6" s="10">
        <v>8.0408791148537162E-2</v>
      </c>
      <c r="O6" s="5">
        <v>57.540001000000004</v>
      </c>
      <c r="P6" s="10">
        <v>1.7377476236046796E-4</v>
      </c>
      <c r="Q6" s="5">
        <v>45.134997999999996</v>
      </c>
      <c r="R6" s="10">
        <v>0.27506375429550256</v>
      </c>
      <c r="S6" s="17">
        <v>5.1000000000000004E-3</v>
      </c>
      <c r="T6" s="5" t="s">
        <v>244</v>
      </c>
    </row>
    <row r="7" spans="1:25">
      <c r="A7" s="2" t="s">
        <v>614</v>
      </c>
      <c r="B7" s="2" t="s">
        <v>562</v>
      </c>
      <c r="C7" s="6">
        <v>25.41</v>
      </c>
      <c r="D7" s="6">
        <v>0</v>
      </c>
      <c r="E7" s="15">
        <v>1.15E-2</v>
      </c>
      <c r="F7" s="6">
        <v>25.41</v>
      </c>
      <c r="G7" s="6"/>
      <c r="H7" s="11" t="s">
        <v>21</v>
      </c>
      <c r="I7" s="6">
        <v>24.209999</v>
      </c>
      <c r="J7" s="11">
        <v>4.956633827205037E-2</v>
      </c>
      <c r="K7" s="6">
        <v>24.616099925</v>
      </c>
      <c r="L7" s="11">
        <v>3.2251253343090314E-2</v>
      </c>
      <c r="M7" s="6">
        <v>23.629091649999996</v>
      </c>
      <c r="N7" s="11">
        <v>7.5369310694598957E-2</v>
      </c>
      <c r="O7" s="6">
        <v>25.41</v>
      </c>
      <c r="P7" s="11">
        <v>0</v>
      </c>
      <c r="Q7" s="6">
        <v>19.665001</v>
      </c>
      <c r="R7" s="11">
        <v>0.29214333627544686</v>
      </c>
      <c r="S7" s="18">
        <v>3.2000000000000002E-3</v>
      </c>
      <c r="T7" s="6" t="s">
        <v>244</v>
      </c>
    </row>
    <row r="8" spans="1:25">
      <c r="A8" s="1" t="s">
        <v>615</v>
      </c>
      <c r="B8" s="1" t="s">
        <v>563</v>
      </c>
      <c r="C8" s="5">
        <v>29.88</v>
      </c>
      <c r="D8" s="5">
        <v>1.0000000010279564E-6</v>
      </c>
      <c r="E8" s="14">
        <v>1.29E-2</v>
      </c>
      <c r="F8" s="5">
        <v>29.879998999999998</v>
      </c>
      <c r="G8" s="5"/>
      <c r="H8" s="10" t="s">
        <v>21</v>
      </c>
      <c r="I8" s="5">
        <v>28.49</v>
      </c>
      <c r="J8" s="10">
        <v>4.8789048789048772E-2</v>
      </c>
      <c r="K8" s="5">
        <v>28.863974849999998</v>
      </c>
      <c r="L8" s="10">
        <v>3.5200458539756507E-2</v>
      </c>
      <c r="M8" s="5">
        <v>27.00092505833333</v>
      </c>
      <c r="N8" s="10">
        <v>0.10662875199448396</v>
      </c>
      <c r="O8" s="5">
        <v>29.879998999999998</v>
      </c>
      <c r="P8" s="10">
        <v>3.3467203230941323E-8</v>
      </c>
      <c r="Q8" s="5">
        <v>21.26</v>
      </c>
      <c r="R8" s="10">
        <v>0.405456255879586</v>
      </c>
      <c r="S8" s="17">
        <v>3.2000000000000002E-3</v>
      </c>
      <c r="T8" s="5" t="s">
        <v>244</v>
      </c>
    </row>
    <row r="9" spans="1:25">
      <c r="A9" s="2" t="s">
        <v>616</v>
      </c>
      <c r="B9" s="2" t="s">
        <v>564</v>
      </c>
      <c r="C9" s="6">
        <v>44.754199999999997</v>
      </c>
      <c r="D9" s="6">
        <v>-9.8499000000003889E-2</v>
      </c>
      <c r="E9" s="15">
        <v>8.8859999999999998E-3</v>
      </c>
      <c r="F9" s="6">
        <v>121.779999</v>
      </c>
      <c r="G9" s="6"/>
      <c r="H9" s="11" t="s">
        <v>21</v>
      </c>
      <c r="I9" s="6">
        <v>120.89349970000001</v>
      </c>
      <c r="J9" s="11">
        <v>6.5181362269719489E-3</v>
      </c>
      <c r="K9" s="6">
        <v>122.59649999999999</v>
      </c>
      <c r="L9" s="11">
        <v>-7.4635083383293166E-3</v>
      </c>
      <c r="M9" s="6">
        <v>122.34525004999999</v>
      </c>
      <c r="N9" s="11">
        <v>-5.4252212466665561E-3</v>
      </c>
      <c r="O9" s="6">
        <v>126.379997</v>
      </c>
      <c r="P9" s="11">
        <v>-3.7177536885049989E-2</v>
      </c>
      <c r="Q9" s="6">
        <v>105.08000200000001</v>
      </c>
      <c r="R9" s="11">
        <v>0.1579891290828106</v>
      </c>
      <c r="S9" s="18">
        <v>6.3E-3</v>
      </c>
      <c r="T9" s="6" t="s">
        <v>244</v>
      </c>
    </row>
    <row r="10" spans="1:25">
      <c r="A10" s="1" t="s">
        <v>617</v>
      </c>
      <c r="B10" s="1" t="s">
        <v>565</v>
      </c>
      <c r="C10" s="5">
        <v>26.259799999999998</v>
      </c>
      <c r="D10" s="5">
        <v>0</v>
      </c>
      <c r="E10" s="14">
        <v>8.8280000000000008E-3</v>
      </c>
      <c r="F10" s="5">
        <v>26.259799999999998</v>
      </c>
      <c r="G10" s="5"/>
      <c r="H10" s="10" t="s">
        <v>21</v>
      </c>
      <c r="I10" s="5">
        <v>25.042998999999998</v>
      </c>
      <c r="J10" s="10">
        <v>4.8588469775525001E-2</v>
      </c>
      <c r="K10" s="5">
        <v>25.350520075000002</v>
      </c>
      <c r="L10" s="10">
        <v>3.5868294705981407E-2</v>
      </c>
      <c r="M10" s="5">
        <v>24.280973350000014</v>
      </c>
      <c r="N10" s="10">
        <v>8.1497006791121152E-2</v>
      </c>
      <c r="O10" s="5">
        <v>26.259799999999998</v>
      </c>
      <c r="P10" s="10">
        <v>0</v>
      </c>
      <c r="Q10" s="5">
        <v>20.59</v>
      </c>
      <c r="R10" s="10">
        <v>0.27536668285575505</v>
      </c>
      <c r="S10" s="17">
        <v>3.2000000000000002E-3</v>
      </c>
      <c r="T10" s="5" t="s">
        <v>244</v>
      </c>
    </row>
    <row r="11" spans="1:25">
      <c r="A11" s="2" t="s">
        <v>618</v>
      </c>
      <c r="B11" s="2" t="s">
        <v>566</v>
      </c>
      <c r="C11" s="6">
        <v>50.32</v>
      </c>
      <c r="D11" s="6">
        <v>-4.9998999999999683E-2</v>
      </c>
      <c r="E11" s="15">
        <v>9.5999999999999992E-3</v>
      </c>
      <c r="F11" s="6">
        <v>50.369999</v>
      </c>
      <c r="G11" s="6"/>
      <c r="H11" s="11" t="s">
        <v>21</v>
      </c>
      <c r="I11" s="6">
        <v>47.049999</v>
      </c>
      <c r="J11" s="11">
        <v>6.9500554080776933E-2</v>
      </c>
      <c r="K11" s="6">
        <v>48.094999849999986</v>
      </c>
      <c r="L11" s="11">
        <v>4.6262608523534698E-2</v>
      </c>
      <c r="M11" s="6">
        <v>46.366749974999998</v>
      </c>
      <c r="N11" s="11">
        <v>8.5260451231356837E-2</v>
      </c>
      <c r="O11" s="6">
        <v>50.369999</v>
      </c>
      <c r="P11" s="11">
        <v>-9.926345243723711E-4</v>
      </c>
      <c r="Q11" s="6">
        <v>38.310001</v>
      </c>
      <c r="R11" s="11">
        <v>0.31349513668767592</v>
      </c>
      <c r="S11" s="18">
        <v>6.3E-3</v>
      </c>
      <c r="T11" s="6" t="s">
        <v>244</v>
      </c>
    </row>
    <row r="12" spans="1:25">
      <c r="A12" s="1" t="s">
        <v>619</v>
      </c>
      <c r="B12" s="1" t="s">
        <v>567</v>
      </c>
      <c r="C12" s="5">
        <v>28.17</v>
      </c>
      <c r="D12" s="5">
        <v>0</v>
      </c>
      <c r="E12" s="14">
        <v>1.23E-2</v>
      </c>
      <c r="F12" s="5">
        <v>28.17</v>
      </c>
      <c r="G12" s="5"/>
      <c r="H12" s="10" t="s">
        <v>21</v>
      </c>
      <c r="I12" s="5">
        <v>27.129998999999998</v>
      </c>
      <c r="J12" s="10">
        <v>3.8333985931956915E-2</v>
      </c>
      <c r="K12" s="5">
        <v>27.448799824999998</v>
      </c>
      <c r="L12" s="10">
        <v>2.6274379193189423E-2</v>
      </c>
      <c r="M12" s="5">
        <v>26.327074891666655</v>
      </c>
      <c r="N12" s="10">
        <v>7.0001134418343325E-2</v>
      </c>
      <c r="O12" s="5">
        <v>28.17</v>
      </c>
      <c r="P12" s="10">
        <v>0</v>
      </c>
      <c r="Q12" s="5">
        <v>21.889999</v>
      </c>
      <c r="R12" s="10">
        <v>0.28688904919547964</v>
      </c>
      <c r="S12" s="17">
        <v>3.8E-3</v>
      </c>
      <c r="T12" s="5" t="s">
        <v>241</v>
      </c>
    </row>
    <row r="13" spans="1:25">
      <c r="A13" s="2" t="s">
        <v>620</v>
      </c>
      <c r="B13" s="2" t="s">
        <v>568</v>
      </c>
      <c r="C13" s="6">
        <v>19.771000000000001</v>
      </c>
      <c r="D13" s="6">
        <v>0</v>
      </c>
      <c r="E13" s="15">
        <v>1.1820000000000001E-2</v>
      </c>
      <c r="F13" s="6">
        <v>19.771000000000001</v>
      </c>
      <c r="G13" s="6"/>
      <c r="H13" s="11" t="s">
        <v>21</v>
      </c>
      <c r="I13" s="6">
        <v>19.43</v>
      </c>
      <c r="J13" s="11">
        <v>1.755018013381382E-2</v>
      </c>
      <c r="K13" s="6">
        <v>19.455550049999996</v>
      </c>
      <c r="L13" s="11">
        <v>1.6213879802386089E-2</v>
      </c>
      <c r="M13" s="6">
        <v>19.209691683333336</v>
      </c>
      <c r="N13" s="11">
        <v>2.9220058599569665E-2</v>
      </c>
      <c r="O13" s="6">
        <v>19.850000000000001</v>
      </c>
      <c r="P13" s="11">
        <v>-3.9798488664988252E-3</v>
      </c>
      <c r="Q13" s="6">
        <v>17.157</v>
      </c>
      <c r="R13" s="11">
        <v>0.15235763828175086</v>
      </c>
      <c r="S13" s="18">
        <v>3.0000000000000001E-3</v>
      </c>
      <c r="T13" s="6" t="s">
        <v>241</v>
      </c>
    </row>
    <row r="14" spans="1:25">
      <c r="A14" s="1" t="s">
        <v>621</v>
      </c>
      <c r="B14" s="1" t="s">
        <v>569</v>
      </c>
      <c r="C14" s="5">
        <v>28.123000000000001</v>
      </c>
      <c r="D14" s="5">
        <v>1.0000000010279564E-6</v>
      </c>
      <c r="E14" s="14">
        <v>2.3769999999999999E-2</v>
      </c>
      <c r="F14" s="5">
        <v>28.122999</v>
      </c>
      <c r="G14" s="5"/>
      <c r="H14" s="10" t="s">
        <v>21</v>
      </c>
      <c r="I14" s="5">
        <v>27.725000000000001</v>
      </c>
      <c r="J14" s="10">
        <v>1.4355275022542857E-2</v>
      </c>
      <c r="K14" s="5">
        <v>27.721474899999997</v>
      </c>
      <c r="L14" s="10">
        <v>1.4484261802390819E-2</v>
      </c>
      <c r="M14" s="5">
        <v>27.210483499999985</v>
      </c>
      <c r="N14" s="10">
        <v>3.3535475398664527E-2</v>
      </c>
      <c r="O14" s="5">
        <v>28.200001</v>
      </c>
      <c r="P14" s="10">
        <v>-2.7305318180662619E-3</v>
      </c>
      <c r="Q14" s="5">
        <v>24.74</v>
      </c>
      <c r="R14" s="10">
        <v>0.13674211802748593</v>
      </c>
      <c r="S14" s="17">
        <v>4.8999999999999998E-3</v>
      </c>
      <c r="T14" s="5" t="s">
        <v>241</v>
      </c>
    </row>
    <row r="15" spans="1:25">
      <c r="A15" s="2" t="s">
        <v>622</v>
      </c>
      <c r="B15" s="2" t="s">
        <v>570</v>
      </c>
      <c r="C15" s="6">
        <v>60.38</v>
      </c>
      <c r="D15" s="6">
        <v>-9.9999999747524271E-7</v>
      </c>
      <c r="E15" s="15">
        <v>7.0000000000000001E-3</v>
      </c>
      <c r="F15" s="6">
        <v>60.380001</v>
      </c>
      <c r="G15" s="6"/>
      <c r="H15" s="11" t="s">
        <v>21</v>
      </c>
      <c r="I15" s="6">
        <v>58.099997999999999</v>
      </c>
      <c r="J15" s="11">
        <v>3.9242720800093611E-2</v>
      </c>
      <c r="K15" s="6">
        <v>58.711699824999982</v>
      </c>
      <c r="L15" s="11">
        <v>2.8415123049965629E-2</v>
      </c>
      <c r="M15" s="6">
        <v>56.64914989166666</v>
      </c>
      <c r="N15" s="11">
        <v>6.5858889594425651E-2</v>
      </c>
      <c r="O15" s="6">
        <v>60.380001</v>
      </c>
      <c r="P15" s="11">
        <v>-1.6561775062484685E-8</v>
      </c>
      <c r="Q15" s="6">
        <v>47.380001</v>
      </c>
      <c r="R15" s="11">
        <v>0.27437734752263943</v>
      </c>
      <c r="S15" s="18">
        <v>4.3E-3</v>
      </c>
      <c r="T15" s="6" t="s">
        <v>241</v>
      </c>
    </row>
    <row r="16" spans="1:25">
      <c r="A16" s="1" t="s">
        <v>623</v>
      </c>
      <c r="B16" s="1" t="s">
        <v>571</v>
      </c>
      <c r="C16" s="5">
        <v>63.228999999999999</v>
      </c>
      <c r="D16" s="5">
        <v>1.9001000000002932E-2</v>
      </c>
      <c r="E16" s="14">
        <v>1.687E-2</v>
      </c>
      <c r="F16" s="5">
        <v>63.209998999999996</v>
      </c>
      <c r="G16" s="5"/>
      <c r="H16" s="10" t="s">
        <v>21</v>
      </c>
      <c r="I16" s="5">
        <v>61.970001000000003</v>
      </c>
      <c r="J16" s="10">
        <v>2.0316265607289496E-2</v>
      </c>
      <c r="K16" s="5">
        <v>62.260999699999992</v>
      </c>
      <c r="L16" s="10">
        <v>1.5547458355378962E-2</v>
      </c>
      <c r="M16" s="5">
        <v>63.624249991666666</v>
      </c>
      <c r="N16" s="10">
        <v>-6.2122538453253107E-3</v>
      </c>
      <c r="O16" s="5">
        <v>67.239998</v>
      </c>
      <c r="P16" s="10">
        <v>-5.965196489149216E-2</v>
      </c>
      <c r="Q16" s="5">
        <v>52.200001</v>
      </c>
      <c r="R16" s="10">
        <v>0.21128350169954979</v>
      </c>
      <c r="S16" s="17">
        <v>5.7999999999999996E-3</v>
      </c>
      <c r="T16" s="5" t="s">
        <v>241</v>
      </c>
    </row>
    <row r="17" spans="1:20">
      <c r="A17" s="2" t="s">
        <v>624</v>
      </c>
      <c r="B17" s="2" t="s">
        <v>572</v>
      </c>
      <c r="C17" s="6">
        <v>30.207000000000001</v>
      </c>
      <c r="D17" s="6">
        <v>6.9990000000004216E-3</v>
      </c>
      <c r="E17" s="15">
        <v>1.468E-2</v>
      </c>
      <c r="F17" s="6">
        <v>30.200001</v>
      </c>
      <c r="G17" s="6"/>
      <c r="H17" s="11" t="s">
        <v>21</v>
      </c>
      <c r="I17" s="6">
        <v>29.719998999999998</v>
      </c>
      <c r="J17" s="11">
        <v>1.6386306069525958E-2</v>
      </c>
      <c r="K17" s="6">
        <v>29.748149999999992</v>
      </c>
      <c r="L17" s="11">
        <v>1.5424488581643248E-2</v>
      </c>
      <c r="M17" s="6">
        <v>29.59551669166666</v>
      </c>
      <c r="N17" s="11">
        <v>2.066134930854302E-2</v>
      </c>
      <c r="O17" s="6">
        <v>30.780001000000002</v>
      </c>
      <c r="P17" s="11">
        <v>-1.8616016289278225E-2</v>
      </c>
      <c r="Q17" s="6">
        <v>23.690001000000002</v>
      </c>
      <c r="R17" s="11">
        <v>0.27509492295926874</v>
      </c>
      <c r="S17" s="18">
        <v>5.7999999999999996E-3</v>
      </c>
      <c r="T17" s="6" t="s">
        <v>241</v>
      </c>
    </row>
    <row r="18" spans="1:20">
      <c r="A18" s="1" t="s">
        <v>625</v>
      </c>
      <c r="B18" s="1" t="s">
        <v>573</v>
      </c>
      <c r="C18" s="5">
        <v>26.52</v>
      </c>
      <c r="D18" s="5">
        <v>0</v>
      </c>
      <c r="E18" s="14">
        <v>6.7999999999999996E-3</v>
      </c>
      <c r="F18" s="5">
        <v>26.52</v>
      </c>
      <c r="G18" s="5"/>
      <c r="H18" s="10" t="s">
        <v>21</v>
      </c>
      <c r="I18" s="5">
        <v>25.58</v>
      </c>
      <c r="J18" s="10">
        <v>3.6747458952306467E-2</v>
      </c>
      <c r="K18" s="5">
        <v>25.702800074999999</v>
      </c>
      <c r="L18" s="10">
        <v>3.1794198399218487E-2</v>
      </c>
      <c r="M18" s="5">
        <v>25.015708366666669</v>
      </c>
      <c r="N18" s="10">
        <v>6.0133881131177347E-2</v>
      </c>
      <c r="O18" s="5">
        <v>26.52</v>
      </c>
      <c r="P18" s="10">
        <v>0</v>
      </c>
      <c r="Q18" s="5">
        <v>20.143998999999997</v>
      </c>
      <c r="R18" s="10">
        <v>0.31652111380664794</v>
      </c>
      <c r="S18" s="17">
        <v>5.7999999999999996E-3</v>
      </c>
      <c r="T18" s="5" t="s">
        <v>241</v>
      </c>
    </row>
    <row r="19" spans="1:20">
      <c r="A19" s="2" t="s">
        <v>626</v>
      </c>
      <c r="B19" s="2" t="s">
        <v>574</v>
      </c>
      <c r="C19" s="6">
        <v>68.709999999999994</v>
      </c>
      <c r="D19" s="6">
        <v>-1.0001000000002591E-2</v>
      </c>
      <c r="E19" s="15">
        <v>4.1000000000000003E-3</v>
      </c>
      <c r="F19" s="6">
        <v>68.720000999999996</v>
      </c>
      <c r="G19" s="6"/>
      <c r="H19" s="11" t="s">
        <v>21</v>
      </c>
      <c r="I19" s="6">
        <v>66.559997999999993</v>
      </c>
      <c r="J19" s="11">
        <v>3.2301713710989111E-2</v>
      </c>
      <c r="K19" s="6">
        <v>66.957999624999985</v>
      </c>
      <c r="L19" s="11">
        <v>2.6165661829985032E-2</v>
      </c>
      <c r="M19" s="6">
        <v>64.553333358333319</v>
      </c>
      <c r="N19" s="11">
        <v>6.4391200661833459E-2</v>
      </c>
      <c r="O19" s="6">
        <v>68.720000999999996</v>
      </c>
      <c r="P19" s="11">
        <v>-1.4553259392413587E-4</v>
      </c>
      <c r="Q19" s="6">
        <v>51.799999</v>
      </c>
      <c r="R19" s="11">
        <v>0.32644790205497864</v>
      </c>
      <c r="S19" s="18">
        <v>5.7999999999999996E-3</v>
      </c>
      <c r="T19" s="6" t="s">
        <v>241</v>
      </c>
    </row>
    <row r="20" spans="1:20">
      <c r="A20" s="1" t="s">
        <v>627</v>
      </c>
      <c r="B20" s="1" t="s">
        <v>575</v>
      </c>
      <c r="C20" s="5">
        <v>15.7805</v>
      </c>
      <c r="D20" s="5">
        <v>5.0000000000061107E-4</v>
      </c>
      <c r="E20" s="14">
        <v>1.1571E-2</v>
      </c>
      <c r="F20" s="5">
        <v>15.78</v>
      </c>
      <c r="G20" s="5"/>
      <c r="H20" s="10" t="s">
        <v>21</v>
      </c>
      <c r="I20" s="5">
        <v>15.2</v>
      </c>
      <c r="J20" s="10">
        <v>3.819078947368415E-2</v>
      </c>
      <c r="K20" s="5">
        <v>15.344262499999994</v>
      </c>
      <c r="L20" s="10">
        <v>2.8430007633146737E-2</v>
      </c>
      <c r="M20" s="5">
        <v>14.983420833333316</v>
      </c>
      <c r="N20" s="10">
        <v>5.319740902514325E-2</v>
      </c>
      <c r="O20" s="5">
        <v>15.7805</v>
      </c>
      <c r="P20" s="10">
        <v>0</v>
      </c>
      <c r="Q20" s="5">
        <v>13.34</v>
      </c>
      <c r="R20" s="10">
        <v>0.18294602698650686</v>
      </c>
      <c r="S20" s="17">
        <v>7.4999999999999997E-3</v>
      </c>
      <c r="T20" s="5" t="s">
        <v>240</v>
      </c>
    </row>
    <row r="21" spans="1:20">
      <c r="A21" s="2" t="s">
        <v>628</v>
      </c>
      <c r="B21" s="2" t="s">
        <v>576</v>
      </c>
      <c r="C21" s="6">
        <v>20.759</v>
      </c>
      <c r="D21" s="6">
        <v>9.9000000000000199E-2</v>
      </c>
      <c r="E21" s="15">
        <v>2.06E-2</v>
      </c>
      <c r="F21" s="6">
        <v>20.66</v>
      </c>
      <c r="G21" s="6"/>
      <c r="H21" s="11" t="s">
        <v>21</v>
      </c>
      <c r="I21" s="6">
        <v>20.379998999999998</v>
      </c>
      <c r="J21" s="11">
        <v>1.859671337569746E-2</v>
      </c>
      <c r="K21" s="6">
        <v>20.413450000000001</v>
      </c>
      <c r="L21" s="11">
        <v>1.6927564914309023E-2</v>
      </c>
      <c r="M21" s="6">
        <v>20.122683341666669</v>
      </c>
      <c r="N21" s="11">
        <v>3.1621859149159937E-2</v>
      </c>
      <c r="O21" s="6">
        <v>20.700001</v>
      </c>
      <c r="P21" s="11">
        <v>2.8501930990245672E-3</v>
      </c>
      <c r="Q21" s="6">
        <v>17.420000000000002</v>
      </c>
      <c r="R21" s="11">
        <v>0.19167623421354762</v>
      </c>
      <c r="S21" s="18">
        <v>2E-3</v>
      </c>
      <c r="T21" s="6" t="s">
        <v>240</v>
      </c>
    </row>
    <row r="22" spans="1:20">
      <c r="A22" s="1" t="s">
        <v>629</v>
      </c>
      <c r="B22" s="1" t="s">
        <v>577</v>
      </c>
      <c r="C22" s="5">
        <v>29.055399999999999</v>
      </c>
      <c r="D22" s="5">
        <v>-1.0000000010279564E-6</v>
      </c>
      <c r="E22" s="14">
        <v>1.4795000000000001E-2</v>
      </c>
      <c r="F22" s="5">
        <v>29.055401</v>
      </c>
      <c r="G22" s="5"/>
      <c r="H22" s="10" t="s">
        <v>21</v>
      </c>
      <c r="I22" s="5">
        <v>28.672001000000002</v>
      </c>
      <c r="J22" s="10">
        <v>1.3371895459964422E-2</v>
      </c>
      <c r="K22" s="5">
        <v>28.842835000000008</v>
      </c>
      <c r="L22" s="10">
        <v>7.3697679163644558E-3</v>
      </c>
      <c r="M22" s="5">
        <v>28.523486650000002</v>
      </c>
      <c r="N22" s="10">
        <v>1.8648258416892993E-2</v>
      </c>
      <c r="O22" s="5">
        <v>29.184998999999998</v>
      </c>
      <c r="P22" s="10">
        <v>-4.440603201665283E-3</v>
      </c>
      <c r="Q22" s="5">
        <v>24.969998999999998</v>
      </c>
      <c r="R22" s="10">
        <v>0.16361238140217793</v>
      </c>
      <c r="S22" s="17">
        <v>4.8999999999999998E-3</v>
      </c>
      <c r="T22" s="5" t="s">
        <v>240</v>
      </c>
    </row>
    <row r="23" spans="1:20">
      <c r="A23" s="2" t="s">
        <v>630</v>
      </c>
      <c r="B23" s="2" t="s">
        <v>578</v>
      </c>
      <c r="C23" s="6">
        <v>58.072800000000001</v>
      </c>
      <c r="D23" s="6">
        <v>-4.7996999999995182E-2</v>
      </c>
      <c r="E23" s="15">
        <v>5.764E-3</v>
      </c>
      <c r="F23" s="6">
        <v>115.587997</v>
      </c>
      <c r="G23" s="6"/>
      <c r="H23" s="11" t="s">
        <v>21</v>
      </c>
      <c r="I23" s="6">
        <v>115.38689984999996</v>
      </c>
      <c r="J23" s="11">
        <v>1.3268416969263175E-3</v>
      </c>
      <c r="K23" s="6">
        <v>116.12419982500003</v>
      </c>
      <c r="L23" s="11">
        <v>-5.0308189497143552E-3</v>
      </c>
      <c r="M23" s="6">
        <v>115.46123350833342</v>
      </c>
      <c r="N23" s="11">
        <v>6.8218993746405054E-4</v>
      </c>
      <c r="O23" s="6">
        <v>118.41999799999999</v>
      </c>
      <c r="P23" s="11">
        <v>-2.4320199701405087E-2</v>
      </c>
      <c r="Q23" s="6">
        <v>102.199997</v>
      </c>
      <c r="R23" s="11">
        <v>0.13052840891962081</v>
      </c>
      <c r="S23" s="18">
        <v>4.3E-3</v>
      </c>
      <c r="T23" s="6" t="s">
        <v>240</v>
      </c>
    </row>
    <row r="24" spans="1:20">
      <c r="A24" s="1" t="s">
        <v>631</v>
      </c>
      <c r="B24" s="1" t="s">
        <v>579</v>
      </c>
      <c r="C24" s="5">
        <v>57.465000000000003</v>
      </c>
      <c r="D24" s="5"/>
      <c r="E24" s="14">
        <v>9.4000000000000004E-3</v>
      </c>
      <c r="F24" s="5"/>
      <c r="G24" s="5"/>
      <c r="H24" s="10" t="s">
        <v>21</v>
      </c>
      <c r="I24" s="5"/>
      <c r="J24" s="10"/>
      <c r="K24" s="5"/>
      <c r="L24" s="10"/>
      <c r="M24" s="5"/>
      <c r="N24" s="10"/>
      <c r="O24" s="5"/>
      <c r="P24" s="10"/>
      <c r="Q24" s="5"/>
      <c r="R24" s="10"/>
      <c r="S24" s="17">
        <v>5.7999999999999996E-3</v>
      </c>
      <c r="T24" s="5" t="s">
        <v>245</v>
      </c>
    </row>
    <row r="25" spans="1:20">
      <c r="A25" s="2" t="s">
        <v>632</v>
      </c>
      <c r="B25" s="2" t="s">
        <v>580</v>
      </c>
      <c r="C25" s="6">
        <v>30.389700000000001</v>
      </c>
      <c r="D25" s="6">
        <v>1.9698999999999245E-2</v>
      </c>
      <c r="E25" s="15">
        <v>1.4681E-2</v>
      </c>
      <c r="F25" s="6">
        <v>30.370001000000002</v>
      </c>
      <c r="G25" s="6"/>
      <c r="H25" s="11" t="s">
        <v>21</v>
      </c>
      <c r="I25" s="6">
        <v>29.75</v>
      </c>
      <c r="J25" s="11">
        <v>2.1502521008403441E-2</v>
      </c>
      <c r="K25" s="6">
        <v>29.86112512499999</v>
      </c>
      <c r="L25" s="11">
        <v>1.7701103785854544E-2</v>
      </c>
      <c r="M25" s="6">
        <v>29.669591766666652</v>
      </c>
      <c r="N25" s="11">
        <v>2.4270918150696597E-2</v>
      </c>
      <c r="O25" s="6">
        <v>30.66</v>
      </c>
      <c r="P25" s="11">
        <v>-8.816046966731883E-3</v>
      </c>
      <c r="Q25" s="6">
        <v>24.785</v>
      </c>
      <c r="R25" s="11">
        <v>0.22613274157756713</v>
      </c>
      <c r="S25" s="18">
        <v>5.7999999999999996E-3</v>
      </c>
      <c r="T25" s="6" t="s">
        <v>245</v>
      </c>
    </row>
    <row r="26" spans="1:20">
      <c r="A26" s="1" t="s">
        <v>633</v>
      </c>
      <c r="B26" s="1" t="s">
        <v>581</v>
      </c>
      <c r="C26" s="5">
        <v>27.9299</v>
      </c>
      <c r="D26" s="5">
        <v>-1.0101000000002358E-2</v>
      </c>
      <c r="E26" s="14">
        <v>1.1953E-2</v>
      </c>
      <c r="F26" s="5">
        <v>27.940001000000002</v>
      </c>
      <c r="G26" s="5"/>
      <c r="H26" s="10" t="s">
        <v>21</v>
      </c>
      <c r="I26" s="5">
        <v>27.875999</v>
      </c>
      <c r="J26" s="10">
        <v>1.9335988640263313E-3</v>
      </c>
      <c r="K26" s="5">
        <v>27.784049949999989</v>
      </c>
      <c r="L26" s="10">
        <v>5.249416491205583E-3</v>
      </c>
      <c r="M26" s="5">
        <v>27.95282495</v>
      </c>
      <c r="N26" s="10">
        <v>-8.2012998832881046E-4</v>
      </c>
      <c r="O26" s="5">
        <v>28.99</v>
      </c>
      <c r="P26" s="10">
        <v>-3.656778199379096E-2</v>
      </c>
      <c r="Q26" s="5">
        <v>24.5</v>
      </c>
      <c r="R26" s="10">
        <v>0.13999591836734693</v>
      </c>
      <c r="S26" s="17">
        <v>4.1000000000000003E-3</v>
      </c>
      <c r="T26" s="5" t="s">
        <v>246</v>
      </c>
    </row>
    <row r="27" spans="1:20">
      <c r="A27" s="2" t="s">
        <v>634</v>
      </c>
      <c r="B27" s="2" t="s">
        <v>582</v>
      </c>
      <c r="C27" s="6">
        <v>29.43</v>
      </c>
      <c r="D27" s="6">
        <v>0</v>
      </c>
      <c r="E27" s="15">
        <v>9.5999999999999992E-3</v>
      </c>
      <c r="F27" s="6">
        <v>29.43</v>
      </c>
      <c r="G27" s="6"/>
      <c r="H27" s="11" t="s">
        <v>21</v>
      </c>
      <c r="I27" s="6">
        <v>28.91</v>
      </c>
      <c r="J27" s="11">
        <v>1.7986855759252851E-2</v>
      </c>
      <c r="K27" s="6">
        <v>28.979024950000003</v>
      </c>
      <c r="L27" s="11">
        <v>1.5562119525349916E-2</v>
      </c>
      <c r="M27" s="6">
        <v>28.580725066666659</v>
      </c>
      <c r="N27" s="11">
        <v>2.9714954094143708E-2</v>
      </c>
      <c r="O27" s="6">
        <v>29.43</v>
      </c>
      <c r="P27" s="11">
        <v>0</v>
      </c>
      <c r="Q27" s="6">
        <v>25.049999</v>
      </c>
      <c r="R27" s="11">
        <v>0.17485034630141105</v>
      </c>
      <c r="S27" s="18">
        <v>3.5000000000000001E-3</v>
      </c>
      <c r="T27" s="6" t="s">
        <v>246</v>
      </c>
    </row>
    <row r="28" spans="1:20">
      <c r="A28" s="1" t="s">
        <v>635</v>
      </c>
      <c r="B28" s="1" t="s">
        <v>583</v>
      </c>
      <c r="C28" s="5">
        <v>43.119599999999998</v>
      </c>
      <c r="D28" s="5"/>
      <c r="E28" s="14">
        <v>8.1740000000000007E-3</v>
      </c>
      <c r="F28" s="5"/>
      <c r="G28" s="5"/>
      <c r="H28" s="10" t="s">
        <v>21</v>
      </c>
      <c r="I28" s="5"/>
      <c r="J28" s="10"/>
      <c r="K28" s="5"/>
      <c r="L28" s="10"/>
      <c r="M28" s="5"/>
      <c r="N28" s="10"/>
      <c r="O28" s="5"/>
      <c r="P28" s="10"/>
      <c r="Q28" s="5"/>
      <c r="R28" s="10"/>
      <c r="S28" s="17">
        <v>5.7999999999999996E-3</v>
      </c>
      <c r="T28" s="5" t="s">
        <v>246</v>
      </c>
    </row>
    <row r="29" spans="1:20">
      <c r="A29" s="2" t="s">
        <v>636</v>
      </c>
      <c r="B29" s="2" t="s">
        <v>584</v>
      </c>
      <c r="C29" s="6">
        <v>54.195700000000002</v>
      </c>
      <c r="D29" s="6">
        <v>-3.4299999999994668E-2</v>
      </c>
      <c r="E29" s="15">
        <v>5.4860000000000004E-3</v>
      </c>
      <c r="F29" s="6">
        <v>54.23</v>
      </c>
      <c r="G29" s="6"/>
      <c r="H29" s="11" t="s">
        <v>21</v>
      </c>
      <c r="I29" s="6">
        <v>53.16</v>
      </c>
      <c r="J29" s="11">
        <v>1.9482693754702796E-2</v>
      </c>
      <c r="K29" s="6">
        <v>53.268750024999996</v>
      </c>
      <c r="L29" s="11">
        <v>1.7401384011544785E-2</v>
      </c>
      <c r="M29" s="6">
        <v>52.066249958333316</v>
      </c>
      <c r="N29" s="11">
        <v>4.0898855657375055E-2</v>
      </c>
      <c r="O29" s="6">
        <v>54.23</v>
      </c>
      <c r="P29" s="11">
        <v>-6.3249124101039111E-4</v>
      </c>
      <c r="Q29" s="6">
        <v>44.689999</v>
      </c>
      <c r="R29" s="11">
        <v>0.2127030926986595</v>
      </c>
      <c r="S29" s="18">
        <v>4.7999999999999996E-3</v>
      </c>
      <c r="T29" s="6" t="s">
        <v>246</v>
      </c>
    </row>
    <row r="30" spans="1:20">
      <c r="A30" s="1" t="s">
        <v>637</v>
      </c>
      <c r="B30" s="1" t="s">
        <v>585</v>
      </c>
      <c r="C30" s="5">
        <v>43.77</v>
      </c>
      <c r="D30" s="5">
        <v>0</v>
      </c>
      <c r="E30" s="14">
        <v>8.9999999999999993E-3</v>
      </c>
      <c r="F30" s="5">
        <v>43.77</v>
      </c>
      <c r="G30" s="5"/>
      <c r="H30" s="10" t="s">
        <v>21</v>
      </c>
      <c r="I30" s="5">
        <v>42.880001</v>
      </c>
      <c r="J30" s="10">
        <v>2.0755573209991329E-2</v>
      </c>
      <c r="K30" s="5">
        <v>42.93949972499999</v>
      </c>
      <c r="L30" s="10">
        <v>1.9341172587450606E-2</v>
      </c>
      <c r="M30" s="5">
        <v>42.059750058333343</v>
      </c>
      <c r="N30" s="10">
        <v>4.0662389559963819E-2</v>
      </c>
      <c r="O30" s="5">
        <v>43.77</v>
      </c>
      <c r="P30" s="10">
        <v>0</v>
      </c>
      <c r="Q30" s="5">
        <v>36.5</v>
      </c>
      <c r="R30" s="10">
        <v>0.19917808219178101</v>
      </c>
      <c r="S30" s="17">
        <v>5.7999999999999996E-3</v>
      </c>
      <c r="T30" s="5" t="s">
        <v>246</v>
      </c>
    </row>
    <row r="31" spans="1:20">
      <c r="A31" s="2" t="s">
        <v>638</v>
      </c>
      <c r="B31" s="2" t="s">
        <v>586</v>
      </c>
      <c r="C31" s="6">
        <v>49.435600000000001</v>
      </c>
      <c r="D31" s="6">
        <v>-4.3989999999993756E-3</v>
      </c>
      <c r="E31" s="15">
        <v>7.9229999999999995E-3</v>
      </c>
      <c r="F31" s="6">
        <v>49.439999</v>
      </c>
      <c r="G31" s="6"/>
      <c r="H31" s="11" t="s">
        <v>21</v>
      </c>
      <c r="I31" s="6">
        <v>48.349997999999999</v>
      </c>
      <c r="J31" s="11">
        <v>2.2452989553381153E-2</v>
      </c>
      <c r="K31" s="6">
        <v>48.486250300000009</v>
      </c>
      <c r="L31" s="11">
        <v>1.957977146358103E-2</v>
      </c>
      <c r="M31" s="6">
        <v>47.4806667</v>
      </c>
      <c r="N31" s="11">
        <v>4.1173248731994017E-2</v>
      </c>
      <c r="O31" s="6">
        <v>49.439999</v>
      </c>
      <c r="P31" s="11">
        <v>-8.8976539016516476E-5</v>
      </c>
      <c r="Q31" s="6">
        <v>41.23</v>
      </c>
      <c r="R31" s="11">
        <v>0.19902013097259297</v>
      </c>
      <c r="S31" s="18">
        <v>4.7999999999999996E-3</v>
      </c>
      <c r="T31" s="6" t="s">
        <v>246</v>
      </c>
    </row>
    <row r="32" spans="1:20">
      <c r="A32" s="1" t="s">
        <v>639</v>
      </c>
      <c r="B32" s="1" t="s">
        <v>587</v>
      </c>
      <c r="C32" s="5">
        <v>66.570899999999995</v>
      </c>
      <c r="D32" s="5">
        <v>0</v>
      </c>
      <c r="E32" s="14">
        <v>6.3629999999999997E-3</v>
      </c>
      <c r="F32" s="5">
        <v>66.570899999999995</v>
      </c>
      <c r="G32" s="5"/>
      <c r="H32" s="10" t="s">
        <v>21</v>
      </c>
      <c r="I32" s="5">
        <v>65.379997000000003</v>
      </c>
      <c r="J32" s="10">
        <v>1.8215097195553476E-2</v>
      </c>
      <c r="K32" s="5">
        <v>65.514022800000006</v>
      </c>
      <c r="L32" s="10">
        <v>1.6132076078222202E-2</v>
      </c>
      <c r="M32" s="5">
        <v>63.701424175000021</v>
      </c>
      <c r="N32" s="10">
        <v>4.5045709137004231E-2</v>
      </c>
      <c r="O32" s="5">
        <v>66.570899999999995</v>
      </c>
      <c r="P32" s="10">
        <v>0</v>
      </c>
      <c r="Q32" s="5">
        <v>53.720001000000003</v>
      </c>
      <c r="R32" s="10">
        <v>0.23922000671593424</v>
      </c>
      <c r="S32" s="17">
        <v>5.7999999999999996E-3</v>
      </c>
      <c r="T32" s="5" t="s">
        <v>660</v>
      </c>
    </row>
    <row r="33" spans="1:20">
      <c r="A33" s="2" t="s">
        <v>640</v>
      </c>
      <c r="B33" s="2" t="s">
        <v>588</v>
      </c>
      <c r="C33" s="6">
        <v>73.47</v>
      </c>
      <c r="D33" s="6">
        <v>-9.9999999747524271E-7</v>
      </c>
      <c r="E33" s="15">
        <v>2E-3</v>
      </c>
      <c r="F33" s="6">
        <v>73.470000999999996</v>
      </c>
      <c r="G33" s="6"/>
      <c r="H33" s="11" t="s">
        <v>21</v>
      </c>
      <c r="I33" s="6">
        <v>71.540001000000004</v>
      </c>
      <c r="J33" s="11">
        <v>2.697790009815626E-2</v>
      </c>
      <c r="K33" s="6">
        <v>71.904999950000018</v>
      </c>
      <c r="L33" s="11">
        <v>2.1764829303778876E-2</v>
      </c>
      <c r="M33" s="6">
        <v>69.475999949999974</v>
      </c>
      <c r="N33" s="11">
        <v>5.7487478451183183E-2</v>
      </c>
      <c r="O33" s="6">
        <v>73.470000999999996</v>
      </c>
      <c r="P33" s="11">
        <v>-1.3610997440238748E-8</v>
      </c>
      <c r="Q33" s="6">
        <v>58.720001000000003</v>
      </c>
      <c r="R33" s="11">
        <v>0.25119207678487587</v>
      </c>
      <c r="S33" s="18">
        <v>5.7999999999999996E-3</v>
      </c>
      <c r="T33" s="6" t="s">
        <v>660</v>
      </c>
    </row>
    <row r="34" spans="1:20">
      <c r="A34" s="1" t="s">
        <v>212</v>
      </c>
      <c r="B34" s="1" t="s">
        <v>589</v>
      </c>
      <c r="C34" s="5">
        <v>26.545000000000002</v>
      </c>
      <c r="D34" s="5">
        <v>-2.4999999999998579E-2</v>
      </c>
      <c r="E34" s="14">
        <v>1.047E-2</v>
      </c>
      <c r="F34" s="5">
        <v>26.57</v>
      </c>
      <c r="G34" s="5"/>
      <c r="H34" s="10" t="s">
        <v>21</v>
      </c>
      <c r="I34" s="5">
        <v>25.860001</v>
      </c>
      <c r="J34" s="10">
        <v>2.6488746075454594E-2</v>
      </c>
      <c r="K34" s="5">
        <v>26.187999974999997</v>
      </c>
      <c r="L34" s="10">
        <v>1.3632198920910721E-2</v>
      </c>
      <c r="M34" s="5">
        <v>25.2373333</v>
      </c>
      <c r="N34" s="10">
        <v>5.1814773155926197E-2</v>
      </c>
      <c r="O34" s="5">
        <v>26.85</v>
      </c>
      <c r="P34" s="10">
        <v>-1.1359404096834225E-2</v>
      </c>
      <c r="Q34" s="5">
        <v>19.489999999999998</v>
      </c>
      <c r="R34" s="10">
        <v>0.36198050282196026</v>
      </c>
      <c r="S34" s="17">
        <v>8.3999999999999995E-3</v>
      </c>
      <c r="T34" s="5" t="s">
        <v>251</v>
      </c>
    </row>
    <row r="35" spans="1:20">
      <c r="A35" s="2" t="s">
        <v>641</v>
      </c>
      <c r="B35" s="2" t="s">
        <v>590</v>
      </c>
      <c r="C35" s="6">
        <v>30.441800000000001</v>
      </c>
      <c r="D35" s="6">
        <v>1.0000000010279564E-6</v>
      </c>
      <c r="E35" s="15">
        <v>2.6265E-2</v>
      </c>
      <c r="F35" s="6">
        <v>30.441799</v>
      </c>
      <c r="G35" s="6"/>
      <c r="H35" s="11" t="s">
        <v>21</v>
      </c>
      <c r="I35" s="6">
        <v>29.9</v>
      </c>
      <c r="J35" s="11">
        <v>1.8120401337792691E-2</v>
      </c>
      <c r="K35" s="6">
        <v>29.891769924999998</v>
      </c>
      <c r="L35" s="11">
        <v>1.840071954186917E-2</v>
      </c>
      <c r="M35" s="6">
        <v>29.069948341666677</v>
      </c>
      <c r="N35" s="11">
        <v>4.7191403376765306E-2</v>
      </c>
      <c r="O35" s="6">
        <v>30.441799</v>
      </c>
      <c r="P35" s="11">
        <v>3.2849569731041584E-8</v>
      </c>
      <c r="Q35" s="6">
        <v>26.35</v>
      </c>
      <c r="R35" s="11">
        <v>0.15528652751423144</v>
      </c>
      <c r="S35" s="18">
        <v>3.8E-3</v>
      </c>
      <c r="T35" s="6" t="s">
        <v>247</v>
      </c>
    </row>
    <row r="36" spans="1:20">
      <c r="A36" s="1" t="s">
        <v>642</v>
      </c>
      <c r="B36" s="1" t="s">
        <v>591</v>
      </c>
      <c r="C36" s="5">
        <v>20.398800000000001</v>
      </c>
      <c r="D36" s="5"/>
      <c r="E36" s="14">
        <v>1.0281999999999999E-2</v>
      </c>
      <c r="F36" s="5"/>
      <c r="G36" s="5"/>
      <c r="H36" s="10" t="s">
        <v>21</v>
      </c>
      <c r="I36" s="5"/>
      <c r="J36" s="10"/>
      <c r="K36" s="5"/>
      <c r="L36" s="10"/>
      <c r="M36" s="5"/>
      <c r="N36" s="10"/>
      <c r="O36" s="5"/>
      <c r="P36" s="10"/>
      <c r="Q36" s="5"/>
      <c r="R36" s="10"/>
      <c r="S36" s="17">
        <v>3.0000000000000001E-3</v>
      </c>
      <c r="T36" s="5" t="s">
        <v>247</v>
      </c>
    </row>
    <row r="37" spans="1:20">
      <c r="A37" s="2" t="s">
        <v>643</v>
      </c>
      <c r="B37" s="2" t="s">
        <v>592</v>
      </c>
      <c r="C37" s="6">
        <v>52.49</v>
      </c>
      <c r="D37" s="6">
        <v>-2.4998999999993998E-2</v>
      </c>
      <c r="E37" s="15">
        <v>2.24E-2</v>
      </c>
      <c r="F37" s="6">
        <v>52.514998999999996</v>
      </c>
      <c r="G37" s="6"/>
      <c r="H37" s="11" t="s">
        <v>21</v>
      </c>
      <c r="I37" s="6">
        <v>51.66</v>
      </c>
      <c r="J37" s="11">
        <v>1.6066589237321072E-2</v>
      </c>
      <c r="K37" s="6">
        <v>51.953874725000006</v>
      </c>
      <c r="L37" s="11">
        <v>1.0319254874401329E-2</v>
      </c>
      <c r="M37" s="6">
        <v>51.485291533333331</v>
      </c>
      <c r="N37" s="11">
        <v>1.9514475624872185E-2</v>
      </c>
      <c r="O37" s="6">
        <v>52.860001000000004</v>
      </c>
      <c r="P37" s="11">
        <v>-6.9996404275513013E-3</v>
      </c>
      <c r="Q37" s="6">
        <v>41.529998999999997</v>
      </c>
      <c r="R37" s="11">
        <v>0.26390564083567658</v>
      </c>
      <c r="S37" s="18">
        <v>4.7999999999999996E-3</v>
      </c>
      <c r="T37" s="6" t="s">
        <v>247</v>
      </c>
    </row>
    <row r="38" spans="1:20">
      <c r="A38" s="1" t="s">
        <v>644</v>
      </c>
      <c r="B38" s="1" t="s">
        <v>593</v>
      </c>
      <c r="C38" s="5">
        <v>22.32</v>
      </c>
      <c r="D38" s="5">
        <v>0</v>
      </c>
      <c r="E38" s="14">
        <v>1.7299999999999999E-2</v>
      </c>
      <c r="F38" s="5">
        <v>22.32</v>
      </c>
      <c r="G38" s="5"/>
      <c r="H38" s="10" t="s">
        <v>21</v>
      </c>
      <c r="I38" s="5">
        <v>23.25</v>
      </c>
      <c r="J38" s="10">
        <v>-4.0000000000000036E-2</v>
      </c>
      <c r="K38" s="5">
        <v>23.243750075000005</v>
      </c>
      <c r="L38" s="10">
        <v>-3.9741869191475709E-2</v>
      </c>
      <c r="M38" s="5">
        <v>23.674483333333345</v>
      </c>
      <c r="N38" s="10">
        <v>-5.7212793802610684E-2</v>
      </c>
      <c r="O38" s="5">
        <v>25.68</v>
      </c>
      <c r="P38" s="10">
        <v>-0.13084112149532712</v>
      </c>
      <c r="Q38" s="5">
        <v>18.709999</v>
      </c>
      <c r="R38" s="10">
        <v>0.19294501298476829</v>
      </c>
      <c r="S38" s="17">
        <v>4.7999999999999996E-3</v>
      </c>
      <c r="T38" s="5" t="s">
        <v>247</v>
      </c>
    </row>
    <row r="39" spans="1:20">
      <c r="A39" s="2" t="s">
        <v>645</v>
      </c>
      <c r="B39" s="2" t="s">
        <v>594</v>
      </c>
      <c r="C39" s="6">
        <v>26.3568</v>
      </c>
      <c r="D39" s="6">
        <v>0</v>
      </c>
      <c r="E39" s="15">
        <v>1.8762000000000001E-2</v>
      </c>
      <c r="F39" s="6">
        <v>26.3568</v>
      </c>
      <c r="G39" s="6"/>
      <c r="H39" s="11" t="s">
        <v>21</v>
      </c>
      <c r="I39" s="6">
        <v>25.950001</v>
      </c>
      <c r="J39" s="11">
        <v>1.567626143829437E-2</v>
      </c>
      <c r="K39" s="6">
        <v>26.044094975</v>
      </c>
      <c r="L39" s="11">
        <v>1.2006753365788603E-2</v>
      </c>
      <c r="M39" s="6">
        <v>25.660231583333331</v>
      </c>
      <c r="N39" s="11">
        <v>2.714583515758684E-2</v>
      </c>
      <c r="O39" s="6">
        <v>26.48</v>
      </c>
      <c r="P39" s="11">
        <v>-4.6525679758308014E-3</v>
      </c>
      <c r="Q39" s="6">
        <v>21.370001000000002</v>
      </c>
      <c r="R39" s="11">
        <v>0.23335511308586265</v>
      </c>
      <c r="S39" s="18">
        <v>4.3E-3</v>
      </c>
      <c r="T39" s="6" t="s">
        <v>247</v>
      </c>
    </row>
    <row r="40" spans="1:20">
      <c r="A40" s="1" t="s">
        <v>646</v>
      </c>
      <c r="B40" s="1" t="s">
        <v>595</v>
      </c>
      <c r="C40" s="5">
        <v>14.19</v>
      </c>
      <c r="D40" s="5"/>
      <c r="E40" s="14">
        <v>2.8E-3</v>
      </c>
      <c r="F40" s="5"/>
      <c r="G40" s="5"/>
      <c r="H40" s="10" t="s">
        <v>21</v>
      </c>
      <c r="I40" s="5"/>
      <c r="J40" s="10"/>
      <c r="K40" s="5"/>
      <c r="L40" s="10"/>
      <c r="M40" s="5"/>
      <c r="N40" s="10"/>
      <c r="O40" s="5"/>
      <c r="P40" s="10"/>
      <c r="Q40" s="5"/>
      <c r="R40" s="10"/>
      <c r="S40" s="17">
        <v>4.7999999999999996E-3</v>
      </c>
      <c r="T40" s="5" t="s">
        <v>247</v>
      </c>
    </row>
    <row r="41" spans="1:20">
      <c r="A41" s="2" t="s">
        <v>647</v>
      </c>
      <c r="B41" s="2" t="s">
        <v>596</v>
      </c>
      <c r="C41" s="6">
        <v>40.630000000000003</v>
      </c>
      <c r="D41" s="6">
        <v>-9.9999999747524271E-7</v>
      </c>
      <c r="E41" s="15">
        <v>1.6E-2</v>
      </c>
      <c r="F41" s="6">
        <v>40.630001</v>
      </c>
      <c r="G41" s="6"/>
      <c r="H41" s="11" t="s">
        <v>21</v>
      </c>
      <c r="I41" s="6">
        <v>39.830002</v>
      </c>
      <c r="J41" s="11">
        <v>2.0085311569906672E-2</v>
      </c>
      <c r="K41" s="6">
        <v>40.132250000000013</v>
      </c>
      <c r="L41" s="11">
        <v>1.2402743429535734E-2</v>
      </c>
      <c r="M41" s="6">
        <v>39.110250166666681</v>
      </c>
      <c r="N41" s="11">
        <v>3.8858095431682838E-2</v>
      </c>
      <c r="O41" s="6">
        <v>40.880001</v>
      </c>
      <c r="P41" s="11">
        <v>-6.1154841948266592E-3</v>
      </c>
      <c r="Q41" s="6">
        <v>29.950001</v>
      </c>
      <c r="R41" s="11">
        <v>0.35659427857782044</v>
      </c>
      <c r="S41" s="18">
        <v>5.7999999999999996E-3</v>
      </c>
      <c r="T41" s="6" t="s">
        <v>247</v>
      </c>
    </row>
    <row r="42" spans="1:20">
      <c r="A42" s="1" t="s">
        <v>648</v>
      </c>
      <c r="B42" s="1" t="s">
        <v>597</v>
      </c>
      <c r="C42" s="5">
        <v>73.571299999999994</v>
      </c>
      <c r="D42" s="5">
        <v>1.1302000000000589E-2</v>
      </c>
      <c r="E42" s="14">
        <v>-5.2599999999999999E-4</v>
      </c>
      <c r="F42" s="5">
        <v>73.559997999999993</v>
      </c>
      <c r="G42" s="5"/>
      <c r="H42" s="10" t="s">
        <v>21</v>
      </c>
      <c r="I42" s="5">
        <v>72.360000999999997</v>
      </c>
      <c r="J42" s="10">
        <v>1.6739897502212608E-2</v>
      </c>
      <c r="K42" s="5">
        <v>72.359999649999992</v>
      </c>
      <c r="L42" s="10">
        <v>1.6739916471240734E-2</v>
      </c>
      <c r="M42" s="5">
        <v>69.938249958333316</v>
      </c>
      <c r="N42" s="10">
        <v>5.1946539180364404E-2</v>
      </c>
      <c r="O42" s="5">
        <v>73.610000999999997</v>
      </c>
      <c r="P42" s="10">
        <v>-5.2575736278015484E-4</v>
      </c>
      <c r="Q42" s="5">
        <v>58.599997999999999</v>
      </c>
      <c r="R42" s="10">
        <v>0.25548297800283182</v>
      </c>
      <c r="S42" s="17">
        <v>5.7999999999999996E-3</v>
      </c>
      <c r="T42" s="5" t="s">
        <v>247</v>
      </c>
    </row>
    <row r="43" spans="1:20">
      <c r="A43" s="2" t="s">
        <v>649</v>
      </c>
      <c r="B43" s="2" t="s">
        <v>598</v>
      </c>
      <c r="C43" s="6">
        <v>58.31</v>
      </c>
      <c r="D43" s="6">
        <v>-9.9999999747524271E-7</v>
      </c>
      <c r="E43" s="15">
        <v>5.7000000000000002E-3</v>
      </c>
      <c r="F43" s="6">
        <v>58.310001</v>
      </c>
      <c r="G43" s="6"/>
      <c r="H43" s="11" t="s">
        <v>21</v>
      </c>
      <c r="I43" s="6">
        <v>57.310001</v>
      </c>
      <c r="J43" s="11">
        <v>1.744894403334607E-2</v>
      </c>
      <c r="K43" s="6">
        <v>57.751000125000004</v>
      </c>
      <c r="L43" s="11">
        <v>9.6794838840896791E-3</v>
      </c>
      <c r="M43" s="6">
        <v>56.027583349999979</v>
      </c>
      <c r="N43" s="11">
        <v>4.07373745846209E-2</v>
      </c>
      <c r="O43" s="6">
        <v>58.48</v>
      </c>
      <c r="P43" s="11">
        <v>-2.9069767441859407E-3</v>
      </c>
      <c r="Q43" s="6">
        <v>49.799999</v>
      </c>
      <c r="R43" s="11">
        <v>0.17088355764826435</v>
      </c>
      <c r="S43" s="18">
        <v>5.7999999999999996E-3</v>
      </c>
      <c r="T43" s="6" t="s">
        <v>130</v>
      </c>
    </row>
    <row r="44" spans="1:20">
      <c r="A44" s="1" t="s">
        <v>650</v>
      </c>
      <c r="B44" s="1" t="s">
        <v>599</v>
      </c>
      <c r="C44" s="5">
        <v>30.914999999999999</v>
      </c>
      <c r="D44" s="5">
        <v>-5.000000000002558E-3</v>
      </c>
      <c r="E44" s="14">
        <v>1.7610000000000001E-2</v>
      </c>
      <c r="F44" s="5">
        <v>30.92</v>
      </c>
      <c r="G44" s="5"/>
      <c r="H44" s="10" t="s">
        <v>21</v>
      </c>
      <c r="I44" s="5">
        <v>30.163</v>
      </c>
      <c r="J44" s="10">
        <v>2.4931207108046305E-2</v>
      </c>
      <c r="K44" s="5">
        <v>30.174025050000004</v>
      </c>
      <c r="L44" s="10">
        <v>2.4556715544981511E-2</v>
      </c>
      <c r="M44" s="5">
        <v>30.641683241666676</v>
      </c>
      <c r="N44" s="10">
        <v>8.9197697194933756E-3</v>
      </c>
      <c r="O44" s="5">
        <v>31.983000000000001</v>
      </c>
      <c r="P44" s="10">
        <v>-3.3392739893068235E-2</v>
      </c>
      <c r="Q44" s="5">
        <v>25.49</v>
      </c>
      <c r="R44" s="10">
        <v>0.21282856021969399</v>
      </c>
      <c r="S44" s="17">
        <v>4.7999999999999996E-3</v>
      </c>
      <c r="T44" s="5" t="s">
        <v>130</v>
      </c>
    </row>
    <row r="45" spans="1:20">
      <c r="A45" s="2" t="s">
        <v>651</v>
      </c>
      <c r="B45" s="2" t="s">
        <v>600</v>
      </c>
      <c r="C45" s="6">
        <v>17.7486</v>
      </c>
      <c r="D45" s="6">
        <v>0.17859999999999943</v>
      </c>
      <c r="E45" s="15">
        <v>5.5859999999999998E-3</v>
      </c>
      <c r="F45" s="6">
        <v>17.57</v>
      </c>
      <c r="G45" s="6"/>
      <c r="H45" s="11" t="s">
        <v>21</v>
      </c>
      <c r="I45" s="6">
        <v>17.579999999999998</v>
      </c>
      <c r="J45" s="11">
        <v>9.590443686006811E-3</v>
      </c>
      <c r="K45" s="6">
        <v>17.503000074999996</v>
      </c>
      <c r="L45" s="11">
        <v>1.4031875903994351E-2</v>
      </c>
      <c r="M45" s="6">
        <v>17.299250083333337</v>
      </c>
      <c r="N45" s="11">
        <v>2.5975109585795408E-2</v>
      </c>
      <c r="O45" s="6">
        <v>18.350000000000001</v>
      </c>
      <c r="P45" s="11">
        <v>-3.2773841961852956E-2</v>
      </c>
      <c r="Q45" s="6">
        <v>15.68</v>
      </c>
      <c r="R45" s="11">
        <v>0.13192602040816337</v>
      </c>
      <c r="S45" s="18">
        <v>8.8000000000000005E-3</v>
      </c>
      <c r="T45" s="6" t="s">
        <v>130</v>
      </c>
    </row>
    <row r="46" spans="1:20">
      <c r="A46" s="1" t="s">
        <v>652</v>
      </c>
      <c r="B46" s="1" t="s">
        <v>601</v>
      </c>
      <c r="C46" s="5">
        <v>24.44</v>
      </c>
      <c r="D46" s="5">
        <v>-1.0000000010279564E-6</v>
      </c>
      <c r="E46" s="14">
        <v>8.3000000000000001E-3</v>
      </c>
      <c r="F46" s="5">
        <v>24.440001000000002</v>
      </c>
      <c r="G46" s="5"/>
      <c r="H46" s="10" t="s">
        <v>21</v>
      </c>
      <c r="I46" s="5">
        <v>24.139999</v>
      </c>
      <c r="J46" s="10">
        <v>1.2427548153585377E-2</v>
      </c>
      <c r="K46" s="5">
        <v>24.274249899999997</v>
      </c>
      <c r="L46" s="10">
        <v>6.8282274707900381E-3</v>
      </c>
      <c r="M46" s="5">
        <v>24.191083333333324</v>
      </c>
      <c r="N46" s="10">
        <v>1.0289603951869841E-2</v>
      </c>
      <c r="O46" s="5">
        <v>27.059998999999998</v>
      </c>
      <c r="P46" s="10">
        <v>-9.6821843932810125E-2</v>
      </c>
      <c r="Q46" s="5">
        <v>22.360001</v>
      </c>
      <c r="R46" s="10">
        <v>9.3023206930983537E-2</v>
      </c>
      <c r="S46" s="17">
        <v>4.7999999999999996E-3</v>
      </c>
      <c r="T46" s="5" t="s">
        <v>130</v>
      </c>
    </row>
    <row r="47" spans="1:20">
      <c r="A47" s="2" t="s">
        <v>653</v>
      </c>
      <c r="B47" s="2" t="s">
        <v>602</v>
      </c>
      <c r="C47" s="6">
        <v>25.75</v>
      </c>
      <c r="D47" s="6">
        <v>0</v>
      </c>
      <c r="E47" s="15">
        <v>1.7899999999999999E-2</v>
      </c>
      <c r="F47" s="6">
        <v>25.75</v>
      </c>
      <c r="G47" s="6"/>
      <c r="H47" s="11" t="s">
        <v>21</v>
      </c>
      <c r="I47" s="6">
        <v>25.1</v>
      </c>
      <c r="J47" s="11">
        <v>2.5896414342629459E-2</v>
      </c>
      <c r="K47" s="6">
        <v>25.107300025000001</v>
      </c>
      <c r="L47" s="11">
        <v>2.5598131792747392E-2</v>
      </c>
      <c r="M47" s="6">
        <v>24.377041658333322</v>
      </c>
      <c r="N47" s="11">
        <v>5.6321778536950973E-2</v>
      </c>
      <c r="O47" s="6">
        <v>25.75</v>
      </c>
      <c r="P47" s="11">
        <v>0</v>
      </c>
      <c r="Q47" s="6">
        <v>21</v>
      </c>
      <c r="R47" s="11">
        <v>0.22619047619047628</v>
      </c>
      <c r="S47" s="18">
        <v>3.8E-3</v>
      </c>
      <c r="T47" s="6" t="s">
        <v>661</v>
      </c>
    </row>
    <row r="48" spans="1:20">
      <c r="A48" s="1" t="s">
        <v>654</v>
      </c>
      <c r="B48" s="1" t="s">
        <v>603</v>
      </c>
      <c r="C48" s="5">
        <v>69.5</v>
      </c>
      <c r="D48" s="5">
        <v>0</v>
      </c>
      <c r="E48" s="14">
        <v>9.7000000000000003E-3</v>
      </c>
      <c r="F48" s="5">
        <v>69.5</v>
      </c>
      <c r="G48" s="5"/>
      <c r="H48" s="10" t="s">
        <v>21</v>
      </c>
      <c r="I48" s="5">
        <v>67.199996999999996</v>
      </c>
      <c r="J48" s="10">
        <v>3.4226236647004749E-2</v>
      </c>
      <c r="K48" s="5">
        <v>67.986999925000006</v>
      </c>
      <c r="L48" s="10">
        <v>2.2254255617530694E-2</v>
      </c>
      <c r="M48" s="5">
        <v>65.910166733333327</v>
      </c>
      <c r="N48" s="10">
        <v>5.4465546737134218E-2</v>
      </c>
      <c r="O48" s="5">
        <v>69.5</v>
      </c>
      <c r="P48" s="10">
        <v>0</v>
      </c>
      <c r="Q48" s="5">
        <v>56.709998999999996</v>
      </c>
      <c r="R48" s="10">
        <v>0.22553343723388197</v>
      </c>
      <c r="S48" s="17">
        <v>4.7999999999999996E-3</v>
      </c>
      <c r="T48" s="5" t="s">
        <v>661</v>
      </c>
    </row>
    <row r="49" spans="1:20">
      <c r="A49" s="2" t="s">
        <v>655</v>
      </c>
      <c r="B49" s="2" t="s">
        <v>604</v>
      </c>
      <c r="C49" s="6">
        <v>28.4</v>
      </c>
      <c r="D49" s="6">
        <v>-0.1499990000000011</v>
      </c>
      <c r="E49" s="15">
        <v>5.7000000000000002E-3</v>
      </c>
      <c r="F49" s="6">
        <v>28.549999</v>
      </c>
      <c r="G49" s="6"/>
      <c r="H49" s="11" t="s">
        <v>21</v>
      </c>
      <c r="I49" s="6">
        <v>27.84</v>
      </c>
      <c r="J49" s="11">
        <v>2.0114942528735691E-2</v>
      </c>
      <c r="K49" s="6">
        <v>28.139525000000013</v>
      </c>
      <c r="L49" s="11">
        <v>9.2565528380448292E-3</v>
      </c>
      <c r="M49" s="6">
        <v>27.880866699999995</v>
      </c>
      <c r="N49" s="11">
        <v>1.8619697356825782E-2</v>
      </c>
      <c r="O49" s="6">
        <v>28.6</v>
      </c>
      <c r="P49" s="11">
        <v>-6.9930069930070893E-3</v>
      </c>
      <c r="Q49" s="6">
        <v>25.6</v>
      </c>
      <c r="R49" s="11">
        <v>0.10937499999999978</v>
      </c>
      <c r="S49" s="18">
        <v>4.4999999999999997E-3</v>
      </c>
      <c r="T49" s="6" t="s">
        <v>242</v>
      </c>
    </row>
    <row r="50" spans="1:20">
      <c r="A50" s="1" t="s">
        <v>656</v>
      </c>
      <c r="B50" s="1" t="s">
        <v>605</v>
      </c>
      <c r="C50" s="5">
        <v>59.517499999999998</v>
      </c>
      <c r="D50" s="5">
        <v>-2.0000000020559128E-6</v>
      </c>
      <c r="E50" s="14">
        <v>6.894E-3</v>
      </c>
      <c r="F50" s="5">
        <v>59.517502</v>
      </c>
      <c r="G50" s="5"/>
      <c r="H50" s="10" t="s">
        <v>21</v>
      </c>
      <c r="I50" s="5">
        <v>58.43</v>
      </c>
      <c r="J50" s="10">
        <v>1.8612014376176544E-2</v>
      </c>
      <c r="K50" s="5">
        <v>58.711937700000007</v>
      </c>
      <c r="L50" s="10">
        <v>1.3720587866068445E-2</v>
      </c>
      <c r="M50" s="5">
        <v>57.010812841666635</v>
      </c>
      <c r="N50" s="10">
        <v>4.39686268865358E-2</v>
      </c>
      <c r="O50" s="5">
        <v>59.517502</v>
      </c>
      <c r="P50" s="10">
        <v>-3.3603560933848087E-8</v>
      </c>
      <c r="Q50" s="5">
        <v>50.48</v>
      </c>
      <c r="R50" s="10">
        <v>0.1790312995245642</v>
      </c>
      <c r="S50" s="17">
        <v>3.8E-3</v>
      </c>
      <c r="T50" s="5" t="s">
        <v>242</v>
      </c>
    </row>
    <row r="51" spans="1:20">
      <c r="A51" s="2" t="s">
        <v>657</v>
      </c>
      <c r="B51" s="2" t="s">
        <v>606</v>
      </c>
      <c r="C51" s="6">
        <v>29.515899999999998</v>
      </c>
      <c r="D51" s="6">
        <v>-1.010000000007949E-4</v>
      </c>
      <c r="E51" s="15">
        <v>-2.8410000000000002E-3</v>
      </c>
      <c r="F51" s="6">
        <v>29.516000999999999</v>
      </c>
      <c r="G51" s="6"/>
      <c r="H51" s="11" t="s">
        <v>21</v>
      </c>
      <c r="I51" s="6">
        <v>29.129998999999998</v>
      </c>
      <c r="J51" s="11">
        <v>1.3247545940526795E-2</v>
      </c>
      <c r="K51" s="6">
        <v>29.339122524999993</v>
      </c>
      <c r="L51" s="11">
        <v>6.0253156804321861E-3</v>
      </c>
      <c r="M51" s="6">
        <v>28.415740858333315</v>
      </c>
      <c r="N51" s="11">
        <v>3.8716539088371027E-2</v>
      </c>
      <c r="O51" s="6">
        <v>29.700001</v>
      </c>
      <c r="P51" s="11">
        <v>-6.1986866599769153E-3</v>
      </c>
      <c r="Q51" s="6">
        <v>24.841000000000001</v>
      </c>
      <c r="R51" s="11">
        <v>0.18819290688780632</v>
      </c>
      <c r="S51" s="18">
        <v>4.4999999999999997E-3</v>
      </c>
      <c r="T51" s="6" t="s">
        <v>242</v>
      </c>
    </row>
    <row r="52" spans="1:20">
      <c r="A52" s="1" t="s">
        <v>658</v>
      </c>
      <c r="B52" s="1" t="s">
        <v>607</v>
      </c>
      <c r="C52" s="5">
        <v>46.884999999999998</v>
      </c>
      <c r="D52" s="5"/>
      <c r="E52" s="14">
        <v>8.6099999999999996E-3</v>
      </c>
      <c r="F52" s="5"/>
      <c r="G52" s="5"/>
      <c r="H52" s="10" t="s">
        <v>21</v>
      </c>
      <c r="I52" s="5"/>
      <c r="J52" s="10"/>
      <c r="K52" s="5"/>
      <c r="L52" s="10"/>
      <c r="M52" s="5"/>
      <c r="N52" s="10"/>
      <c r="O52" s="5"/>
      <c r="P52" s="10"/>
      <c r="Q52" s="5"/>
      <c r="R52" s="10"/>
      <c r="S52" s="17">
        <v>5.7999999999999996E-3</v>
      </c>
      <c r="T52" s="5" t="s">
        <v>242</v>
      </c>
    </row>
    <row r="53" spans="1:20">
      <c r="A53" s="2" t="s">
        <v>659</v>
      </c>
      <c r="B53" s="2" t="s">
        <v>608</v>
      </c>
      <c r="C53" s="6">
        <v>21.9786</v>
      </c>
      <c r="D53" s="6"/>
      <c r="E53" s="15">
        <v>8.1930000000000006E-3</v>
      </c>
      <c r="F53" s="6"/>
      <c r="G53" s="6"/>
      <c r="H53" s="11" t="s">
        <v>21</v>
      </c>
      <c r="I53" s="6"/>
      <c r="J53" s="11"/>
      <c r="K53" s="6"/>
      <c r="L53" s="11"/>
      <c r="M53" s="6"/>
      <c r="N53" s="11"/>
      <c r="O53" s="6"/>
      <c r="P53" s="11"/>
      <c r="Q53" s="6"/>
      <c r="R53" s="11"/>
      <c r="S53" s="18">
        <v>5.7999999999999996E-3</v>
      </c>
      <c r="T53" s="6" t="s">
        <v>662</v>
      </c>
    </row>
    <row r="54" spans="1:20">
      <c r="A54" s="1"/>
      <c r="B54" s="1"/>
      <c r="C54" s="5"/>
      <c r="D54" s="5"/>
      <c r="E54" s="14"/>
      <c r="F54" s="5"/>
      <c r="G54" s="5"/>
      <c r="H54" s="10"/>
      <c r="I54" s="5"/>
      <c r="J54" s="10"/>
      <c r="K54" s="5"/>
      <c r="L54" s="10"/>
      <c r="M54" s="5"/>
      <c r="N54" s="10"/>
      <c r="O54" s="5"/>
      <c r="P54" s="10"/>
      <c r="Q54" s="5"/>
      <c r="R54" s="10"/>
      <c r="S54" s="5"/>
      <c r="T54" s="5"/>
    </row>
    <row r="55" spans="1:20">
      <c r="A55" s="2"/>
      <c r="B55" s="2"/>
      <c r="C55" s="6"/>
      <c r="D55" s="6"/>
      <c r="E55" s="15"/>
      <c r="F55" s="6"/>
      <c r="G55" s="6"/>
      <c r="H55" s="11"/>
      <c r="I55" s="6"/>
      <c r="J55" s="11"/>
      <c r="K55" s="6"/>
      <c r="L55" s="11"/>
      <c r="M55" s="6"/>
      <c r="N55" s="11"/>
      <c r="O55" s="6"/>
      <c r="P55" s="11"/>
      <c r="Q55" s="6"/>
      <c r="R55" s="11"/>
      <c r="S55" s="6"/>
      <c r="T55" s="6"/>
    </row>
    <row r="56" spans="1:20">
      <c r="A56" s="1"/>
      <c r="B56" s="1"/>
      <c r="C56" s="5"/>
      <c r="D56" s="5"/>
      <c r="E56" s="14"/>
      <c r="F56" s="5"/>
      <c r="G56" s="5"/>
      <c r="H56" s="10"/>
      <c r="I56" s="5"/>
      <c r="J56" s="10"/>
      <c r="K56" s="5"/>
      <c r="L56" s="10"/>
      <c r="M56" s="5"/>
      <c r="N56" s="10"/>
      <c r="O56" s="5"/>
      <c r="P56" s="10"/>
      <c r="Q56" s="5"/>
      <c r="R56" s="10"/>
      <c r="S56" s="5"/>
      <c r="T56" s="5"/>
    </row>
    <row r="57" spans="1:20">
      <c r="A57" s="2"/>
      <c r="B57" s="2"/>
      <c r="C57" s="6"/>
      <c r="D57" s="6"/>
      <c r="E57" s="15"/>
      <c r="F57" s="6"/>
      <c r="G57" s="6"/>
      <c r="H57" s="11"/>
      <c r="I57" s="6"/>
      <c r="J57" s="11"/>
      <c r="K57" s="6"/>
      <c r="L57" s="11"/>
      <c r="M57" s="6"/>
      <c r="N57" s="11"/>
      <c r="O57" s="6"/>
      <c r="P57" s="11"/>
      <c r="Q57" s="6"/>
      <c r="R57" s="11"/>
      <c r="S57" s="6"/>
      <c r="T57" s="6"/>
    </row>
    <row r="58" spans="1:20">
      <c r="A58" s="1"/>
      <c r="B58" s="1"/>
      <c r="C58" s="5"/>
      <c r="D58" s="5"/>
      <c r="E58" s="14"/>
      <c r="F58" s="5"/>
      <c r="G58" s="5"/>
      <c r="H58" s="10"/>
      <c r="I58" s="5"/>
      <c r="J58" s="10"/>
      <c r="K58" s="5"/>
      <c r="L58" s="10"/>
      <c r="M58" s="5"/>
      <c r="N58" s="10"/>
      <c r="O58" s="5"/>
      <c r="P58" s="10"/>
      <c r="Q58" s="5"/>
      <c r="R58" s="10"/>
      <c r="S58" s="5"/>
      <c r="T58" s="5"/>
    </row>
    <row r="59" spans="1:20">
      <c r="A59" s="2"/>
      <c r="B59" s="2"/>
      <c r="C59" s="6"/>
      <c r="D59" s="6"/>
      <c r="E59" s="15"/>
      <c r="F59" s="6"/>
      <c r="G59" s="6"/>
      <c r="H59" s="11"/>
      <c r="I59" s="6"/>
      <c r="J59" s="11"/>
      <c r="K59" s="6"/>
      <c r="L59" s="11"/>
      <c r="M59" s="6"/>
      <c r="N59" s="11"/>
      <c r="O59" s="6"/>
      <c r="P59" s="11"/>
      <c r="Q59" s="6"/>
      <c r="R59" s="11"/>
      <c r="S59" s="6"/>
      <c r="T59" s="6"/>
    </row>
    <row r="60" spans="1:20">
      <c r="A60" s="1"/>
      <c r="B60" s="1"/>
      <c r="C60" s="5"/>
      <c r="D60" s="5"/>
      <c r="E60" s="14"/>
      <c r="F60" s="5"/>
      <c r="G60" s="5"/>
      <c r="H60" s="10"/>
      <c r="I60" s="5"/>
      <c r="J60" s="10"/>
      <c r="K60" s="5"/>
      <c r="L60" s="10"/>
      <c r="M60" s="5"/>
      <c r="N60" s="10"/>
      <c r="O60" s="5"/>
      <c r="P60" s="10"/>
      <c r="Q60" s="5"/>
      <c r="R60" s="10"/>
      <c r="S60" s="5"/>
      <c r="T60" s="5"/>
    </row>
  </sheetData>
  <conditionalFormatting sqref="J2:J60 L2:L60 N2:N60">
    <cfRule type="cellIs" dxfId="24" priority="5" operator="lessThan">
      <formula>-0.02</formula>
    </cfRule>
  </conditionalFormatting>
  <conditionalFormatting sqref="P2:P60">
    <cfRule type="cellIs" dxfId="23" priority="4" operator="between">
      <formula>-0.05</formula>
      <formula>0.05</formula>
    </cfRule>
  </conditionalFormatting>
  <conditionalFormatting sqref="H2:H60">
    <cfRule type="cellIs" dxfId="22" priority="2" operator="between">
      <formula>0</formula>
      <formula>0.05</formula>
    </cfRule>
    <cfRule type="cellIs" dxfId="21" priority="3" operator="between">
      <formula>-0.05</formula>
      <formula>0</formula>
    </cfRule>
  </conditionalFormatting>
  <conditionalFormatting sqref="R2:R60">
    <cfRule type="cellIs" dxfId="20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UpdateCurrentSheet">
                <anchor moveWithCells="1" sizeWithCells="1">
                  <from>
                    <xdr:col>23</xdr:col>
                    <xdr:colOff>38100</xdr:colOff>
                    <xdr:row>0</xdr:row>
                    <xdr:rowOff>28575</xdr:rowOff>
                  </from>
                  <to>
                    <xdr:col>24</xdr:col>
                    <xdr:colOff>419100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3"/>
  </sheetPr>
  <dimension ref="A1:Y60"/>
  <sheetViews>
    <sheetView zoomScale="80" zoomScaleNormal="80" workbookViewId="0">
      <pane ySplit="1" topLeftCell="A2" activePane="bottomLeft" state="frozen"/>
      <selection activeCell="B41" sqref="B41"/>
      <selection pane="bottomLeft" activeCell="B7" sqref="B7"/>
    </sheetView>
  </sheetViews>
  <sheetFormatPr defaultRowHeight="15"/>
  <cols>
    <col min="1" max="1" width="10.28515625" bestFit="1" customWidth="1"/>
    <col min="2" max="2" width="52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18" width="10.28515625" bestFit="1" customWidth="1"/>
    <col min="20" max="20" width="10.28515625" bestFit="1" customWidth="1"/>
    <col min="24" max="24" width="10.7109375" customWidth="1"/>
  </cols>
  <sheetData>
    <row r="1" spans="1:25" ht="30.75" thickBot="1">
      <c r="A1" s="3" t="s">
        <v>2</v>
      </c>
      <c r="B1" s="4" t="s">
        <v>3</v>
      </c>
      <c r="C1" s="3" t="s">
        <v>5</v>
      </c>
      <c r="D1" s="3" t="s">
        <v>6</v>
      </c>
      <c r="E1" s="3" t="s">
        <v>7</v>
      </c>
      <c r="F1" s="3" t="s">
        <v>8</v>
      </c>
      <c r="G1" s="27" t="s">
        <v>14</v>
      </c>
      <c r="H1" s="7" t="s">
        <v>15</v>
      </c>
      <c r="I1" s="3" t="s">
        <v>9</v>
      </c>
      <c r="J1" s="3" t="s">
        <v>16</v>
      </c>
      <c r="K1" s="3" t="s">
        <v>10</v>
      </c>
      <c r="L1" s="3" t="s">
        <v>17</v>
      </c>
      <c r="M1" s="3" t="s">
        <v>11</v>
      </c>
      <c r="N1" s="3" t="s">
        <v>18</v>
      </c>
      <c r="O1" s="3" t="s">
        <v>12</v>
      </c>
      <c r="P1" s="3" t="s">
        <v>19</v>
      </c>
      <c r="Q1" s="3" t="s">
        <v>13</v>
      </c>
      <c r="R1" s="3" t="s">
        <v>20</v>
      </c>
      <c r="S1" s="28" t="s">
        <v>115</v>
      </c>
      <c r="T1" s="29" t="s">
        <v>116</v>
      </c>
    </row>
    <row r="2" spans="1:25">
      <c r="A2" s="1" t="s">
        <v>663</v>
      </c>
      <c r="B2" s="1" t="s">
        <v>678</v>
      </c>
      <c r="C2" s="5">
        <v>73.401799999999994</v>
      </c>
      <c r="D2" s="5">
        <v>0.28179699999999741</v>
      </c>
      <c r="E2" s="14">
        <v>-9.9599999999999992E-4</v>
      </c>
      <c r="F2" s="5">
        <v>73.120002999999997</v>
      </c>
      <c r="G2" s="5"/>
      <c r="H2" s="10" t="s">
        <v>21</v>
      </c>
      <c r="I2" s="5">
        <v>72.5</v>
      </c>
      <c r="J2" s="10">
        <v>1.2438620689655178E-2</v>
      </c>
      <c r="K2" s="5">
        <v>72.362249775000009</v>
      </c>
      <c r="L2" s="10">
        <v>1.4365919083946688E-2</v>
      </c>
      <c r="M2" s="5">
        <v>71.994249975000017</v>
      </c>
      <c r="N2" s="10">
        <v>1.955086726354871E-2</v>
      </c>
      <c r="O2" s="5">
        <v>73.470000999999996</v>
      </c>
      <c r="P2" s="10">
        <v>-9.2828364055697055E-4</v>
      </c>
      <c r="Q2" s="5">
        <v>68.25</v>
      </c>
      <c r="R2" s="10">
        <v>7.5484249084249111E-2</v>
      </c>
      <c r="S2" s="17">
        <v>6.0000000000000001E-3</v>
      </c>
      <c r="T2" s="5" t="s">
        <v>190</v>
      </c>
    </row>
    <row r="3" spans="1:25">
      <c r="A3" s="2" t="s">
        <v>664</v>
      </c>
      <c r="B3" s="2" t="s">
        <v>679</v>
      </c>
      <c r="C3" s="6">
        <v>51.6</v>
      </c>
      <c r="D3" s="6">
        <v>2.0000000020559128E-6</v>
      </c>
      <c r="E3" s="15">
        <v>-2.0999999999999999E-3</v>
      </c>
      <c r="F3" s="6">
        <v>51.599997999999999</v>
      </c>
      <c r="G3" s="6"/>
      <c r="H3" s="11" t="s">
        <v>21</v>
      </c>
      <c r="I3" s="6">
        <v>51.48</v>
      </c>
      <c r="J3" s="11">
        <v>2.3310023310023631E-3</v>
      </c>
      <c r="K3" s="6">
        <v>51.656025275000005</v>
      </c>
      <c r="L3" s="11">
        <v>-1.0845835447412799E-3</v>
      </c>
      <c r="M3" s="6">
        <v>51.435308599999999</v>
      </c>
      <c r="N3" s="11">
        <v>3.201913325353356E-3</v>
      </c>
      <c r="O3" s="6">
        <v>51.900002000000001</v>
      </c>
      <c r="P3" s="11">
        <v>-5.7803851337038248E-3</v>
      </c>
      <c r="Q3" s="6">
        <v>49.799999</v>
      </c>
      <c r="R3" s="11">
        <v>3.6144599119369403E-2</v>
      </c>
      <c r="S3" s="18">
        <v>4.0000000000000001E-3</v>
      </c>
      <c r="T3" s="6" t="s">
        <v>188</v>
      </c>
      <c r="X3" t="s">
        <v>42</v>
      </c>
      <c r="Y3" t="s">
        <v>675</v>
      </c>
    </row>
    <row r="4" spans="1:25">
      <c r="A4" s="1" t="s">
        <v>665</v>
      </c>
      <c r="B4" s="1" t="s">
        <v>680</v>
      </c>
      <c r="C4" s="5">
        <v>52.62</v>
      </c>
      <c r="D4" s="5">
        <v>3.9997999999997091E-2</v>
      </c>
      <c r="E4" s="14">
        <v>-1.1000000000000001E-3</v>
      </c>
      <c r="F4" s="5">
        <v>52.580002</v>
      </c>
      <c r="G4" s="5"/>
      <c r="H4" s="10" t="s">
        <v>21</v>
      </c>
      <c r="I4" s="5">
        <v>52.450001</v>
      </c>
      <c r="J4" s="10">
        <v>3.2411629505975093E-3</v>
      </c>
      <c r="K4" s="5">
        <v>52.482150100000013</v>
      </c>
      <c r="L4" s="10">
        <v>2.6266054217924939E-3</v>
      </c>
      <c r="M4" s="5">
        <v>52.103983224999993</v>
      </c>
      <c r="N4" s="10">
        <v>9.9035955230466488E-3</v>
      </c>
      <c r="O4" s="5">
        <v>52.759997999999996</v>
      </c>
      <c r="P4" s="10">
        <v>-2.6534875911101707E-3</v>
      </c>
      <c r="Q4" s="5">
        <v>50.41</v>
      </c>
      <c r="R4" s="10">
        <v>4.3840507835746889E-2</v>
      </c>
      <c r="S4" s="17">
        <v>5.0000000000000001E-3</v>
      </c>
      <c r="T4" s="5" t="s">
        <v>177</v>
      </c>
      <c r="X4" t="s">
        <v>37</v>
      </c>
    </row>
    <row r="5" spans="1:25">
      <c r="A5" s="2" t="s">
        <v>666</v>
      </c>
      <c r="B5" s="2" t="s">
        <v>681</v>
      </c>
      <c r="C5" s="6">
        <v>19.75</v>
      </c>
      <c r="D5" s="6">
        <v>4.0001000000000175E-2</v>
      </c>
      <c r="E5" s="15">
        <v>0</v>
      </c>
      <c r="F5" s="6">
        <v>19.709999</v>
      </c>
      <c r="G5" s="6"/>
      <c r="H5" s="11" t="s">
        <v>21</v>
      </c>
      <c r="I5" s="6">
        <v>19.610001</v>
      </c>
      <c r="J5" s="11">
        <v>7.1391633279365152E-3</v>
      </c>
      <c r="K5" s="6">
        <v>19.665649925</v>
      </c>
      <c r="L5" s="11">
        <v>4.2892086110395411E-3</v>
      </c>
      <c r="M5" s="6">
        <v>19.587091641666671</v>
      </c>
      <c r="N5" s="11">
        <v>8.3171285106351522E-3</v>
      </c>
      <c r="O5" s="6">
        <v>20.34</v>
      </c>
      <c r="P5" s="11">
        <v>-2.9006882989183858E-2</v>
      </c>
      <c r="Q5" s="6">
        <v>19.239999999999998</v>
      </c>
      <c r="R5" s="11">
        <v>2.6507276507276689E-2</v>
      </c>
      <c r="S5" s="18">
        <v>3.2000000000000002E-3</v>
      </c>
      <c r="T5" s="6" t="s">
        <v>177</v>
      </c>
    </row>
    <row r="6" spans="1:25">
      <c r="A6" s="1" t="s">
        <v>667</v>
      </c>
      <c r="B6" s="1" t="s">
        <v>682</v>
      </c>
      <c r="C6" s="5">
        <v>20.120100000000001</v>
      </c>
      <c r="D6" s="5">
        <v>-9.8989999999972156E-3</v>
      </c>
      <c r="E6" s="14">
        <v>-6.6600000000000003E-4</v>
      </c>
      <c r="F6" s="5">
        <v>20.129998999999998</v>
      </c>
      <c r="G6" s="5"/>
      <c r="H6" s="10" t="s">
        <v>21</v>
      </c>
      <c r="I6" s="5">
        <v>20.02</v>
      </c>
      <c r="J6" s="10">
        <v>5.0000000000001155E-3</v>
      </c>
      <c r="K6" s="5">
        <v>20.109325075000005</v>
      </c>
      <c r="L6" s="10">
        <v>5.3581733647489749E-4</v>
      </c>
      <c r="M6" s="5">
        <v>20.032858374999986</v>
      </c>
      <c r="N6" s="10">
        <v>4.354926459665398E-3</v>
      </c>
      <c r="O6" s="5">
        <v>20.41</v>
      </c>
      <c r="P6" s="10">
        <v>-1.4203821656050941E-2</v>
      </c>
      <c r="Q6" s="5">
        <v>19.549999</v>
      </c>
      <c r="R6" s="10">
        <v>2.916117796220874E-2</v>
      </c>
      <c r="S6" s="17">
        <v>3.8999999999999998E-3</v>
      </c>
      <c r="T6" s="5" t="s">
        <v>177</v>
      </c>
    </row>
    <row r="7" spans="1:25">
      <c r="A7" s="2" t="s">
        <v>668</v>
      </c>
      <c r="B7" s="2" t="s">
        <v>683</v>
      </c>
      <c r="C7" s="6">
        <v>50.959899999999998</v>
      </c>
      <c r="D7" s="6">
        <v>-2.0099999999999341E-2</v>
      </c>
      <c r="E7" s="15">
        <v>-2.7420000000000001E-3</v>
      </c>
      <c r="F7" s="6">
        <v>50.98</v>
      </c>
      <c r="G7" s="6"/>
      <c r="H7" s="11" t="s">
        <v>21</v>
      </c>
      <c r="I7" s="6">
        <v>50.720001000000003</v>
      </c>
      <c r="J7" s="11">
        <v>4.7298697805624457E-3</v>
      </c>
      <c r="K7" s="6">
        <v>50.800874875000005</v>
      </c>
      <c r="L7" s="11">
        <v>3.1303619355234069E-3</v>
      </c>
      <c r="M7" s="6">
        <v>50.487516775000024</v>
      </c>
      <c r="N7" s="11">
        <v>9.3564361088538384E-3</v>
      </c>
      <c r="O7" s="6">
        <v>52.080002</v>
      </c>
      <c r="P7" s="11">
        <v>-2.150733404349725E-2</v>
      </c>
      <c r="Q7" s="6">
        <v>49.080002</v>
      </c>
      <c r="R7" s="11">
        <v>3.8302728675520425E-2</v>
      </c>
      <c r="S7" s="18">
        <v>1.1999999999999999E-3</v>
      </c>
      <c r="T7" s="6" t="s">
        <v>177</v>
      </c>
    </row>
    <row r="8" spans="1:25">
      <c r="A8" s="1" t="s">
        <v>669</v>
      </c>
      <c r="B8" s="1" t="s">
        <v>684</v>
      </c>
      <c r="C8" s="5">
        <v>42.875</v>
      </c>
      <c r="D8" s="5">
        <v>0</v>
      </c>
      <c r="E8" s="14">
        <v>2.8600000000000001E-3</v>
      </c>
      <c r="F8" s="5">
        <v>42.875</v>
      </c>
      <c r="G8" s="5"/>
      <c r="H8" s="10" t="s">
        <v>21</v>
      </c>
      <c r="I8" s="5">
        <v>43.25</v>
      </c>
      <c r="J8" s="10">
        <v>-8.6705202312138407E-3</v>
      </c>
      <c r="K8" s="5">
        <v>43.237624999999994</v>
      </c>
      <c r="L8" s="10">
        <v>-8.3867927528396002E-3</v>
      </c>
      <c r="M8" s="5">
        <v>43.415791766666672</v>
      </c>
      <c r="N8" s="10">
        <v>-1.2456107436047636E-2</v>
      </c>
      <c r="O8" s="5">
        <v>44.57</v>
      </c>
      <c r="P8" s="10">
        <v>-3.8030065066188001E-2</v>
      </c>
      <c r="Q8" s="5">
        <v>42.099997999999999</v>
      </c>
      <c r="R8" s="10">
        <v>1.8408599449339702E-2</v>
      </c>
      <c r="S8" s="17">
        <v>2.8E-3</v>
      </c>
      <c r="T8" s="5" t="s">
        <v>676</v>
      </c>
    </row>
    <row r="9" spans="1:25">
      <c r="A9" s="2" t="s">
        <v>670</v>
      </c>
      <c r="B9" s="2" t="s">
        <v>685</v>
      </c>
      <c r="C9" s="6">
        <v>47.81</v>
      </c>
      <c r="D9" s="6"/>
      <c r="E9" s="15">
        <v>-2.0999999999999999E-3</v>
      </c>
      <c r="F9" s="6"/>
      <c r="G9" s="6"/>
      <c r="H9" s="11" t="s">
        <v>21</v>
      </c>
      <c r="I9" s="6"/>
      <c r="J9" s="11"/>
      <c r="K9" s="6"/>
      <c r="L9" s="11"/>
      <c r="M9" s="6"/>
      <c r="N9" s="11"/>
      <c r="O9" s="6"/>
      <c r="P9" s="11"/>
      <c r="Q9" s="6"/>
      <c r="R9" s="11"/>
      <c r="S9" s="18">
        <v>2.3E-3</v>
      </c>
      <c r="T9" s="6" t="s">
        <v>676</v>
      </c>
    </row>
    <row r="10" spans="1:25">
      <c r="A10" s="1" t="s">
        <v>671</v>
      </c>
      <c r="B10" s="1" t="s">
        <v>686</v>
      </c>
      <c r="C10" s="5">
        <v>20.539400000000001</v>
      </c>
      <c r="D10" s="5">
        <v>0.15940100000000257</v>
      </c>
      <c r="E10" s="14">
        <v>7.9799999999999992E-3</v>
      </c>
      <c r="F10" s="5">
        <v>20.379998999999998</v>
      </c>
      <c r="G10" s="5"/>
      <c r="H10" s="10" t="s">
        <v>21</v>
      </c>
      <c r="I10" s="5">
        <v>20.530001000000002</v>
      </c>
      <c r="J10" s="10">
        <v>4.5781780526943372E-4</v>
      </c>
      <c r="K10" s="5">
        <v>20.469500100000001</v>
      </c>
      <c r="L10" s="10">
        <v>3.414831806273444E-3</v>
      </c>
      <c r="M10" s="5">
        <v>20.507272863636366</v>
      </c>
      <c r="N10" s="10">
        <v>1.5666215872420786E-3</v>
      </c>
      <c r="O10" s="5">
        <v>20.99</v>
      </c>
      <c r="P10" s="10">
        <v>-2.1467365412100925E-2</v>
      </c>
      <c r="Q10" s="5">
        <v>20.360001</v>
      </c>
      <c r="R10" s="10">
        <v>8.8113453432541178E-3</v>
      </c>
      <c r="S10" s="17">
        <v>4.7999999999999996E-3</v>
      </c>
      <c r="T10" s="5" t="s">
        <v>676</v>
      </c>
    </row>
    <row r="11" spans="1:25">
      <c r="A11" s="2" t="s">
        <v>672</v>
      </c>
      <c r="B11" s="2" t="s">
        <v>687</v>
      </c>
      <c r="C11" s="6">
        <v>23.959</v>
      </c>
      <c r="D11" s="6">
        <v>2.9999000000000109E-2</v>
      </c>
      <c r="E11" s="15">
        <v>-8.8000000000000003E-4</v>
      </c>
      <c r="F11" s="6">
        <v>23.950001</v>
      </c>
      <c r="G11" s="6"/>
      <c r="H11" s="11" t="s">
        <v>21</v>
      </c>
      <c r="I11" s="6">
        <v>23.958500100000002</v>
      </c>
      <c r="J11" s="11">
        <v>8.9738088403956695E-4</v>
      </c>
      <c r="K11" s="6">
        <v>24.044750100000002</v>
      </c>
      <c r="L11" s="11">
        <v>-2.692899686239647E-3</v>
      </c>
      <c r="M11" s="6">
        <v>24.026500016666667</v>
      </c>
      <c r="N11" s="11">
        <v>-1.9353637289829528E-3</v>
      </c>
      <c r="O11" s="6">
        <v>24.41</v>
      </c>
      <c r="P11" s="11">
        <v>-1.7615731257681233E-2</v>
      </c>
      <c r="Q11" s="6">
        <v>23.09</v>
      </c>
      <c r="R11" s="11">
        <v>3.854482459939379E-2</v>
      </c>
      <c r="S11" s="18">
        <v>4.3E-3</v>
      </c>
      <c r="T11" s="6" t="s">
        <v>676</v>
      </c>
    </row>
    <row r="12" spans="1:25">
      <c r="A12" s="1" t="s">
        <v>673</v>
      </c>
      <c r="B12" s="1" t="s">
        <v>688</v>
      </c>
      <c r="C12" s="5">
        <v>50.32</v>
      </c>
      <c r="D12" s="5">
        <v>-1.0002000000000066E-2</v>
      </c>
      <c r="E12" s="14">
        <v>4.0000000000000002E-4</v>
      </c>
      <c r="F12" s="5">
        <v>50.330002</v>
      </c>
      <c r="G12" s="5"/>
      <c r="H12" s="10" t="s">
        <v>21</v>
      </c>
      <c r="I12" s="5">
        <v>50.290001000000004</v>
      </c>
      <c r="J12" s="10">
        <v>5.9652017107736377E-4</v>
      </c>
      <c r="K12" s="5">
        <v>50.2958</v>
      </c>
      <c r="L12" s="10">
        <v>4.8115349591815182E-4</v>
      </c>
      <c r="M12" s="5">
        <v>50.229749958333315</v>
      </c>
      <c r="N12" s="10">
        <v>1.7967447925093527E-3</v>
      </c>
      <c r="O12" s="5">
        <v>50.369999</v>
      </c>
      <c r="P12" s="10">
        <v>-9.926345243723711E-4</v>
      </c>
      <c r="Q12" s="5">
        <v>49.950001</v>
      </c>
      <c r="R12" s="10">
        <v>7.4073872390914008E-3</v>
      </c>
      <c r="S12" s="17">
        <v>3.5000000000000001E-3</v>
      </c>
      <c r="T12" s="5" t="s">
        <v>677</v>
      </c>
    </row>
    <row r="13" spans="1:25">
      <c r="A13" s="2" t="s">
        <v>674</v>
      </c>
      <c r="B13" s="2" t="s">
        <v>689</v>
      </c>
      <c r="C13" s="6">
        <v>50.09</v>
      </c>
      <c r="D13" s="6"/>
      <c r="E13" s="15">
        <v>-4.0000000000000002E-4</v>
      </c>
      <c r="F13" s="6"/>
      <c r="G13" s="6"/>
      <c r="H13" s="11" t="s">
        <v>21</v>
      </c>
      <c r="I13" s="6"/>
      <c r="J13" s="11"/>
      <c r="K13" s="6"/>
      <c r="L13" s="11"/>
      <c r="M13" s="6"/>
      <c r="N13" s="11"/>
      <c r="O13" s="6"/>
      <c r="P13" s="11"/>
      <c r="Q13" s="6"/>
      <c r="R13" s="11"/>
      <c r="S13" s="18">
        <v>1.8E-3</v>
      </c>
      <c r="T13" s="6" t="s">
        <v>677</v>
      </c>
    </row>
    <row r="14" spans="1:25">
      <c r="A14" s="1" t="s">
        <v>675</v>
      </c>
      <c r="B14" s="1" t="s">
        <v>690</v>
      </c>
      <c r="C14" s="5">
        <v>51.47</v>
      </c>
      <c r="D14" s="5">
        <v>-1.0000000045806701E-6</v>
      </c>
      <c r="E14" s="14">
        <v>4.0000000000000002E-4</v>
      </c>
      <c r="F14" s="5">
        <v>51.470001000000003</v>
      </c>
      <c r="G14" s="5"/>
      <c r="H14" s="10" t="s">
        <v>21</v>
      </c>
      <c r="I14" s="5">
        <v>51.09</v>
      </c>
      <c r="J14" s="10">
        <v>7.437854766098928E-3</v>
      </c>
      <c r="K14" s="5">
        <v>51.254900049999982</v>
      </c>
      <c r="L14" s="10">
        <v>4.196670948342085E-3</v>
      </c>
      <c r="M14" s="5">
        <v>50.890403961538432</v>
      </c>
      <c r="N14" s="10">
        <v>1.1389102725527733E-2</v>
      </c>
      <c r="O14" s="5">
        <v>51.542999000000002</v>
      </c>
      <c r="P14" s="10">
        <v>-1.4162738182930124E-3</v>
      </c>
      <c r="Q14" s="5">
        <v>50.18</v>
      </c>
      <c r="R14" s="10">
        <v>2.570745316859302E-2</v>
      </c>
      <c r="S14" s="17">
        <v>5.4999999999999997E-3</v>
      </c>
      <c r="T14" s="5" t="s">
        <v>189</v>
      </c>
    </row>
    <row r="15" spans="1:25">
      <c r="A15" s="2"/>
      <c r="B15" s="2"/>
      <c r="C15" s="6"/>
      <c r="D15" s="6"/>
      <c r="E15" s="15"/>
      <c r="F15" s="6"/>
      <c r="G15" s="6"/>
      <c r="H15" s="11"/>
      <c r="I15" s="6"/>
      <c r="J15" s="11"/>
      <c r="K15" s="6"/>
      <c r="L15" s="11"/>
      <c r="M15" s="6"/>
      <c r="N15" s="11"/>
      <c r="O15" s="6"/>
      <c r="P15" s="11"/>
      <c r="Q15" s="6"/>
      <c r="R15" s="11"/>
      <c r="S15" s="18"/>
      <c r="T15" s="6"/>
    </row>
    <row r="16" spans="1:25">
      <c r="A16" s="1"/>
      <c r="B16" s="1"/>
      <c r="C16" s="5"/>
      <c r="D16" s="5"/>
      <c r="E16" s="14"/>
      <c r="F16" s="5"/>
      <c r="G16" s="5"/>
      <c r="H16" s="10"/>
      <c r="I16" s="5"/>
      <c r="J16" s="10"/>
      <c r="K16" s="5"/>
      <c r="L16" s="10"/>
      <c r="M16" s="5"/>
      <c r="N16" s="10"/>
      <c r="O16" s="5"/>
      <c r="P16" s="10"/>
      <c r="Q16" s="5"/>
      <c r="R16" s="10"/>
      <c r="S16" s="17"/>
      <c r="T16" s="5"/>
    </row>
    <row r="17" spans="1:20">
      <c r="A17" s="2"/>
      <c r="B17" s="2"/>
      <c r="C17" s="6"/>
      <c r="D17" s="6"/>
      <c r="E17" s="15"/>
      <c r="F17" s="6"/>
      <c r="G17" s="6"/>
      <c r="H17" s="11"/>
      <c r="I17" s="6"/>
      <c r="J17" s="11"/>
      <c r="K17" s="6"/>
      <c r="L17" s="11"/>
      <c r="M17" s="6"/>
      <c r="N17" s="11"/>
      <c r="O17" s="6"/>
      <c r="P17" s="11"/>
      <c r="Q17" s="6"/>
      <c r="R17" s="11"/>
      <c r="S17" s="18"/>
      <c r="T17" s="6"/>
    </row>
    <row r="18" spans="1:20">
      <c r="A18" s="1"/>
      <c r="B18" s="1"/>
      <c r="C18" s="5"/>
      <c r="D18" s="5"/>
      <c r="E18" s="14"/>
      <c r="F18" s="5"/>
      <c r="G18" s="5"/>
      <c r="H18" s="10"/>
      <c r="I18" s="5"/>
      <c r="J18" s="10"/>
      <c r="K18" s="5"/>
      <c r="L18" s="10"/>
      <c r="M18" s="5"/>
      <c r="N18" s="10"/>
      <c r="O18" s="5"/>
      <c r="P18" s="10"/>
      <c r="Q18" s="5"/>
      <c r="R18" s="10"/>
      <c r="S18" s="17"/>
      <c r="T18" s="5"/>
    </row>
    <row r="19" spans="1:20">
      <c r="A19" s="2"/>
      <c r="B19" s="2"/>
      <c r="C19" s="6"/>
      <c r="D19" s="6"/>
      <c r="E19" s="15"/>
      <c r="F19" s="6"/>
      <c r="G19" s="6"/>
      <c r="H19" s="11"/>
      <c r="I19" s="6"/>
      <c r="J19" s="11"/>
      <c r="K19" s="6"/>
      <c r="L19" s="11"/>
      <c r="M19" s="6"/>
      <c r="N19" s="11"/>
      <c r="O19" s="6"/>
      <c r="P19" s="11"/>
      <c r="Q19" s="6"/>
      <c r="R19" s="11"/>
      <c r="S19" s="18"/>
      <c r="T19" s="6"/>
    </row>
    <row r="20" spans="1:20">
      <c r="A20" s="1"/>
      <c r="B20" s="1"/>
      <c r="C20" s="5"/>
      <c r="D20" s="5"/>
      <c r="E20" s="14"/>
      <c r="F20" s="5"/>
      <c r="G20" s="5"/>
      <c r="H20" s="10"/>
      <c r="I20" s="5"/>
      <c r="J20" s="10"/>
      <c r="K20" s="5"/>
      <c r="L20" s="10"/>
      <c r="M20" s="5"/>
      <c r="N20" s="10"/>
      <c r="O20" s="5"/>
      <c r="P20" s="10"/>
      <c r="Q20" s="5"/>
      <c r="R20" s="10"/>
      <c r="S20" s="17"/>
      <c r="T20" s="5"/>
    </row>
    <row r="21" spans="1:20">
      <c r="A21" s="2"/>
      <c r="B21" s="2"/>
      <c r="C21" s="6"/>
      <c r="D21" s="6"/>
      <c r="E21" s="15"/>
      <c r="F21" s="6"/>
      <c r="G21" s="6"/>
      <c r="H21" s="11"/>
      <c r="I21" s="6"/>
      <c r="J21" s="11"/>
      <c r="K21" s="6"/>
      <c r="L21" s="11"/>
      <c r="M21" s="6"/>
      <c r="N21" s="11"/>
      <c r="O21" s="6"/>
      <c r="P21" s="11"/>
      <c r="Q21" s="6"/>
      <c r="R21" s="11"/>
      <c r="S21" s="18"/>
      <c r="T21" s="6"/>
    </row>
    <row r="22" spans="1:20">
      <c r="A22" s="1"/>
      <c r="B22" s="1"/>
      <c r="C22" s="5"/>
      <c r="D22" s="5"/>
      <c r="E22" s="14"/>
      <c r="F22" s="5"/>
      <c r="G22" s="5"/>
      <c r="H22" s="10"/>
      <c r="I22" s="5"/>
      <c r="J22" s="10"/>
      <c r="K22" s="5"/>
      <c r="L22" s="10"/>
      <c r="M22" s="5"/>
      <c r="N22" s="10"/>
      <c r="O22" s="5"/>
      <c r="P22" s="10"/>
      <c r="Q22" s="5"/>
      <c r="R22" s="10"/>
      <c r="S22" s="17"/>
      <c r="T22" s="5"/>
    </row>
    <row r="23" spans="1:20">
      <c r="A23" s="2"/>
      <c r="B23" s="2"/>
      <c r="C23" s="6"/>
      <c r="D23" s="6"/>
      <c r="E23" s="15"/>
      <c r="F23" s="6"/>
      <c r="G23" s="6"/>
      <c r="H23" s="11"/>
      <c r="I23" s="6"/>
      <c r="J23" s="11"/>
      <c r="K23" s="6"/>
      <c r="L23" s="11"/>
      <c r="M23" s="6"/>
      <c r="N23" s="11"/>
      <c r="O23" s="6"/>
      <c r="P23" s="11"/>
      <c r="Q23" s="6"/>
      <c r="R23" s="11"/>
      <c r="S23" s="18"/>
      <c r="T23" s="6"/>
    </row>
    <row r="24" spans="1:20">
      <c r="A24" s="1"/>
      <c r="B24" s="1"/>
      <c r="C24" s="5"/>
      <c r="D24" s="5"/>
      <c r="E24" s="14"/>
      <c r="F24" s="5"/>
      <c r="G24" s="5"/>
      <c r="H24" s="10"/>
      <c r="I24" s="5"/>
      <c r="J24" s="10"/>
      <c r="K24" s="5"/>
      <c r="L24" s="10"/>
      <c r="M24" s="5"/>
      <c r="N24" s="10"/>
      <c r="O24" s="5"/>
      <c r="P24" s="10"/>
      <c r="Q24" s="5"/>
      <c r="R24" s="10"/>
      <c r="S24" s="17"/>
      <c r="T24" s="5"/>
    </row>
    <row r="25" spans="1:20">
      <c r="A25" s="2"/>
      <c r="B25" s="2"/>
      <c r="C25" s="6"/>
      <c r="D25" s="6"/>
      <c r="E25" s="15"/>
      <c r="F25" s="6"/>
      <c r="G25" s="6"/>
      <c r="H25" s="11"/>
      <c r="I25" s="6"/>
      <c r="J25" s="11"/>
      <c r="K25" s="6"/>
      <c r="L25" s="11"/>
      <c r="M25" s="6"/>
      <c r="N25" s="11"/>
      <c r="O25" s="6"/>
      <c r="P25" s="11"/>
      <c r="Q25" s="6"/>
      <c r="R25" s="11"/>
      <c r="S25" s="18"/>
      <c r="T25" s="6"/>
    </row>
    <row r="26" spans="1:20">
      <c r="A26" s="1"/>
      <c r="B26" s="1"/>
      <c r="C26" s="5"/>
      <c r="D26" s="5"/>
      <c r="E26" s="14"/>
      <c r="F26" s="5"/>
      <c r="G26" s="5"/>
      <c r="H26" s="10"/>
      <c r="I26" s="5"/>
      <c r="J26" s="10"/>
      <c r="K26" s="5"/>
      <c r="L26" s="10"/>
      <c r="M26" s="5"/>
      <c r="N26" s="10"/>
      <c r="O26" s="5"/>
      <c r="P26" s="10"/>
      <c r="Q26" s="5"/>
      <c r="R26" s="10"/>
      <c r="S26" s="17"/>
      <c r="T26" s="5"/>
    </row>
    <row r="27" spans="1:20">
      <c r="A27" s="2"/>
      <c r="B27" s="2"/>
      <c r="C27" s="6"/>
      <c r="D27" s="6"/>
      <c r="E27" s="15"/>
      <c r="F27" s="6"/>
      <c r="G27" s="6"/>
      <c r="H27" s="11"/>
      <c r="I27" s="6"/>
      <c r="J27" s="11"/>
      <c r="K27" s="6"/>
      <c r="L27" s="11"/>
      <c r="M27" s="6"/>
      <c r="N27" s="11"/>
      <c r="O27" s="6"/>
      <c r="P27" s="11"/>
      <c r="Q27" s="6"/>
      <c r="R27" s="11"/>
      <c r="S27" s="18"/>
      <c r="T27" s="6"/>
    </row>
    <row r="28" spans="1:20">
      <c r="A28" s="1"/>
      <c r="B28" s="1"/>
      <c r="C28" s="5"/>
      <c r="D28" s="5"/>
      <c r="E28" s="14"/>
      <c r="F28" s="5"/>
      <c r="G28" s="5"/>
      <c r="H28" s="10"/>
      <c r="I28" s="5"/>
      <c r="J28" s="10"/>
      <c r="K28" s="5"/>
      <c r="L28" s="10"/>
      <c r="M28" s="5"/>
      <c r="N28" s="10"/>
      <c r="O28" s="5"/>
      <c r="P28" s="10"/>
      <c r="Q28" s="5"/>
      <c r="R28" s="10"/>
      <c r="S28" s="17"/>
      <c r="T28" s="5"/>
    </row>
    <row r="29" spans="1:20">
      <c r="A29" s="2"/>
      <c r="B29" s="2"/>
      <c r="C29" s="6"/>
      <c r="D29" s="6"/>
      <c r="E29" s="15"/>
      <c r="F29" s="6"/>
      <c r="G29" s="6"/>
      <c r="H29" s="11"/>
      <c r="I29" s="6"/>
      <c r="J29" s="11"/>
      <c r="K29" s="6"/>
      <c r="L29" s="11"/>
      <c r="M29" s="6"/>
      <c r="N29" s="11"/>
      <c r="O29" s="6"/>
      <c r="P29" s="11"/>
      <c r="Q29" s="6"/>
      <c r="R29" s="11"/>
      <c r="S29" s="18"/>
      <c r="T29" s="6"/>
    </row>
    <row r="30" spans="1:20">
      <c r="A30" s="1"/>
      <c r="B30" s="1"/>
      <c r="C30" s="5"/>
      <c r="D30" s="5"/>
      <c r="E30" s="14"/>
      <c r="F30" s="5"/>
      <c r="G30" s="5"/>
      <c r="H30" s="10"/>
      <c r="I30" s="5"/>
      <c r="J30" s="10"/>
      <c r="K30" s="5"/>
      <c r="L30" s="10"/>
      <c r="M30" s="5"/>
      <c r="N30" s="10"/>
      <c r="O30" s="5"/>
      <c r="P30" s="10"/>
      <c r="Q30" s="5"/>
      <c r="R30" s="10"/>
      <c r="S30" s="17"/>
      <c r="T30" s="5"/>
    </row>
    <row r="31" spans="1:20">
      <c r="A31" s="2"/>
      <c r="B31" s="2"/>
      <c r="C31" s="6"/>
      <c r="D31" s="6"/>
      <c r="E31" s="15"/>
      <c r="F31" s="6"/>
      <c r="G31" s="6"/>
      <c r="H31" s="11"/>
      <c r="I31" s="6"/>
      <c r="J31" s="11"/>
      <c r="K31" s="6"/>
      <c r="L31" s="11"/>
      <c r="M31" s="6"/>
      <c r="N31" s="11"/>
      <c r="O31" s="6"/>
      <c r="P31" s="11"/>
      <c r="Q31" s="6"/>
      <c r="R31" s="11"/>
      <c r="S31" s="18"/>
      <c r="T31" s="6"/>
    </row>
    <row r="32" spans="1:20">
      <c r="A32" s="1"/>
      <c r="B32" s="1"/>
      <c r="C32" s="5"/>
      <c r="D32" s="5"/>
      <c r="E32" s="14"/>
      <c r="F32" s="5"/>
      <c r="G32" s="5"/>
      <c r="H32" s="10"/>
      <c r="I32" s="5"/>
      <c r="J32" s="10"/>
      <c r="K32" s="5"/>
      <c r="L32" s="10"/>
      <c r="M32" s="5"/>
      <c r="N32" s="10"/>
      <c r="O32" s="5"/>
      <c r="P32" s="10"/>
      <c r="Q32" s="5"/>
      <c r="R32" s="10"/>
      <c r="S32" s="17"/>
      <c r="T32" s="5"/>
    </row>
    <row r="33" spans="1:20">
      <c r="A33" s="2"/>
      <c r="B33" s="2"/>
      <c r="C33" s="6"/>
      <c r="D33" s="6"/>
      <c r="E33" s="15"/>
      <c r="F33" s="6"/>
      <c r="G33" s="6"/>
      <c r="H33" s="11"/>
      <c r="I33" s="6"/>
      <c r="J33" s="11"/>
      <c r="K33" s="6"/>
      <c r="L33" s="11"/>
      <c r="M33" s="6"/>
      <c r="N33" s="11"/>
      <c r="O33" s="6"/>
      <c r="P33" s="11"/>
      <c r="Q33" s="6"/>
      <c r="R33" s="11"/>
      <c r="S33" s="18"/>
      <c r="T33" s="6"/>
    </row>
    <row r="34" spans="1:20">
      <c r="A34" s="1"/>
      <c r="B34" s="1"/>
      <c r="C34" s="5"/>
      <c r="D34" s="5"/>
      <c r="E34" s="14"/>
      <c r="F34" s="5"/>
      <c r="G34" s="5"/>
      <c r="H34" s="10"/>
      <c r="I34" s="5"/>
      <c r="J34" s="10"/>
      <c r="K34" s="5"/>
      <c r="L34" s="10"/>
      <c r="M34" s="5"/>
      <c r="N34" s="10"/>
      <c r="O34" s="5"/>
      <c r="P34" s="10"/>
      <c r="Q34" s="5"/>
      <c r="R34" s="10"/>
      <c r="S34" s="17"/>
      <c r="T34" s="5"/>
    </row>
    <row r="35" spans="1:20">
      <c r="A35" s="2"/>
      <c r="B35" s="2"/>
      <c r="C35" s="6"/>
      <c r="D35" s="6"/>
      <c r="E35" s="15"/>
      <c r="F35" s="6"/>
      <c r="G35" s="6"/>
      <c r="H35" s="11"/>
      <c r="I35" s="6"/>
      <c r="J35" s="11"/>
      <c r="K35" s="6"/>
      <c r="L35" s="11"/>
      <c r="M35" s="6"/>
      <c r="N35" s="11"/>
      <c r="O35" s="6"/>
      <c r="P35" s="11"/>
      <c r="Q35" s="6"/>
      <c r="R35" s="11"/>
      <c r="S35" s="18"/>
      <c r="T35" s="6"/>
    </row>
    <row r="36" spans="1:20">
      <c r="A36" s="1"/>
      <c r="B36" s="1"/>
      <c r="C36" s="5"/>
      <c r="D36" s="5"/>
      <c r="E36" s="14"/>
      <c r="F36" s="5"/>
      <c r="G36" s="5"/>
      <c r="H36" s="10"/>
      <c r="I36" s="5"/>
      <c r="J36" s="10"/>
      <c r="K36" s="5"/>
      <c r="L36" s="10"/>
      <c r="M36" s="5"/>
      <c r="N36" s="10"/>
      <c r="O36" s="5"/>
      <c r="P36" s="10"/>
      <c r="Q36" s="5"/>
      <c r="R36" s="10"/>
      <c r="S36" s="17"/>
      <c r="T36" s="5"/>
    </row>
    <row r="37" spans="1:20">
      <c r="A37" s="2"/>
      <c r="B37" s="2"/>
      <c r="C37" s="6"/>
      <c r="D37" s="6"/>
      <c r="E37" s="15"/>
      <c r="F37" s="6"/>
      <c r="G37" s="6"/>
      <c r="H37" s="11"/>
      <c r="I37" s="6"/>
      <c r="J37" s="11"/>
      <c r="K37" s="6"/>
      <c r="L37" s="11"/>
      <c r="M37" s="6"/>
      <c r="N37" s="11"/>
      <c r="O37" s="6"/>
      <c r="P37" s="11"/>
      <c r="Q37" s="6"/>
      <c r="R37" s="11"/>
      <c r="S37" s="18"/>
      <c r="T37" s="6"/>
    </row>
    <row r="38" spans="1:20">
      <c r="A38" s="1"/>
      <c r="B38" s="1"/>
      <c r="C38" s="5"/>
      <c r="D38" s="5"/>
      <c r="E38" s="14"/>
      <c r="F38" s="5"/>
      <c r="G38" s="5"/>
      <c r="H38" s="10"/>
      <c r="I38" s="5"/>
      <c r="J38" s="10"/>
      <c r="K38" s="5"/>
      <c r="L38" s="10"/>
      <c r="M38" s="5"/>
      <c r="N38" s="10"/>
      <c r="O38" s="5"/>
      <c r="P38" s="10"/>
      <c r="Q38" s="5"/>
      <c r="R38" s="10"/>
      <c r="S38" s="17"/>
      <c r="T38" s="5"/>
    </row>
    <row r="39" spans="1:20">
      <c r="A39" s="2"/>
      <c r="B39" s="2"/>
      <c r="C39" s="6"/>
      <c r="D39" s="6"/>
      <c r="E39" s="15"/>
      <c r="F39" s="6"/>
      <c r="G39" s="6"/>
      <c r="H39" s="11"/>
      <c r="I39" s="6"/>
      <c r="J39" s="11"/>
      <c r="K39" s="6"/>
      <c r="L39" s="11"/>
      <c r="M39" s="6"/>
      <c r="N39" s="11"/>
      <c r="O39" s="6"/>
      <c r="P39" s="11"/>
      <c r="Q39" s="6"/>
      <c r="R39" s="11"/>
      <c r="S39" s="18"/>
      <c r="T39" s="6"/>
    </row>
    <row r="40" spans="1:20">
      <c r="A40" s="1"/>
      <c r="B40" s="1"/>
      <c r="C40" s="5"/>
      <c r="D40" s="5"/>
      <c r="E40" s="14"/>
      <c r="F40" s="5"/>
      <c r="G40" s="5"/>
      <c r="H40" s="10"/>
      <c r="I40" s="5"/>
      <c r="J40" s="10"/>
      <c r="K40" s="5"/>
      <c r="L40" s="10"/>
      <c r="M40" s="5"/>
      <c r="N40" s="10"/>
      <c r="O40" s="5"/>
      <c r="P40" s="10"/>
      <c r="Q40" s="5"/>
      <c r="R40" s="10"/>
      <c r="S40" s="17"/>
      <c r="T40" s="5"/>
    </row>
    <row r="41" spans="1:20">
      <c r="A41" s="2"/>
      <c r="B41" s="2"/>
      <c r="C41" s="6"/>
      <c r="D41" s="6"/>
      <c r="E41" s="15"/>
      <c r="F41" s="6"/>
      <c r="G41" s="6"/>
      <c r="H41" s="11"/>
      <c r="I41" s="6"/>
      <c r="J41" s="11"/>
      <c r="K41" s="6"/>
      <c r="L41" s="11"/>
      <c r="M41" s="6"/>
      <c r="N41" s="11"/>
      <c r="O41" s="6"/>
      <c r="P41" s="11"/>
      <c r="Q41" s="6"/>
      <c r="R41" s="11"/>
      <c r="S41" s="18"/>
      <c r="T41" s="6"/>
    </row>
    <row r="42" spans="1:20">
      <c r="A42" s="1"/>
      <c r="B42" s="1"/>
      <c r="C42" s="5"/>
      <c r="D42" s="5"/>
      <c r="E42" s="14"/>
      <c r="F42" s="5"/>
      <c r="G42" s="5"/>
      <c r="H42" s="10"/>
      <c r="I42" s="5"/>
      <c r="J42" s="10"/>
      <c r="K42" s="5"/>
      <c r="L42" s="10"/>
      <c r="M42" s="5"/>
      <c r="N42" s="10"/>
      <c r="O42" s="5"/>
      <c r="P42" s="10"/>
      <c r="Q42" s="5"/>
      <c r="R42" s="10"/>
      <c r="S42" s="17"/>
      <c r="T42" s="5"/>
    </row>
    <row r="43" spans="1:20">
      <c r="A43" s="2"/>
      <c r="B43" s="2"/>
      <c r="C43" s="6"/>
      <c r="D43" s="6"/>
      <c r="E43" s="15"/>
      <c r="F43" s="6"/>
      <c r="G43" s="6"/>
      <c r="H43" s="11"/>
      <c r="I43" s="6"/>
      <c r="J43" s="11"/>
      <c r="K43" s="6"/>
      <c r="L43" s="11"/>
      <c r="M43" s="6"/>
      <c r="N43" s="11"/>
      <c r="O43" s="6"/>
      <c r="P43" s="11"/>
      <c r="Q43" s="6"/>
      <c r="R43" s="11"/>
      <c r="S43" s="18"/>
      <c r="T43" s="6"/>
    </row>
    <row r="44" spans="1:20">
      <c r="A44" s="1"/>
      <c r="B44" s="1"/>
      <c r="C44" s="5"/>
      <c r="D44" s="5"/>
      <c r="E44" s="14"/>
      <c r="F44" s="5"/>
      <c r="G44" s="5"/>
      <c r="H44" s="10"/>
      <c r="I44" s="5"/>
      <c r="J44" s="10"/>
      <c r="K44" s="5"/>
      <c r="L44" s="10"/>
      <c r="M44" s="5"/>
      <c r="N44" s="10"/>
      <c r="O44" s="5"/>
      <c r="P44" s="10"/>
      <c r="Q44" s="5"/>
      <c r="R44" s="10"/>
      <c r="S44" s="17"/>
      <c r="T44" s="5"/>
    </row>
    <row r="45" spans="1:20">
      <c r="A45" s="2"/>
      <c r="B45" s="2"/>
      <c r="C45" s="6"/>
      <c r="D45" s="6"/>
      <c r="E45" s="15"/>
      <c r="F45" s="6"/>
      <c r="G45" s="6"/>
      <c r="H45" s="11"/>
      <c r="I45" s="6"/>
      <c r="J45" s="11"/>
      <c r="K45" s="6"/>
      <c r="L45" s="11"/>
      <c r="M45" s="6"/>
      <c r="N45" s="11"/>
      <c r="O45" s="6"/>
      <c r="P45" s="11"/>
      <c r="Q45" s="6"/>
      <c r="R45" s="11"/>
      <c r="S45" s="18"/>
      <c r="T45" s="6"/>
    </row>
    <row r="46" spans="1:20">
      <c r="A46" s="1"/>
      <c r="B46" s="1"/>
      <c r="C46" s="5"/>
      <c r="D46" s="5"/>
      <c r="E46" s="14"/>
      <c r="F46" s="5"/>
      <c r="G46" s="5"/>
      <c r="H46" s="10"/>
      <c r="I46" s="5"/>
      <c r="J46" s="10"/>
      <c r="K46" s="5"/>
      <c r="L46" s="10"/>
      <c r="M46" s="5"/>
      <c r="N46" s="10"/>
      <c r="O46" s="5"/>
      <c r="P46" s="10"/>
      <c r="Q46" s="5"/>
      <c r="R46" s="10"/>
      <c r="S46" s="17"/>
      <c r="T46" s="5"/>
    </row>
    <row r="47" spans="1:20">
      <c r="A47" s="2"/>
      <c r="B47" s="2"/>
      <c r="C47" s="6"/>
      <c r="D47" s="6"/>
      <c r="E47" s="15"/>
      <c r="F47" s="6"/>
      <c r="G47" s="6"/>
      <c r="H47" s="11"/>
      <c r="I47" s="6"/>
      <c r="J47" s="11"/>
      <c r="K47" s="6"/>
      <c r="L47" s="11"/>
      <c r="M47" s="6"/>
      <c r="N47" s="11"/>
      <c r="O47" s="6"/>
      <c r="P47" s="11"/>
      <c r="Q47" s="6"/>
      <c r="R47" s="11"/>
      <c r="S47" s="18"/>
      <c r="T47" s="6"/>
    </row>
    <row r="48" spans="1:20">
      <c r="A48" s="1"/>
      <c r="B48" s="1"/>
      <c r="C48" s="5"/>
      <c r="D48" s="5"/>
      <c r="E48" s="14"/>
      <c r="F48" s="5"/>
      <c r="G48" s="5"/>
      <c r="H48" s="10"/>
      <c r="I48" s="5"/>
      <c r="J48" s="10"/>
      <c r="K48" s="5"/>
      <c r="L48" s="10"/>
      <c r="M48" s="5"/>
      <c r="N48" s="10"/>
      <c r="O48" s="5"/>
      <c r="P48" s="10"/>
      <c r="Q48" s="5"/>
      <c r="R48" s="10"/>
      <c r="S48" s="17"/>
      <c r="T48" s="5"/>
    </row>
    <row r="49" spans="1:20">
      <c r="A49" s="2"/>
      <c r="B49" s="2"/>
      <c r="C49" s="6"/>
      <c r="D49" s="6"/>
      <c r="E49" s="15"/>
      <c r="F49" s="6"/>
      <c r="G49" s="6"/>
      <c r="H49" s="11"/>
      <c r="I49" s="6"/>
      <c r="J49" s="11"/>
      <c r="K49" s="6"/>
      <c r="L49" s="11"/>
      <c r="M49" s="6"/>
      <c r="N49" s="11"/>
      <c r="O49" s="6"/>
      <c r="P49" s="11"/>
      <c r="Q49" s="6"/>
      <c r="R49" s="11"/>
      <c r="S49" s="18"/>
      <c r="T49" s="6"/>
    </row>
    <row r="50" spans="1:20">
      <c r="A50" s="1"/>
      <c r="B50" s="1"/>
      <c r="C50" s="5"/>
      <c r="D50" s="5"/>
      <c r="E50" s="14"/>
      <c r="F50" s="5"/>
      <c r="G50" s="5"/>
      <c r="H50" s="10"/>
      <c r="I50" s="5"/>
      <c r="J50" s="10"/>
      <c r="K50" s="5"/>
      <c r="L50" s="10"/>
      <c r="M50" s="5"/>
      <c r="N50" s="10"/>
      <c r="O50" s="5"/>
      <c r="P50" s="10"/>
      <c r="Q50" s="5"/>
      <c r="R50" s="10"/>
      <c r="S50" s="17"/>
      <c r="T50" s="5"/>
    </row>
    <row r="51" spans="1:20">
      <c r="A51" s="2"/>
      <c r="B51" s="2"/>
      <c r="C51" s="6"/>
      <c r="D51" s="6"/>
      <c r="E51" s="15"/>
      <c r="F51" s="6"/>
      <c r="G51" s="6"/>
      <c r="H51" s="11"/>
      <c r="I51" s="6"/>
      <c r="J51" s="11"/>
      <c r="K51" s="6"/>
      <c r="L51" s="11"/>
      <c r="M51" s="6"/>
      <c r="N51" s="11"/>
      <c r="O51" s="6"/>
      <c r="P51" s="11"/>
      <c r="Q51" s="6"/>
      <c r="R51" s="11"/>
      <c r="S51" s="18"/>
      <c r="T51" s="6"/>
    </row>
    <row r="52" spans="1:20">
      <c r="A52" s="1"/>
      <c r="B52" s="1"/>
      <c r="C52" s="5"/>
      <c r="D52" s="5"/>
      <c r="E52" s="14"/>
      <c r="F52" s="5"/>
      <c r="G52" s="5"/>
      <c r="H52" s="10"/>
      <c r="I52" s="5"/>
      <c r="J52" s="10"/>
      <c r="K52" s="5"/>
      <c r="L52" s="10"/>
      <c r="M52" s="5"/>
      <c r="N52" s="10"/>
      <c r="O52" s="5"/>
      <c r="P52" s="10"/>
      <c r="Q52" s="5"/>
      <c r="R52" s="10"/>
      <c r="S52" s="17"/>
      <c r="T52" s="5"/>
    </row>
    <row r="53" spans="1:20">
      <c r="A53" s="2"/>
      <c r="B53" s="2"/>
      <c r="C53" s="6"/>
      <c r="D53" s="6"/>
      <c r="E53" s="15"/>
      <c r="F53" s="6"/>
      <c r="G53" s="6"/>
      <c r="H53" s="11"/>
      <c r="I53" s="6"/>
      <c r="J53" s="11"/>
      <c r="K53" s="6"/>
      <c r="L53" s="11"/>
      <c r="M53" s="6"/>
      <c r="N53" s="11"/>
      <c r="O53" s="6"/>
      <c r="P53" s="11"/>
      <c r="Q53" s="6"/>
      <c r="R53" s="11"/>
      <c r="S53" s="18"/>
      <c r="T53" s="6"/>
    </row>
    <row r="54" spans="1:20">
      <c r="A54" s="1"/>
      <c r="B54" s="1"/>
      <c r="C54" s="5"/>
      <c r="D54" s="5"/>
      <c r="E54" s="14"/>
      <c r="F54" s="5"/>
      <c r="G54" s="5"/>
      <c r="H54" s="10"/>
      <c r="I54" s="5"/>
      <c r="J54" s="10"/>
      <c r="K54" s="5"/>
      <c r="L54" s="10"/>
      <c r="M54" s="5"/>
      <c r="N54" s="10"/>
      <c r="O54" s="5"/>
      <c r="P54" s="10"/>
      <c r="Q54" s="5"/>
      <c r="R54" s="10"/>
      <c r="S54" s="5"/>
      <c r="T54" s="5"/>
    </row>
    <row r="55" spans="1:20">
      <c r="A55" s="2"/>
      <c r="B55" s="2"/>
      <c r="C55" s="6"/>
      <c r="D55" s="6"/>
      <c r="E55" s="15"/>
      <c r="F55" s="6"/>
      <c r="G55" s="6"/>
      <c r="H55" s="11"/>
      <c r="I55" s="6"/>
      <c r="J55" s="11"/>
      <c r="K55" s="6"/>
      <c r="L55" s="11"/>
      <c r="M55" s="6"/>
      <c r="N55" s="11"/>
      <c r="O55" s="6"/>
      <c r="P55" s="11"/>
      <c r="Q55" s="6"/>
      <c r="R55" s="11"/>
      <c r="S55" s="6"/>
      <c r="T55" s="6"/>
    </row>
    <row r="56" spans="1:20">
      <c r="A56" s="1"/>
      <c r="B56" s="1"/>
      <c r="C56" s="5"/>
      <c r="D56" s="5"/>
      <c r="E56" s="14"/>
      <c r="F56" s="5"/>
      <c r="G56" s="5"/>
      <c r="H56" s="10"/>
      <c r="I56" s="5"/>
      <c r="J56" s="10"/>
      <c r="K56" s="5"/>
      <c r="L56" s="10"/>
      <c r="M56" s="5"/>
      <c r="N56" s="10"/>
      <c r="O56" s="5"/>
      <c r="P56" s="10"/>
      <c r="Q56" s="5"/>
      <c r="R56" s="10"/>
      <c r="S56" s="5"/>
      <c r="T56" s="5"/>
    </row>
    <row r="57" spans="1:20">
      <c r="A57" s="2"/>
      <c r="B57" s="2"/>
      <c r="C57" s="6"/>
      <c r="D57" s="6"/>
      <c r="E57" s="15"/>
      <c r="F57" s="6"/>
      <c r="G57" s="6"/>
      <c r="H57" s="11"/>
      <c r="I57" s="6"/>
      <c r="J57" s="11"/>
      <c r="K57" s="6"/>
      <c r="L57" s="11"/>
      <c r="M57" s="6"/>
      <c r="N57" s="11"/>
      <c r="O57" s="6"/>
      <c r="P57" s="11"/>
      <c r="Q57" s="6"/>
      <c r="R57" s="11"/>
      <c r="S57" s="6"/>
      <c r="T57" s="6"/>
    </row>
    <row r="58" spans="1:20">
      <c r="A58" s="1"/>
      <c r="B58" s="1"/>
      <c r="C58" s="5"/>
      <c r="D58" s="5"/>
      <c r="E58" s="14"/>
      <c r="F58" s="5"/>
      <c r="G58" s="5"/>
      <c r="H58" s="10"/>
      <c r="I58" s="5"/>
      <c r="J58" s="10"/>
      <c r="K58" s="5"/>
      <c r="L58" s="10"/>
      <c r="M58" s="5"/>
      <c r="N58" s="10"/>
      <c r="O58" s="5"/>
      <c r="P58" s="10"/>
      <c r="Q58" s="5"/>
      <c r="R58" s="10"/>
      <c r="S58" s="5"/>
      <c r="T58" s="5"/>
    </row>
    <row r="59" spans="1:20">
      <c r="A59" s="2"/>
      <c r="B59" s="2"/>
      <c r="C59" s="6"/>
      <c r="D59" s="6"/>
      <c r="E59" s="15"/>
      <c r="F59" s="6"/>
      <c r="G59" s="6"/>
      <c r="H59" s="11"/>
      <c r="I59" s="6"/>
      <c r="J59" s="11"/>
      <c r="K59" s="6"/>
      <c r="L59" s="11"/>
      <c r="M59" s="6"/>
      <c r="N59" s="11"/>
      <c r="O59" s="6"/>
      <c r="P59" s="11"/>
      <c r="Q59" s="6"/>
      <c r="R59" s="11"/>
      <c r="S59" s="6"/>
      <c r="T59" s="6"/>
    </row>
    <row r="60" spans="1:20">
      <c r="A60" s="1"/>
      <c r="B60" s="1"/>
      <c r="C60" s="5"/>
      <c r="D60" s="5"/>
      <c r="E60" s="14"/>
      <c r="F60" s="5"/>
      <c r="G60" s="5"/>
      <c r="H60" s="10"/>
      <c r="I60" s="5"/>
      <c r="J60" s="10"/>
      <c r="K60" s="5"/>
      <c r="L60" s="10"/>
      <c r="M60" s="5"/>
      <c r="N60" s="10"/>
      <c r="O60" s="5"/>
      <c r="P60" s="10"/>
      <c r="Q60" s="5"/>
      <c r="R60" s="10"/>
      <c r="S60" s="5"/>
      <c r="T60" s="5"/>
    </row>
  </sheetData>
  <conditionalFormatting sqref="J2:J60 L2:L60 N2:N60">
    <cfRule type="cellIs" dxfId="19" priority="5" operator="lessThan">
      <formula>-0.02</formula>
    </cfRule>
  </conditionalFormatting>
  <conditionalFormatting sqref="P2:P60">
    <cfRule type="cellIs" dxfId="18" priority="4" operator="between">
      <formula>-0.05</formula>
      <formula>0.05</formula>
    </cfRule>
  </conditionalFormatting>
  <conditionalFormatting sqref="H2:H60">
    <cfRule type="cellIs" dxfId="17" priority="2" operator="between">
      <formula>0</formula>
      <formula>0.05</formula>
    </cfRule>
    <cfRule type="cellIs" dxfId="16" priority="3" operator="between">
      <formula>-0.05</formula>
      <formula>0</formula>
    </cfRule>
  </conditionalFormatting>
  <conditionalFormatting sqref="R2:R60">
    <cfRule type="cellIs" dxfId="15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UpdateCurrentSheet">
                <anchor moveWithCells="1" sizeWithCells="1">
                  <from>
                    <xdr:col>23</xdr:col>
                    <xdr:colOff>38100</xdr:colOff>
                    <xdr:row>0</xdr:row>
                    <xdr:rowOff>28575</xdr:rowOff>
                  </from>
                  <to>
                    <xdr:col>24</xdr:col>
                    <xdr:colOff>419100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3"/>
  </sheetPr>
  <dimension ref="A1:Y60"/>
  <sheetViews>
    <sheetView zoomScale="80" zoomScaleNormal="80" workbookViewId="0">
      <pane ySplit="1" topLeftCell="A2" activePane="bottomLeft" state="frozen"/>
      <selection activeCell="B41" sqref="B41"/>
      <selection pane="bottomLeft" activeCell="B2" sqref="B2"/>
    </sheetView>
  </sheetViews>
  <sheetFormatPr defaultRowHeight="15"/>
  <cols>
    <col min="1" max="1" width="10.28515625" bestFit="1" customWidth="1"/>
    <col min="2" max="2" width="52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18" width="10.28515625" bestFit="1" customWidth="1"/>
    <col min="20" max="20" width="10.28515625" bestFit="1" customWidth="1"/>
    <col min="24" max="24" width="10.7109375" customWidth="1"/>
  </cols>
  <sheetData>
    <row r="1" spans="1:25" ht="30.75" thickBot="1">
      <c r="A1" s="3" t="s">
        <v>2</v>
      </c>
      <c r="B1" s="4" t="s">
        <v>3</v>
      </c>
      <c r="C1" s="3" t="s">
        <v>5</v>
      </c>
      <c r="D1" s="3" t="s">
        <v>6</v>
      </c>
      <c r="E1" s="3" t="s">
        <v>7</v>
      </c>
      <c r="F1" s="3" t="s">
        <v>8</v>
      </c>
      <c r="G1" s="27" t="s">
        <v>14</v>
      </c>
      <c r="H1" s="7" t="s">
        <v>15</v>
      </c>
      <c r="I1" s="3" t="s">
        <v>9</v>
      </c>
      <c r="J1" s="3" t="s">
        <v>16</v>
      </c>
      <c r="K1" s="3" t="s">
        <v>10</v>
      </c>
      <c r="L1" s="3" t="s">
        <v>17</v>
      </c>
      <c r="M1" s="3" t="s">
        <v>11</v>
      </c>
      <c r="N1" s="3" t="s">
        <v>18</v>
      </c>
      <c r="O1" s="3" t="s">
        <v>12</v>
      </c>
      <c r="P1" s="3" t="s">
        <v>19</v>
      </c>
      <c r="Q1" s="3" t="s">
        <v>13</v>
      </c>
      <c r="R1" s="3" t="s">
        <v>20</v>
      </c>
      <c r="S1" s="28" t="s">
        <v>115</v>
      </c>
      <c r="T1" s="29" t="s">
        <v>116</v>
      </c>
    </row>
    <row r="2" spans="1:25">
      <c r="A2" s="1" t="s">
        <v>691</v>
      </c>
      <c r="B2" s="1" t="s">
        <v>704</v>
      </c>
      <c r="C2" s="5">
        <v>26.28</v>
      </c>
      <c r="D2" s="5">
        <v>-1.0000000010279564E-6</v>
      </c>
      <c r="E2" s="14">
        <v>-4.0000000000000002E-4</v>
      </c>
      <c r="F2" s="5">
        <v>26.280001000000002</v>
      </c>
      <c r="G2" s="5"/>
      <c r="H2" s="10" t="s">
        <v>21</v>
      </c>
      <c r="I2" s="5">
        <v>25.67</v>
      </c>
      <c r="J2" s="10">
        <v>2.3763147643163229E-2</v>
      </c>
      <c r="K2" s="5">
        <v>25.567249975000003</v>
      </c>
      <c r="L2" s="10">
        <v>2.7877461428074346E-2</v>
      </c>
      <c r="M2" s="5">
        <v>25.162749866666669</v>
      </c>
      <c r="N2" s="10">
        <v>4.4400955350804683E-2</v>
      </c>
      <c r="O2" s="5">
        <v>26.290001</v>
      </c>
      <c r="P2" s="10">
        <v>-3.8041078811668072E-4</v>
      </c>
      <c r="Q2" s="5">
        <v>23.879998999999998</v>
      </c>
      <c r="R2" s="10">
        <v>0.10050255864751101</v>
      </c>
      <c r="S2" s="17">
        <v>4.8999999999999998E-3</v>
      </c>
      <c r="T2" s="5" t="s">
        <v>129</v>
      </c>
    </row>
    <row r="3" spans="1:25">
      <c r="A3" s="2" t="s">
        <v>692</v>
      </c>
      <c r="B3" s="2" t="s">
        <v>697</v>
      </c>
      <c r="C3" s="6">
        <v>24.95</v>
      </c>
      <c r="D3" s="6">
        <v>-1.0000000010279564E-6</v>
      </c>
      <c r="E3" s="15">
        <v>0</v>
      </c>
      <c r="F3" s="6">
        <v>24.950001</v>
      </c>
      <c r="G3" s="6"/>
      <c r="H3" s="11" t="s">
        <v>21</v>
      </c>
      <c r="I3" s="6">
        <v>24.84</v>
      </c>
      <c r="J3" s="11">
        <v>4.4283413848631437E-3</v>
      </c>
      <c r="K3" s="6">
        <v>24.88615007500001</v>
      </c>
      <c r="L3" s="11">
        <v>2.5656811040504213E-3</v>
      </c>
      <c r="M3" s="6">
        <v>25.014641716666684</v>
      </c>
      <c r="N3" s="11">
        <v>-2.5841552079323149E-3</v>
      </c>
      <c r="O3" s="6">
        <v>25.684000000000001</v>
      </c>
      <c r="P3" s="11">
        <v>-2.8578103099205832E-2</v>
      </c>
      <c r="Q3" s="6">
        <v>23.299999</v>
      </c>
      <c r="R3" s="11">
        <v>7.0815496601523531E-2</v>
      </c>
      <c r="S3" s="18">
        <v>8.3999999999999995E-3</v>
      </c>
      <c r="T3" s="6" t="s">
        <v>127</v>
      </c>
      <c r="X3" t="s">
        <v>42</v>
      </c>
      <c r="Y3" t="s">
        <v>696</v>
      </c>
    </row>
    <row r="4" spans="1:25">
      <c r="A4" s="1" t="s">
        <v>693</v>
      </c>
      <c r="B4" s="1" t="s">
        <v>698</v>
      </c>
      <c r="C4" s="5">
        <v>15.64</v>
      </c>
      <c r="D4" s="5">
        <v>-0.10999999999999943</v>
      </c>
      <c r="E4" s="14">
        <v>4.4999999999999997E-3</v>
      </c>
      <c r="F4" s="5">
        <v>15.75</v>
      </c>
      <c r="G4" s="5"/>
      <c r="H4" s="10" t="s">
        <v>21</v>
      </c>
      <c r="I4" s="5">
        <v>15.574</v>
      </c>
      <c r="J4" s="10">
        <v>4.237832284576859E-3</v>
      </c>
      <c r="K4" s="5">
        <v>15.615525000000002</v>
      </c>
      <c r="L4" s="10">
        <v>1.5673504413076245E-3</v>
      </c>
      <c r="M4" s="5">
        <v>15.533933333333334</v>
      </c>
      <c r="N4" s="10">
        <v>6.8280624353564967E-3</v>
      </c>
      <c r="O4" s="5">
        <v>15.805</v>
      </c>
      <c r="P4" s="10">
        <v>-1.0439734261309619E-2</v>
      </c>
      <c r="Q4" s="5">
        <v>14.379</v>
      </c>
      <c r="R4" s="10">
        <v>8.7697336393351533E-2</v>
      </c>
      <c r="S4" s="17">
        <v>3.1899999999999998E-2</v>
      </c>
      <c r="T4" s="5" t="s">
        <v>127</v>
      </c>
      <c r="X4" t="s">
        <v>37</v>
      </c>
    </row>
    <row r="5" spans="1:25">
      <c r="A5" s="2" t="s">
        <v>694</v>
      </c>
      <c r="B5" s="2" t="s">
        <v>699</v>
      </c>
      <c r="C5" s="6">
        <v>11.22</v>
      </c>
      <c r="D5" s="6">
        <v>0</v>
      </c>
      <c r="E5" s="15">
        <v>6.3E-3</v>
      </c>
      <c r="F5" s="6">
        <v>11.22</v>
      </c>
      <c r="G5" s="6"/>
      <c r="H5" s="11" t="s">
        <v>21</v>
      </c>
      <c r="I5" s="6">
        <v>10.93</v>
      </c>
      <c r="J5" s="11">
        <v>2.653247941445569E-2</v>
      </c>
      <c r="K5" s="6">
        <v>11.105300000000002</v>
      </c>
      <c r="L5" s="11">
        <v>1.0328401754117422E-2</v>
      </c>
      <c r="M5" s="6">
        <v>10.881416666666672</v>
      </c>
      <c r="N5" s="11">
        <v>3.1115740138002446E-2</v>
      </c>
      <c r="O5" s="6">
        <v>11.26</v>
      </c>
      <c r="P5" s="11">
        <v>-3.5523978685612079E-3</v>
      </c>
      <c r="Q5" s="6">
        <v>9.8040000000000003</v>
      </c>
      <c r="R5" s="11">
        <v>0.14443084455324362</v>
      </c>
      <c r="S5" s="18">
        <v>1.6799999999999999E-2</v>
      </c>
      <c r="T5" s="6" t="s">
        <v>702</v>
      </c>
    </row>
    <row r="6" spans="1:25">
      <c r="A6" s="1" t="s">
        <v>695</v>
      </c>
      <c r="B6" s="1" t="s">
        <v>700</v>
      </c>
      <c r="C6" s="5">
        <v>18.385000000000002</v>
      </c>
      <c r="D6" s="5">
        <v>-4.9989999999979773E-3</v>
      </c>
      <c r="E6" s="14">
        <v>2.4499999999999999E-3</v>
      </c>
      <c r="F6" s="5">
        <v>18.389999</v>
      </c>
      <c r="G6" s="5"/>
      <c r="H6" s="10" t="s">
        <v>21</v>
      </c>
      <c r="I6" s="5">
        <v>18.200001</v>
      </c>
      <c r="J6" s="10">
        <v>1.0164779661275825E-2</v>
      </c>
      <c r="K6" s="5">
        <v>18.240999975000001</v>
      </c>
      <c r="L6" s="10">
        <v>7.894305421707104E-3</v>
      </c>
      <c r="M6" s="5">
        <v>18.379499958333337</v>
      </c>
      <c r="N6" s="10">
        <v>2.9924871074471504E-4</v>
      </c>
      <c r="O6" s="5">
        <v>19.43</v>
      </c>
      <c r="P6" s="10">
        <v>-5.3782810087493527E-2</v>
      </c>
      <c r="Q6" s="5">
        <v>17.709999</v>
      </c>
      <c r="R6" s="10">
        <v>3.8114118470588432E-2</v>
      </c>
      <c r="S6" s="17">
        <v>7.4999999999999997E-3</v>
      </c>
      <c r="T6" s="5" t="s">
        <v>703</v>
      </c>
    </row>
    <row r="7" spans="1:25">
      <c r="A7" s="2" t="s">
        <v>696</v>
      </c>
      <c r="B7" s="2" t="s">
        <v>701</v>
      </c>
      <c r="C7" s="6">
        <v>26.4</v>
      </c>
      <c r="D7" s="6">
        <v>0</v>
      </c>
      <c r="E7" s="15">
        <v>3.0999999999999999E-3</v>
      </c>
      <c r="F7" s="6">
        <v>26.4</v>
      </c>
      <c r="G7" s="6"/>
      <c r="H7" s="11" t="s">
        <v>21</v>
      </c>
      <c r="I7" s="6">
        <v>26.16680035000001</v>
      </c>
      <c r="J7" s="11">
        <v>8.9120430041416121E-3</v>
      </c>
      <c r="K7" s="6">
        <v>26.097675149999993</v>
      </c>
      <c r="L7" s="11">
        <v>1.1584359459697158E-2</v>
      </c>
      <c r="M7" s="6">
        <v>25.576366516666674</v>
      </c>
      <c r="N7" s="11">
        <v>3.220291212188453E-2</v>
      </c>
      <c r="O7" s="6">
        <v>26.4</v>
      </c>
      <c r="P7" s="11">
        <v>0</v>
      </c>
      <c r="Q7" s="6">
        <v>23.879998999999998</v>
      </c>
      <c r="R7" s="11">
        <v>0.10552768448608396</v>
      </c>
      <c r="S7" s="18">
        <v>8.6E-3</v>
      </c>
      <c r="T7" s="6" t="s">
        <v>703</v>
      </c>
    </row>
    <row r="8" spans="1:25">
      <c r="A8" s="1"/>
      <c r="B8" s="1"/>
      <c r="C8" s="5"/>
      <c r="D8" s="5"/>
      <c r="E8" s="14"/>
      <c r="F8" s="5"/>
      <c r="G8" s="5"/>
      <c r="H8" s="10"/>
      <c r="I8" s="5"/>
      <c r="J8" s="10"/>
      <c r="K8" s="5"/>
      <c r="L8" s="10"/>
      <c r="M8" s="5"/>
      <c r="N8" s="10"/>
      <c r="O8" s="5"/>
      <c r="P8" s="10"/>
      <c r="Q8" s="5"/>
      <c r="R8" s="10"/>
      <c r="S8" s="17"/>
      <c r="T8" s="5"/>
    </row>
    <row r="9" spans="1:25">
      <c r="A9" s="2"/>
      <c r="B9" s="2"/>
      <c r="C9" s="6"/>
      <c r="D9" s="6"/>
      <c r="E9" s="15"/>
      <c r="F9" s="6"/>
      <c r="G9" s="6"/>
      <c r="H9" s="11"/>
      <c r="I9" s="6"/>
      <c r="J9" s="11"/>
      <c r="K9" s="6"/>
      <c r="L9" s="11"/>
      <c r="M9" s="6"/>
      <c r="N9" s="11"/>
      <c r="O9" s="6"/>
      <c r="P9" s="11"/>
      <c r="Q9" s="6"/>
      <c r="R9" s="11"/>
      <c r="S9" s="18"/>
      <c r="T9" s="6"/>
    </row>
    <row r="10" spans="1:25">
      <c r="A10" s="1"/>
      <c r="B10" s="1"/>
      <c r="C10" s="5"/>
      <c r="D10" s="5"/>
      <c r="E10" s="14"/>
      <c r="F10" s="5"/>
      <c r="G10" s="5"/>
      <c r="H10" s="10"/>
      <c r="I10" s="5"/>
      <c r="J10" s="10"/>
      <c r="K10" s="5"/>
      <c r="L10" s="10"/>
      <c r="M10" s="5"/>
      <c r="N10" s="10"/>
      <c r="O10" s="5"/>
      <c r="P10" s="10"/>
      <c r="Q10" s="5"/>
      <c r="R10" s="10"/>
      <c r="S10" s="17"/>
      <c r="T10" s="5"/>
    </row>
    <row r="11" spans="1:25">
      <c r="A11" s="2"/>
      <c r="B11" s="2"/>
      <c r="C11" s="6"/>
      <c r="D11" s="6"/>
      <c r="E11" s="15"/>
      <c r="F11" s="6"/>
      <c r="G11" s="6"/>
      <c r="H11" s="11"/>
      <c r="I11" s="6"/>
      <c r="J11" s="11"/>
      <c r="K11" s="6"/>
      <c r="L11" s="11"/>
      <c r="M11" s="6"/>
      <c r="N11" s="11"/>
      <c r="O11" s="6"/>
      <c r="P11" s="11"/>
      <c r="Q11" s="6"/>
      <c r="R11" s="11"/>
      <c r="S11" s="18"/>
      <c r="T11" s="6"/>
    </row>
    <row r="12" spans="1:25">
      <c r="A12" s="1"/>
      <c r="B12" s="1"/>
      <c r="C12" s="5"/>
      <c r="D12" s="5"/>
      <c r="E12" s="14"/>
      <c r="F12" s="5"/>
      <c r="G12" s="5"/>
      <c r="H12" s="10"/>
      <c r="I12" s="5"/>
      <c r="J12" s="10"/>
      <c r="K12" s="5"/>
      <c r="L12" s="10"/>
      <c r="M12" s="5"/>
      <c r="N12" s="10"/>
      <c r="O12" s="5"/>
      <c r="P12" s="10"/>
      <c r="Q12" s="5"/>
      <c r="R12" s="10"/>
      <c r="S12" s="17"/>
      <c r="T12" s="5"/>
    </row>
    <row r="13" spans="1:25">
      <c r="A13" s="2"/>
      <c r="B13" s="2"/>
      <c r="C13" s="6"/>
      <c r="D13" s="6"/>
      <c r="E13" s="15"/>
      <c r="F13" s="6"/>
      <c r="G13" s="6"/>
      <c r="H13" s="11"/>
      <c r="I13" s="6"/>
      <c r="J13" s="11"/>
      <c r="K13" s="6"/>
      <c r="L13" s="11"/>
      <c r="M13" s="6"/>
      <c r="N13" s="11"/>
      <c r="O13" s="6"/>
      <c r="P13" s="11"/>
      <c r="Q13" s="6"/>
      <c r="R13" s="11"/>
      <c r="S13" s="18"/>
      <c r="T13" s="6"/>
    </row>
    <row r="14" spans="1:25">
      <c r="A14" s="1"/>
      <c r="B14" s="1"/>
      <c r="C14" s="5"/>
      <c r="D14" s="5"/>
      <c r="E14" s="14"/>
      <c r="F14" s="5"/>
      <c r="G14" s="5"/>
      <c r="H14" s="10"/>
      <c r="I14" s="5"/>
      <c r="J14" s="10"/>
      <c r="K14" s="5"/>
      <c r="L14" s="10"/>
      <c r="M14" s="5"/>
      <c r="N14" s="10"/>
      <c r="O14" s="5"/>
      <c r="P14" s="10"/>
      <c r="Q14" s="5"/>
      <c r="R14" s="10"/>
      <c r="S14" s="17"/>
      <c r="T14" s="5"/>
    </row>
    <row r="15" spans="1:25">
      <c r="A15" s="2"/>
      <c r="B15" s="2"/>
      <c r="C15" s="6"/>
      <c r="D15" s="6"/>
      <c r="E15" s="15"/>
      <c r="F15" s="6"/>
      <c r="G15" s="6"/>
      <c r="H15" s="11"/>
      <c r="I15" s="6"/>
      <c r="J15" s="11"/>
      <c r="K15" s="6"/>
      <c r="L15" s="11"/>
      <c r="M15" s="6"/>
      <c r="N15" s="11"/>
      <c r="O15" s="6"/>
      <c r="P15" s="11"/>
      <c r="Q15" s="6"/>
      <c r="R15" s="11"/>
      <c r="S15" s="18"/>
      <c r="T15" s="6"/>
    </row>
    <row r="16" spans="1:25">
      <c r="A16" s="1"/>
      <c r="B16" s="1"/>
      <c r="C16" s="5"/>
      <c r="D16" s="5"/>
      <c r="E16" s="14"/>
      <c r="F16" s="5"/>
      <c r="G16" s="5"/>
      <c r="H16" s="10"/>
      <c r="I16" s="5"/>
      <c r="J16" s="10"/>
      <c r="K16" s="5"/>
      <c r="L16" s="10"/>
      <c r="M16" s="5"/>
      <c r="N16" s="10"/>
      <c r="O16" s="5"/>
      <c r="P16" s="10"/>
      <c r="Q16" s="5"/>
      <c r="R16" s="10"/>
      <c r="S16" s="17"/>
      <c r="T16" s="5"/>
    </row>
    <row r="17" spans="1:20">
      <c r="A17" s="2"/>
      <c r="B17" s="2"/>
      <c r="C17" s="6"/>
      <c r="D17" s="6"/>
      <c r="E17" s="15"/>
      <c r="F17" s="6"/>
      <c r="G17" s="6"/>
      <c r="H17" s="11"/>
      <c r="I17" s="6"/>
      <c r="J17" s="11"/>
      <c r="K17" s="6"/>
      <c r="L17" s="11"/>
      <c r="M17" s="6"/>
      <c r="N17" s="11"/>
      <c r="O17" s="6"/>
      <c r="P17" s="11"/>
      <c r="Q17" s="6"/>
      <c r="R17" s="11"/>
      <c r="S17" s="18"/>
      <c r="T17" s="6"/>
    </row>
    <row r="18" spans="1:20">
      <c r="A18" s="1"/>
      <c r="B18" s="1"/>
      <c r="C18" s="5"/>
      <c r="D18" s="5"/>
      <c r="E18" s="14"/>
      <c r="F18" s="5"/>
      <c r="G18" s="5"/>
      <c r="H18" s="10"/>
      <c r="I18" s="5"/>
      <c r="J18" s="10"/>
      <c r="K18" s="5"/>
      <c r="L18" s="10"/>
      <c r="M18" s="5"/>
      <c r="N18" s="10"/>
      <c r="O18" s="5"/>
      <c r="P18" s="10"/>
      <c r="Q18" s="5"/>
      <c r="R18" s="10"/>
      <c r="S18" s="17"/>
      <c r="T18" s="5"/>
    </row>
    <row r="19" spans="1:20">
      <c r="A19" s="2"/>
      <c r="B19" s="2"/>
      <c r="C19" s="6"/>
      <c r="D19" s="6"/>
      <c r="E19" s="15"/>
      <c r="F19" s="6"/>
      <c r="G19" s="6"/>
      <c r="H19" s="11"/>
      <c r="I19" s="6"/>
      <c r="J19" s="11"/>
      <c r="K19" s="6"/>
      <c r="L19" s="11"/>
      <c r="M19" s="6"/>
      <c r="N19" s="11"/>
      <c r="O19" s="6"/>
      <c r="P19" s="11"/>
      <c r="Q19" s="6"/>
      <c r="R19" s="11"/>
      <c r="S19" s="18"/>
      <c r="T19" s="6"/>
    </row>
    <row r="20" spans="1:20">
      <c r="A20" s="1"/>
      <c r="B20" s="1"/>
      <c r="C20" s="5"/>
      <c r="D20" s="5"/>
      <c r="E20" s="14"/>
      <c r="F20" s="5"/>
      <c r="G20" s="5"/>
      <c r="H20" s="10"/>
      <c r="I20" s="5"/>
      <c r="J20" s="10"/>
      <c r="K20" s="5"/>
      <c r="L20" s="10"/>
      <c r="M20" s="5"/>
      <c r="N20" s="10"/>
      <c r="O20" s="5"/>
      <c r="P20" s="10"/>
      <c r="Q20" s="5"/>
      <c r="R20" s="10"/>
      <c r="S20" s="17"/>
      <c r="T20" s="5"/>
    </row>
    <row r="21" spans="1:20">
      <c r="A21" s="2"/>
      <c r="B21" s="2"/>
      <c r="C21" s="6"/>
      <c r="D21" s="6"/>
      <c r="E21" s="15"/>
      <c r="F21" s="6"/>
      <c r="G21" s="6"/>
      <c r="H21" s="11"/>
      <c r="I21" s="6"/>
      <c r="J21" s="11"/>
      <c r="K21" s="6"/>
      <c r="L21" s="11"/>
      <c r="M21" s="6"/>
      <c r="N21" s="11"/>
      <c r="O21" s="6"/>
      <c r="P21" s="11"/>
      <c r="Q21" s="6"/>
      <c r="R21" s="11"/>
      <c r="S21" s="18"/>
      <c r="T21" s="6"/>
    </row>
    <row r="22" spans="1:20">
      <c r="A22" s="1"/>
      <c r="B22" s="1"/>
      <c r="C22" s="5"/>
      <c r="D22" s="5"/>
      <c r="E22" s="14"/>
      <c r="F22" s="5"/>
      <c r="G22" s="5"/>
      <c r="H22" s="10"/>
      <c r="I22" s="5"/>
      <c r="J22" s="10"/>
      <c r="K22" s="5"/>
      <c r="L22" s="10"/>
      <c r="M22" s="5"/>
      <c r="N22" s="10"/>
      <c r="O22" s="5"/>
      <c r="P22" s="10"/>
      <c r="Q22" s="5"/>
      <c r="R22" s="10"/>
      <c r="S22" s="17"/>
      <c r="T22" s="5"/>
    </row>
    <row r="23" spans="1:20">
      <c r="A23" s="2"/>
      <c r="B23" s="2"/>
      <c r="C23" s="6"/>
      <c r="D23" s="6"/>
      <c r="E23" s="15"/>
      <c r="F23" s="6"/>
      <c r="G23" s="6"/>
      <c r="H23" s="11"/>
      <c r="I23" s="6"/>
      <c r="J23" s="11"/>
      <c r="K23" s="6"/>
      <c r="L23" s="11"/>
      <c r="M23" s="6"/>
      <c r="N23" s="11"/>
      <c r="O23" s="6"/>
      <c r="P23" s="11"/>
      <c r="Q23" s="6"/>
      <c r="R23" s="11"/>
      <c r="S23" s="18"/>
      <c r="T23" s="6"/>
    </row>
    <row r="24" spans="1:20">
      <c r="A24" s="1"/>
      <c r="B24" s="1"/>
      <c r="C24" s="5"/>
      <c r="D24" s="5"/>
      <c r="E24" s="14"/>
      <c r="F24" s="5"/>
      <c r="G24" s="5"/>
      <c r="H24" s="10"/>
      <c r="I24" s="5"/>
      <c r="J24" s="10"/>
      <c r="K24" s="5"/>
      <c r="L24" s="10"/>
      <c r="M24" s="5"/>
      <c r="N24" s="10"/>
      <c r="O24" s="5"/>
      <c r="P24" s="10"/>
      <c r="Q24" s="5"/>
      <c r="R24" s="10"/>
      <c r="S24" s="17"/>
      <c r="T24" s="5"/>
    </row>
    <row r="25" spans="1:20">
      <c r="A25" s="2"/>
      <c r="B25" s="2"/>
      <c r="C25" s="6"/>
      <c r="D25" s="6"/>
      <c r="E25" s="15"/>
      <c r="F25" s="6"/>
      <c r="G25" s="6"/>
      <c r="H25" s="11"/>
      <c r="I25" s="6"/>
      <c r="J25" s="11"/>
      <c r="K25" s="6"/>
      <c r="L25" s="11"/>
      <c r="M25" s="6"/>
      <c r="N25" s="11"/>
      <c r="O25" s="6"/>
      <c r="P25" s="11"/>
      <c r="Q25" s="6"/>
      <c r="R25" s="11"/>
      <c r="S25" s="18"/>
      <c r="T25" s="6"/>
    </row>
    <row r="26" spans="1:20">
      <c r="A26" s="1"/>
      <c r="B26" s="1"/>
      <c r="C26" s="5"/>
      <c r="D26" s="5"/>
      <c r="E26" s="14"/>
      <c r="F26" s="5"/>
      <c r="G26" s="5"/>
      <c r="H26" s="10"/>
      <c r="I26" s="5"/>
      <c r="J26" s="10"/>
      <c r="K26" s="5"/>
      <c r="L26" s="10"/>
      <c r="M26" s="5"/>
      <c r="N26" s="10"/>
      <c r="O26" s="5"/>
      <c r="P26" s="10"/>
      <c r="Q26" s="5"/>
      <c r="R26" s="10"/>
      <c r="S26" s="17"/>
      <c r="T26" s="5"/>
    </row>
    <row r="27" spans="1:20">
      <c r="A27" s="2"/>
      <c r="B27" s="2"/>
      <c r="C27" s="6"/>
      <c r="D27" s="6"/>
      <c r="E27" s="15"/>
      <c r="F27" s="6"/>
      <c r="G27" s="6"/>
      <c r="H27" s="11"/>
      <c r="I27" s="6"/>
      <c r="J27" s="11"/>
      <c r="K27" s="6"/>
      <c r="L27" s="11"/>
      <c r="M27" s="6"/>
      <c r="N27" s="11"/>
      <c r="O27" s="6"/>
      <c r="P27" s="11"/>
      <c r="Q27" s="6"/>
      <c r="R27" s="11"/>
      <c r="S27" s="18"/>
      <c r="T27" s="6"/>
    </row>
    <row r="28" spans="1:20">
      <c r="A28" s="1"/>
      <c r="B28" s="1"/>
      <c r="C28" s="5"/>
      <c r="D28" s="5"/>
      <c r="E28" s="14"/>
      <c r="F28" s="5"/>
      <c r="G28" s="5"/>
      <c r="H28" s="10"/>
      <c r="I28" s="5"/>
      <c r="J28" s="10"/>
      <c r="K28" s="5"/>
      <c r="L28" s="10"/>
      <c r="M28" s="5"/>
      <c r="N28" s="10"/>
      <c r="O28" s="5"/>
      <c r="P28" s="10"/>
      <c r="Q28" s="5"/>
      <c r="R28" s="10"/>
      <c r="S28" s="17"/>
      <c r="T28" s="5"/>
    </row>
    <row r="29" spans="1:20">
      <c r="A29" s="2"/>
      <c r="B29" s="2"/>
      <c r="C29" s="6"/>
      <c r="D29" s="6"/>
      <c r="E29" s="15"/>
      <c r="F29" s="6"/>
      <c r="G29" s="6"/>
      <c r="H29" s="11"/>
      <c r="I29" s="6"/>
      <c r="J29" s="11"/>
      <c r="K29" s="6"/>
      <c r="L29" s="11"/>
      <c r="M29" s="6"/>
      <c r="N29" s="11"/>
      <c r="O29" s="6"/>
      <c r="P29" s="11"/>
      <c r="Q29" s="6"/>
      <c r="R29" s="11"/>
      <c r="S29" s="18"/>
      <c r="T29" s="6"/>
    </row>
    <row r="30" spans="1:20">
      <c r="A30" s="1"/>
      <c r="B30" s="1"/>
      <c r="C30" s="5"/>
      <c r="D30" s="5"/>
      <c r="E30" s="14"/>
      <c r="F30" s="5"/>
      <c r="G30" s="5"/>
      <c r="H30" s="10"/>
      <c r="I30" s="5"/>
      <c r="J30" s="10"/>
      <c r="K30" s="5"/>
      <c r="L30" s="10"/>
      <c r="M30" s="5"/>
      <c r="N30" s="10"/>
      <c r="O30" s="5"/>
      <c r="P30" s="10"/>
      <c r="Q30" s="5"/>
      <c r="R30" s="10"/>
      <c r="S30" s="17"/>
      <c r="T30" s="5"/>
    </row>
    <row r="31" spans="1:20">
      <c r="A31" s="2"/>
      <c r="B31" s="2"/>
      <c r="C31" s="6"/>
      <c r="D31" s="6"/>
      <c r="E31" s="15"/>
      <c r="F31" s="6"/>
      <c r="G31" s="6"/>
      <c r="H31" s="11"/>
      <c r="I31" s="6"/>
      <c r="J31" s="11"/>
      <c r="K31" s="6"/>
      <c r="L31" s="11"/>
      <c r="M31" s="6"/>
      <c r="N31" s="11"/>
      <c r="O31" s="6"/>
      <c r="P31" s="11"/>
      <c r="Q31" s="6"/>
      <c r="R31" s="11"/>
      <c r="S31" s="18"/>
      <c r="T31" s="6"/>
    </row>
    <row r="32" spans="1:20">
      <c r="A32" s="1"/>
      <c r="B32" s="1"/>
      <c r="C32" s="5"/>
      <c r="D32" s="5"/>
      <c r="E32" s="14"/>
      <c r="F32" s="5"/>
      <c r="G32" s="5"/>
      <c r="H32" s="10"/>
      <c r="I32" s="5"/>
      <c r="J32" s="10"/>
      <c r="K32" s="5"/>
      <c r="L32" s="10"/>
      <c r="M32" s="5"/>
      <c r="N32" s="10"/>
      <c r="O32" s="5"/>
      <c r="P32" s="10"/>
      <c r="Q32" s="5"/>
      <c r="R32" s="10"/>
      <c r="S32" s="17"/>
      <c r="T32" s="5"/>
    </row>
    <row r="33" spans="1:20">
      <c r="A33" s="2"/>
      <c r="B33" s="2"/>
      <c r="C33" s="6"/>
      <c r="D33" s="6"/>
      <c r="E33" s="15"/>
      <c r="F33" s="6"/>
      <c r="G33" s="6"/>
      <c r="H33" s="11"/>
      <c r="I33" s="6"/>
      <c r="J33" s="11"/>
      <c r="K33" s="6"/>
      <c r="L33" s="11"/>
      <c r="M33" s="6"/>
      <c r="N33" s="11"/>
      <c r="O33" s="6"/>
      <c r="P33" s="11"/>
      <c r="Q33" s="6"/>
      <c r="R33" s="11"/>
      <c r="S33" s="18"/>
      <c r="T33" s="6"/>
    </row>
    <row r="34" spans="1:20">
      <c r="A34" s="1"/>
      <c r="B34" s="1"/>
      <c r="C34" s="5"/>
      <c r="D34" s="5"/>
      <c r="E34" s="14"/>
      <c r="F34" s="5"/>
      <c r="G34" s="5"/>
      <c r="H34" s="10"/>
      <c r="I34" s="5"/>
      <c r="J34" s="10"/>
      <c r="K34" s="5"/>
      <c r="L34" s="10"/>
      <c r="M34" s="5"/>
      <c r="N34" s="10"/>
      <c r="O34" s="5"/>
      <c r="P34" s="10"/>
      <c r="Q34" s="5"/>
      <c r="R34" s="10"/>
      <c r="S34" s="17"/>
      <c r="T34" s="5"/>
    </row>
    <row r="35" spans="1:20">
      <c r="A35" s="2"/>
      <c r="B35" s="2"/>
      <c r="C35" s="6"/>
      <c r="D35" s="6"/>
      <c r="E35" s="15"/>
      <c r="F35" s="6"/>
      <c r="G35" s="6"/>
      <c r="H35" s="11"/>
      <c r="I35" s="6"/>
      <c r="J35" s="11"/>
      <c r="K35" s="6"/>
      <c r="L35" s="11"/>
      <c r="M35" s="6"/>
      <c r="N35" s="11"/>
      <c r="O35" s="6"/>
      <c r="P35" s="11"/>
      <c r="Q35" s="6"/>
      <c r="R35" s="11"/>
      <c r="S35" s="18"/>
      <c r="T35" s="6"/>
    </row>
    <row r="36" spans="1:20">
      <c r="A36" s="1"/>
      <c r="B36" s="1"/>
      <c r="C36" s="5"/>
      <c r="D36" s="5"/>
      <c r="E36" s="14"/>
      <c r="F36" s="5"/>
      <c r="G36" s="5"/>
      <c r="H36" s="10"/>
      <c r="I36" s="5"/>
      <c r="J36" s="10"/>
      <c r="K36" s="5"/>
      <c r="L36" s="10"/>
      <c r="M36" s="5"/>
      <c r="N36" s="10"/>
      <c r="O36" s="5"/>
      <c r="P36" s="10"/>
      <c r="Q36" s="5"/>
      <c r="R36" s="10"/>
      <c r="S36" s="17"/>
      <c r="T36" s="5"/>
    </row>
    <row r="37" spans="1:20">
      <c r="A37" s="2"/>
      <c r="B37" s="2"/>
      <c r="C37" s="6"/>
      <c r="D37" s="6"/>
      <c r="E37" s="15"/>
      <c r="F37" s="6"/>
      <c r="G37" s="6"/>
      <c r="H37" s="11"/>
      <c r="I37" s="6"/>
      <c r="J37" s="11"/>
      <c r="K37" s="6"/>
      <c r="L37" s="11"/>
      <c r="M37" s="6"/>
      <c r="N37" s="11"/>
      <c r="O37" s="6"/>
      <c r="P37" s="11"/>
      <c r="Q37" s="6"/>
      <c r="R37" s="11"/>
      <c r="S37" s="18"/>
      <c r="T37" s="6"/>
    </row>
    <row r="38" spans="1:20">
      <c r="A38" s="1"/>
      <c r="B38" s="1"/>
      <c r="C38" s="5"/>
      <c r="D38" s="5"/>
      <c r="E38" s="14"/>
      <c r="F38" s="5"/>
      <c r="G38" s="5"/>
      <c r="H38" s="10"/>
      <c r="I38" s="5"/>
      <c r="J38" s="10"/>
      <c r="K38" s="5"/>
      <c r="L38" s="10"/>
      <c r="M38" s="5"/>
      <c r="N38" s="10"/>
      <c r="O38" s="5"/>
      <c r="P38" s="10"/>
      <c r="Q38" s="5"/>
      <c r="R38" s="10"/>
      <c r="S38" s="17"/>
      <c r="T38" s="5"/>
    </row>
    <row r="39" spans="1:20">
      <c r="A39" s="2"/>
      <c r="B39" s="2"/>
      <c r="C39" s="6"/>
      <c r="D39" s="6"/>
      <c r="E39" s="15"/>
      <c r="F39" s="6"/>
      <c r="G39" s="6"/>
      <c r="H39" s="11"/>
      <c r="I39" s="6"/>
      <c r="J39" s="11"/>
      <c r="K39" s="6"/>
      <c r="L39" s="11"/>
      <c r="M39" s="6"/>
      <c r="N39" s="11"/>
      <c r="O39" s="6"/>
      <c r="P39" s="11"/>
      <c r="Q39" s="6"/>
      <c r="R39" s="11"/>
      <c r="S39" s="18"/>
      <c r="T39" s="6"/>
    </row>
    <row r="40" spans="1:20">
      <c r="A40" s="1"/>
      <c r="B40" s="1"/>
      <c r="C40" s="5"/>
      <c r="D40" s="5"/>
      <c r="E40" s="14"/>
      <c r="F40" s="5"/>
      <c r="G40" s="5"/>
      <c r="H40" s="10"/>
      <c r="I40" s="5"/>
      <c r="J40" s="10"/>
      <c r="K40" s="5"/>
      <c r="L40" s="10"/>
      <c r="M40" s="5"/>
      <c r="N40" s="10"/>
      <c r="O40" s="5"/>
      <c r="P40" s="10"/>
      <c r="Q40" s="5"/>
      <c r="R40" s="10"/>
      <c r="S40" s="17"/>
      <c r="T40" s="5"/>
    </row>
    <row r="41" spans="1:20">
      <c r="A41" s="2"/>
      <c r="B41" s="2"/>
      <c r="C41" s="6"/>
      <c r="D41" s="6"/>
      <c r="E41" s="15"/>
      <c r="F41" s="6"/>
      <c r="G41" s="6"/>
      <c r="H41" s="11"/>
      <c r="I41" s="6"/>
      <c r="J41" s="11"/>
      <c r="K41" s="6"/>
      <c r="L41" s="11"/>
      <c r="M41" s="6"/>
      <c r="N41" s="11"/>
      <c r="O41" s="6"/>
      <c r="P41" s="11"/>
      <c r="Q41" s="6"/>
      <c r="R41" s="11"/>
      <c r="S41" s="18"/>
      <c r="T41" s="6"/>
    </row>
    <row r="42" spans="1:20">
      <c r="A42" s="1"/>
      <c r="B42" s="1"/>
      <c r="C42" s="5"/>
      <c r="D42" s="5"/>
      <c r="E42" s="14"/>
      <c r="F42" s="5"/>
      <c r="G42" s="5"/>
      <c r="H42" s="10"/>
      <c r="I42" s="5"/>
      <c r="J42" s="10"/>
      <c r="K42" s="5"/>
      <c r="L42" s="10"/>
      <c r="M42" s="5"/>
      <c r="N42" s="10"/>
      <c r="O42" s="5"/>
      <c r="P42" s="10"/>
      <c r="Q42" s="5"/>
      <c r="R42" s="10"/>
      <c r="S42" s="17"/>
      <c r="T42" s="5"/>
    </row>
    <row r="43" spans="1:20">
      <c r="A43" s="2"/>
      <c r="B43" s="2"/>
      <c r="C43" s="6"/>
      <c r="D43" s="6"/>
      <c r="E43" s="15"/>
      <c r="F43" s="6"/>
      <c r="G43" s="6"/>
      <c r="H43" s="11"/>
      <c r="I43" s="6"/>
      <c r="J43" s="11"/>
      <c r="K43" s="6"/>
      <c r="L43" s="11"/>
      <c r="M43" s="6"/>
      <c r="N43" s="11"/>
      <c r="O43" s="6"/>
      <c r="P43" s="11"/>
      <c r="Q43" s="6"/>
      <c r="R43" s="11"/>
      <c r="S43" s="18"/>
      <c r="T43" s="6"/>
    </row>
    <row r="44" spans="1:20">
      <c r="A44" s="1"/>
      <c r="B44" s="1"/>
      <c r="C44" s="5"/>
      <c r="D44" s="5"/>
      <c r="E44" s="14"/>
      <c r="F44" s="5"/>
      <c r="G44" s="5"/>
      <c r="H44" s="10"/>
      <c r="I44" s="5"/>
      <c r="J44" s="10"/>
      <c r="K44" s="5"/>
      <c r="L44" s="10"/>
      <c r="M44" s="5"/>
      <c r="N44" s="10"/>
      <c r="O44" s="5"/>
      <c r="P44" s="10"/>
      <c r="Q44" s="5"/>
      <c r="R44" s="10"/>
      <c r="S44" s="17"/>
      <c r="T44" s="5"/>
    </row>
    <row r="45" spans="1:20">
      <c r="A45" s="2"/>
      <c r="B45" s="2"/>
      <c r="C45" s="6"/>
      <c r="D45" s="6"/>
      <c r="E45" s="15"/>
      <c r="F45" s="6"/>
      <c r="G45" s="6"/>
      <c r="H45" s="11"/>
      <c r="I45" s="6"/>
      <c r="J45" s="11"/>
      <c r="K45" s="6"/>
      <c r="L45" s="11"/>
      <c r="M45" s="6"/>
      <c r="N45" s="11"/>
      <c r="O45" s="6"/>
      <c r="P45" s="11"/>
      <c r="Q45" s="6"/>
      <c r="R45" s="11"/>
      <c r="S45" s="18"/>
      <c r="T45" s="6"/>
    </row>
    <row r="46" spans="1:20">
      <c r="A46" s="1"/>
      <c r="B46" s="1"/>
      <c r="C46" s="5"/>
      <c r="D46" s="5"/>
      <c r="E46" s="14"/>
      <c r="F46" s="5"/>
      <c r="G46" s="5"/>
      <c r="H46" s="10"/>
      <c r="I46" s="5"/>
      <c r="J46" s="10"/>
      <c r="K46" s="5"/>
      <c r="L46" s="10"/>
      <c r="M46" s="5"/>
      <c r="N46" s="10"/>
      <c r="O46" s="5"/>
      <c r="P46" s="10"/>
      <c r="Q46" s="5"/>
      <c r="R46" s="10"/>
      <c r="S46" s="17"/>
      <c r="T46" s="5"/>
    </row>
    <row r="47" spans="1:20">
      <c r="A47" s="2"/>
      <c r="B47" s="2"/>
      <c r="C47" s="6"/>
      <c r="D47" s="6"/>
      <c r="E47" s="15"/>
      <c r="F47" s="6"/>
      <c r="G47" s="6"/>
      <c r="H47" s="11"/>
      <c r="I47" s="6"/>
      <c r="J47" s="11"/>
      <c r="K47" s="6"/>
      <c r="L47" s="11"/>
      <c r="M47" s="6"/>
      <c r="N47" s="11"/>
      <c r="O47" s="6"/>
      <c r="P47" s="11"/>
      <c r="Q47" s="6"/>
      <c r="R47" s="11"/>
      <c r="S47" s="18"/>
      <c r="T47" s="6"/>
    </row>
    <row r="48" spans="1:20">
      <c r="A48" s="1"/>
      <c r="B48" s="1"/>
      <c r="C48" s="5"/>
      <c r="D48" s="5"/>
      <c r="E48" s="14"/>
      <c r="F48" s="5"/>
      <c r="G48" s="5"/>
      <c r="H48" s="10"/>
      <c r="I48" s="5"/>
      <c r="J48" s="10"/>
      <c r="K48" s="5"/>
      <c r="L48" s="10"/>
      <c r="M48" s="5"/>
      <c r="N48" s="10"/>
      <c r="O48" s="5"/>
      <c r="P48" s="10"/>
      <c r="Q48" s="5"/>
      <c r="R48" s="10"/>
      <c r="S48" s="17"/>
      <c r="T48" s="5"/>
    </row>
    <row r="49" spans="1:20">
      <c r="A49" s="2"/>
      <c r="B49" s="2"/>
      <c r="C49" s="6"/>
      <c r="D49" s="6"/>
      <c r="E49" s="15"/>
      <c r="F49" s="6"/>
      <c r="G49" s="6"/>
      <c r="H49" s="11"/>
      <c r="I49" s="6"/>
      <c r="J49" s="11"/>
      <c r="K49" s="6"/>
      <c r="L49" s="11"/>
      <c r="M49" s="6"/>
      <c r="N49" s="11"/>
      <c r="O49" s="6"/>
      <c r="P49" s="11"/>
      <c r="Q49" s="6"/>
      <c r="R49" s="11"/>
      <c r="S49" s="18"/>
      <c r="T49" s="6"/>
    </row>
    <row r="50" spans="1:20">
      <c r="A50" s="1"/>
      <c r="B50" s="1"/>
      <c r="C50" s="5"/>
      <c r="D50" s="5"/>
      <c r="E50" s="14"/>
      <c r="F50" s="5"/>
      <c r="G50" s="5"/>
      <c r="H50" s="10"/>
      <c r="I50" s="5"/>
      <c r="J50" s="10"/>
      <c r="K50" s="5"/>
      <c r="L50" s="10"/>
      <c r="M50" s="5"/>
      <c r="N50" s="10"/>
      <c r="O50" s="5"/>
      <c r="P50" s="10"/>
      <c r="Q50" s="5"/>
      <c r="R50" s="10"/>
      <c r="S50" s="17"/>
      <c r="T50" s="5"/>
    </row>
    <row r="51" spans="1:20">
      <c r="A51" s="2"/>
      <c r="B51" s="2"/>
      <c r="C51" s="6"/>
      <c r="D51" s="6"/>
      <c r="E51" s="15"/>
      <c r="F51" s="6"/>
      <c r="G51" s="6"/>
      <c r="H51" s="11"/>
      <c r="I51" s="6"/>
      <c r="J51" s="11"/>
      <c r="K51" s="6"/>
      <c r="L51" s="11"/>
      <c r="M51" s="6"/>
      <c r="N51" s="11"/>
      <c r="O51" s="6"/>
      <c r="P51" s="11"/>
      <c r="Q51" s="6"/>
      <c r="R51" s="11"/>
      <c r="S51" s="18"/>
      <c r="T51" s="6"/>
    </row>
    <row r="52" spans="1:20">
      <c r="A52" s="1"/>
      <c r="B52" s="1"/>
      <c r="C52" s="5"/>
      <c r="D52" s="5"/>
      <c r="E52" s="14"/>
      <c r="F52" s="5"/>
      <c r="G52" s="5"/>
      <c r="H52" s="10"/>
      <c r="I52" s="5"/>
      <c r="J52" s="10"/>
      <c r="K52" s="5"/>
      <c r="L52" s="10"/>
      <c r="M52" s="5"/>
      <c r="N52" s="10"/>
      <c r="O52" s="5"/>
      <c r="P52" s="10"/>
      <c r="Q52" s="5"/>
      <c r="R52" s="10"/>
      <c r="S52" s="17"/>
      <c r="T52" s="5"/>
    </row>
    <row r="53" spans="1:20">
      <c r="A53" s="2"/>
      <c r="B53" s="2"/>
      <c r="C53" s="6"/>
      <c r="D53" s="6"/>
      <c r="E53" s="15"/>
      <c r="F53" s="6"/>
      <c r="G53" s="6"/>
      <c r="H53" s="11"/>
      <c r="I53" s="6"/>
      <c r="J53" s="11"/>
      <c r="K53" s="6"/>
      <c r="L53" s="11"/>
      <c r="M53" s="6"/>
      <c r="N53" s="11"/>
      <c r="O53" s="6"/>
      <c r="P53" s="11"/>
      <c r="Q53" s="6"/>
      <c r="R53" s="11"/>
      <c r="S53" s="18"/>
      <c r="T53" s="6"/>
    </row>
    <row r="54" spans="1:20">
      <c r="A54" s="1"/>
      <c r="B54" s="1"/>
      <c r="C54" s="5"/>
      <c r="D54" s="5"/>
      <c r="E54" s="14"/>
      <c r="F54" s="5"/>
      <c r="G54" s="5"/>
      <c r="H54" s="10"/>
      <c r="I54" s="5"/>
      <c r="J54" s="10"/>
      <c r="K54" s="5"/>
      <c r="L54" s="10"/>
      <c r="M54" s="5"/>
      <c r="N54" s="10"/>
      <c r="O54" s="5"/>
      <c r="P54" s="10"/>
      <c r="Q54" s="5"/>
      <c r="R54" s="10"/>
      <c r="S54" s="5"/>
      <c r="T54" s="5"/>
    </row>
    <row r="55" spans="1:20">
      <c r="A55" s="2"/>
      <c r="B55" s="2"/>
      <c r="C55" s="6"/>
      <c r="D55" s="6"/>
      <c r="E55" s="15"/>
      <c r="F55" s="6"/>
      <c r="G55" s="6"/>
      <c r="H55" s="11"/>
      <c r="I55" s="6"/>
      <c r="J55" s="11"/>
      <c r="K55" s="6"/>
      <c r="L55" s="11"/>
      <c r="M55" s="6"/>
      <c r="N55" s="11"/>
      <c r="O55" s="6"/>
      <c r="P55" s="11"/>
      <c r="Q55" s="6"/>
      <c r="R55" s="11"/>
      <c r="S55" s="6"/>
      <c r="T55" s="6"/>
    </row>
    <row r="56" spans="1:20">
      <c r="A56" s="1"/>
      <c r="B56" s="1"/>
      <c r="C56" s="5"/>
      <c r="D56" s="5"/>
      <c r="E56" s="14"/>
      <c r="F56" s="5"/>
      <c r="G56" s="5"/>
      <c r="H56" s="10"/>
      <c r="I56" s="5"/>
      <c r="J56" s="10"/>
      <c r="K56" s="5"/>
      <c r="L56" s="10"/>
      <c r="M56" s="5"/>
      <c r="N56" s="10"/>
      <c r="O56" s="5"/>
      <c r="P56" s="10"/>
      <c r="Q56" s="5"/>
      <c r="R56" s="10"/>
      <c r="S56" s="5"/>
      <c r="T56" s="5"/>
    </row>
    <row r="57" spans="1:20">
      <c r="A57" s="2"/>
      <c r="B57" s="2"/>
      <c r="C57" s="6"/>
      <c r="D57" s="6"/>
      <c r="E57" s="15"/>
      <c r="F57" s="6"/>
      <c r="G57" s="6"/>
      <c r="H57" s="11"/>
      <c r="I57" s="6"/>
      <c r="J57" s="11"/>
      <c r="K57" s="6"/>
      <c r="L57" s="11"/>
      <c r="M57" s="6"/>
      <c r="N57" s="11"/>
      <c r="O57" s="6"/>
      <c r="P57" s="11"/>
      <c r="Q57" s="6"/>
      <c r="R57" s="11"/>
      <c r="S57" s="6"/>
      <c r="T57" s="6"/>
    </row>
    <row r="58" spans="1:20">
      <c r="A58" s="1"/>
      <c r="B58" s="1"/>
      <c r="C58" s="5"/>
      <c r="D58" s="5"/>
      <c r="E58" s="14"/>
      <c r="F58" s="5"/>
      <c r="G58" s="5"/>
      <c r="H58" s="10"/>
      <c r="I58" s="5"/>
      <c r="J58" s="10"/>
      <c r="K58" s="5"/>
      <c r="L58" s="10"/>
      <c r="M58" s="5"/>
      <c r="N58" s="10"/>
      <c r="O58" s="5"/>
      <c r="P58" s="10"/>
      <c r="Q58" s="5"/>
      <c r="R58" s="10"/>
      <c r="S58" s="5"/>
      <c r="T58" s="5"/>
    </row>
    <row r="59" spans="1:20">
      <c r="A59" s="2"/>
      <c r="B59" s="2"/>
      <c r="C59" s="6"/>
      <c r="D59" s="6"/>
      <c r="E59" s="15"/>
      <c r="F59" s="6"/>
      <c r="G59" s="6"/>
      <c r="H59" s="11"/>
      <c r="I59" s="6"/>
      <c r="J59" s="11"/>
      <c r="K59" s="6"/>
      <c r="L59" s="11"/>
      <c r="M59" s="6"/>
      <c r="N59" s="11"/>
      <c r="O59" s="6"/>
      <c r="P59" s="11"/>
      <c r="Q59" s="6"/>
      <c r="R59" s="11"/>
      <c r="S59" s="6"/>
      <c r="T59" s="6"/>
    </row>
    <row r="60" spans="1:20">
      <c r="A60" s="1"/>
      <c r="B60" s="1"/>
      <c r="C60" s="5"/>
      <c r="D60" s="5"/>
      <c r="E60" s="14"/>
      <c r="F60" s="5"/>
      <c r="G60" s="5"/>
      <c r="H60" s="10"/>
      <c r="I60" s="5"/>
      <c r="J60" s="10"/>
      <c r="K60" s="5"/>
      <c r="L60" s="10"/>
      <c r="M60" s="5"/>
      <c r="N60" s="10"/>
      <c r="O60" s="5"/>
      <c r="P60" s="10"/>
      <c r="Q60" s="5"/>
      <c r="R60" s="10"/>
      <c r="S60" s="5"/>
      <c r="T60" s="5"/>
    </row>
  </sheetData>
  <conditionalFormatting sqref="J2:J60 L2:L60 N2:N60">
    <cfRule type="cellIs" dxfId="14" priority="5" operator="lessThan">
      <formula>-0.02</formula>
    </cfRule>
  </conditionalFormatting>
  <conditionalFormatting sqref="P2:P60">
    <cfRule type="cellIs" dxfId="13" priority="4" operator="between">
      <formula>-0.05</formula>
      <formula>0.05</formula>
    </cfRule>
  </conditionalFormatting>
  <conditionalFormatting sqref="H2:H60">
    <cfRule type="cellIs" dxfId="12" priority="2" operator="between">
      <formula>0</formula>
      <formula>0.05</formula>
    </cfRule>
    <cfRule type="cellIs" dxfId="11" priority="3" operator="between">
      <formula>-0.05</formula>
      <formula>0</formula>
    </cfRule>
  </conditionalFormatting>
  <conditionalFormatting sqref="R2:R60">
    <cfRule type="cellIs" dxfId="10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UpdateCurrentSheet">
                <anchor moveWithCells="1" sizeWithCells="1">
                  <from>
                    <xdr:col>23</xdr:col>
                    <xdr:colOff>38100</xdr:colOff>
                    <xdr:row>0</xdr:row>
                    <xdr:rowOff>28575</xdr:rowOff>
                  </from>
                  <to>
                    <xdr:col>24</xdr:col>
                    <xdr:colOff>419100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theme="3"/>
  </sheetPr>
  <dimension ref="A1:Y60"/>
  <sheetViews>
    <sheetView zoomScale="80" zoomScaleNormal="80" workbookViewId="0">
      <pane ySplit="1" topLeftCell="A2" activePane="bottomLeft" state="frozen"/>
      <selection activeCell="B41" sqref="B41"/>
      <selection pane="bottomLeft" activeCell="A29" sqref="A29"/>
    </sheetView>
  </sheetViews>
  <sheetFormatPr defaultRowHeight="15"/>
  <cols>
    <col min="1" max="1" width="10.28515625" bestFit="1" customWidth="1"/>
    <col min="2" max="2" width="52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18" width="10.28515625" bestFit="1" customWidth="1"/>
    <col min="20" max="20" width="10.28515625" bestFit="1" customWidth="1"/>
    <col min="24" max="24" width="10.7109375" customWidth="1"/>
  </cols>
  <sheetData>
    <row r="1" spans="1:25" ht="30.75" thickBot="1">
      <c r="A1" s="3" t="s">
        <v>2</v>
      </c>
      <c r="B1" s="4" t="s">
        <v>3</v>
      </c>
      <c r="C1" s="3" t="s">
        <v>5</v>
      </c>
      <c r="D1" s="3" t="s">
        <v>6</v>
      </c>
      <c r="E1" s="3" t="s">
        <v>7</v>
      </c>
      <c r="F1" s="3" t="s">
        <v>8</v>
      </c>
      <c r="G1" s="27" t="s">
        <v>14</v>
      </c>
      <c r="H1" s="7" t="s">
        <v>15</v>
      </c>
      <c r="I1" s="3" t="s">
        <v>9</v>
      </c>
      <c r="J1" s="3" t="s">
        <v>16</v>
      </c>
      <c r="K1" s="3" t="s">
        <v>10</v>
      </c>
      <c r="L1" s="3" t="s">
        <v>17</v>
      </c>
      <c r="M1" s="3" t="s">
        <v>11</v>
      </c>
      <c r="N1" s="3" t="s">
        <v>18</v>
      </c>
      <c r="O1" s="3" t="s">
        <v>12</v>
      </c>
      <c r="P1" s="3" t="s">
        <v>19</v>
      </c>
      <c r="Q1" s="3" t="s">
        <v>13</v>
      </c>
      <c r="R1" s="3" t="s">
        <v>20</v>
      </c>
      <c r="S1" s="28" t="s">
        <v>115</v>
      </c>
      <c r="T1" s="29" t="s">
        <v>116</v>
      </c>
    </row>
    <row r="2" spans="1:25">
      <c r="A2" s="1" t="s">
        <v>733</v>
      </c>
      <c r="B2" s="1" t="s">
        <v>705</v>
      </c>
      <c r="C2" s="5">
        <v>91.51</v>
      </c>
      <c r="D2" s="5">
        <v>-1.9998999999998546E-2</v>
      </c>
      <c r="E2" s="14">
        <v>7.1999999999999998E-3</v>
      </c>
      <c r="F2" s="5">
        <v>91.529999000000004</v>
      </c>
      <c r="G2" s="5"/>
      <c r="H2" s="10" t="s">
        <v>21</v>
      </c>
      <c r="I2" s="5">
        <v>91.860000999999997</v>
      </c>
      <c r="J2" s="10">
        <v>-3.8101567188094654E-3</v>
      </c>
      <c r="K2" s="5">
        <v>91.534749974999997</v>
      </c>
      <c r="L2" s="10">
        <v>-2.7038884147001507E-4</v>
      </c>
      <c r="M2" s="5">
        <v>92.001083441666665</v>
      </c>
      <c r="N2" s="10">
        <v>-5.3378006355547791E-3</v>
      </c>
      <c r="O2" s="5">
        <v>94.360000999999997</v>
      </c>
      <c r="P2" s="10">
        <v>-3.0203486326796369E-2</v>
      </c>
      <c r="Q2" s="5">
        <v>83.480002999999996</v>
      </c>
      <c r="R2" s="10">
        <v>9.6190664966794515E-2</v>
      </c>
      <c r="S2" s="17">
        <v>4.0000000000000001E-3</v>
      </c>
      <c r="T2" s="5" t="s">
        <v>761</v>
      </c>
    </row>
    <row r="3" spans="1:25">
      <c r="A3" s="2" t="s">
        <v>734</v>
      </c>
      <c r="B3" s="2" t="s">
        <v>706</v>
      </c>
      <c r="C3" s="6">
        <v>27.639900000000001</v>
      </c>
      <c r="D3" s="6">
        <v>0</v>
      </c>
      <c r="E3" s="15">
        <v>0</v>
      </c>
      <c r="F3" s="6">
        <v>27.639900000000001</v>
      </c>
      <c r="G3" s="6"/>
      <c r="H3" s="11" t="s">
        <v>21</v>
      </c>
      <c r="I3" s="6">
        <v>27.75</v>
      </c>
      <c r="J3" s="11">
        <v>-3.9675675675675537E-3</v>
      </c>
      <c r="K3" s="6">
        <v>27.788122699999995</v>
      </c>
      <c r="L3" s="11">
        <v>-5.3340307152160982E-3</v>
      </c>
      <c r="M3" s="6">
        <v>27.794715991666674</v>
      </c>
      <c r="N3" s="11">
        <v>-5.5699792619967603E-3</v>
      </c>
      <c r="O3" s="6">
        <v>28.440999999999999</v>
      </c>
      <c r="P3" s="11">
        <v>-2.8167082732674542E-2</v>
      </c>
      <c r="Q3" s="6">
        <v>24.85</v>
      </c>
      <c r="R3" s="11">
        <v>0.11226961770623745</v>
      </c>
      <c r="S3" s="18">
        <v>5.0000000000000001E-3</v>
      </c>
      <c r="T3" s="6" t="s">
        <v>761</v>
      </c>
      <c r="X3" t="s">
        <v>42</v>
      </c>
      <c r="Y3" t="s">
        <v>760</v>
      </c>
    </row>
    <row r="4" spans="1:25">
      <c r="A4" s="1" t="s">
        <v>735</v>
      </c>
      <c r="B4" s="1" t="s">
        <v>707</v>
      </c>
      <c r="C4" s="5">
        <v>125.48</v>
      </c>
      <c r="D4" s="5">
        <v>2.0001000000007707E-2</v>
      </c>
      <c r="E4" s="14">
        <v>6.3E-3</v>
      </c>
      <c r="F4" s="5">
        <v>125.459999</v>
      </c>
      <c r="G4" s="5"/>
      <c r="H4" s="10" t="s">
        <v>21</v>
      </c>
      <c r="I4" s="5">
        <v>126.389999</v>
      </c>
      <c r="J4" s="10">
        <v>-7.1999288488007185E-3</v>
      </c>
      <c r="K4" s="5">
        <v>125.14375022499999</v>
      </c>
      <c r="L4" s="10">
        <v>2.6869082506753017E-3</v>
      </c>
      <c r="M4" s="5">
        <v>125.81766657499999</v>
      </c>
      <c r="N4" s="10">
        <v>-2.6837771212256945E-3</v>
      </c>
      <c r="O4" s="5">
        <v>130.19000199999999</v>
      </c>
      <c r="P4" s="10">
        <v>-3.6177908653845736E-2</v>
      </c>
      <c r="Q4" s="5">
        <v>115.470001</v>
      </c>
      <c r="R4" s="10">
        <v>8.6689173926654872E-2</v>
      </c>
      <c r="S4" s="17">
        <v>4.0000000000000001E-3</v>
      </c>
      <c r="T4" s="5" t="s">
        <v>762</v>
      </c>
    </row>
    <row r="5" spans="1:25">
      <c r="A5" s="2" t="s">
        <v>736</v>
      </c>
      <c r="B5" s="2" t="s">
        <v>708</v>
      </c>
      <c r="C5" s="6">
        <v>26.2803</v>
      </c>
      <c r="D5" s="6">
        <v>0</v>
      </c>
      <c r="E5" s="15">
        <v>3.8349999999999999E-3</v>
      </c>
      <c r="F5" s="6">
        <v>26.2803</v>
      </c>
      <c r="G5" s="6"/>
      <c r="H5" s="11" t="s">
        <v>21</v>
      </c>
      <c r="I5" s="6">
        <v>26.24</v>
      </c>
      <c r="J5" s="11">
        <v>1.5358231707318648E-3</v>
      </c>
      <c r="K5" s="6">
        <v>26.206282275</v>
      </c>
      <c r="L5" s="11">
        <v>2.824426762380261E-3</v>
      </c>
      <c r="M5" s="6">
        <v>26.36296055833332</v>
      </c>
      <c r="N5" s="11">
        <v>-3.1354808634036502E-3</v>
      </c>
      <c r="O5" s="6">
        <v>27.299999</v>
      </c>
      <c r="P5" s="11">
        <v>-3.7351613089802616E-2</v>
      </c>
      <c r="Q5" s="6">
        <v>24.33</v>
      </c>
      <c r="R5" s="11">
        <v>8.0160295930949532E-2</v>
      </c>
      <c r="S5" s="18">
        <v>5.0000000000000001E-3</v>
      </c>
      <c r="T5" s="6" t="s">
        <v>762</v>
      </c>
    </row>
    <row r="6" spans="1:25">
      <c r="A6" s="1" t="s">
        <v>737</v>
      </c>
      <c r="B6" s="1" t="s">
        <v>709</v>
      </c>
      <c r="C6" s="5">
        <v>7.6394000000000002</v>
      </c>
      <c r="D6" s="5">
        <v>0</v>
      </c>
      <c r="E6" s="14">
        <v>1.0503E-2</v>
      </c>
      <c r="F6" s="5">
        <v>7.6394000000000002</v>
      </c>
      <c r="G6" s="5"/>
      <c r="H6" s="10" t="s">
        <v>21</v>
      </c>
      <c r="I6" s="5">
        <v>7.37</v>
      </c>
      <c r="J6" s="10">
        <v>3.6553595658073368E-2</v>
      </c>
      <c r="K6" s="5">
        <v>7.5719849999999997</v>
      </c>
      <c r="L6" s="10">
        <v>8.9032136223197167E-3</v>
      </c>
      <c r="M6" s="5">
        <v>7.9369950000000005</v>
      </c>
      <c r="N6" s="10">
        <v>-3.7494668952166466E-2</v>
      </c>
      <c r="O6" s="5">
        <v>9.3699999999999992</v>
      </c>
      <c r="P6" s="10">
        <v>-0.18469583778014931</v>
      </c>
      <c r="Q6" s="5">
        <v>7.06</v>
      </c>
      <c r="R6" s="10">
        <v>8.2067988668555358E-2</v>
      </c>
      <c r="S6" s="17">
        <v>8.8000000000000005E-3</v>
      </c>
      <c r="T6" s="5" t="s">
        <v>763</v>
      </c>
    </row>
    <row r="7" spans="1:25">
      <c r="A7" s="2" t="s">
        <v>738</v>
      </c>
      <c r="B7" s="2" t="s">
        <v>710</v>
      </c>
      <c r="C7" s="6">
        <v>13.61</v>
      </c>
      <c r="D7" s="6">
        <v>0</v>
      </c>
      <c r="E7" s="15">
        <v>4.4000000000000003E-3</v>
      </c>
      <c r="F7" s="6">
        <v>13.61</v>
      </c>
      <c r="G7" s="6"/>
      <c r="H7" s="11" t="s">
        <v>21</v>
      </c>
      <c r="I7" s="6">
        <v>13.23</v>
      </c>
      <c r="J7" s="11">
        <v>2.8722600151171562E-2</v>
      </c>
      <c r="K7" s="6">
        <v>13.635249999999999</v>
      </c>
      <c r="L7" s="11">
        <v>-1.8518178984616718E-3</v>
      </c>
      <c r="M7" s="6">
        <v>13.91966666666667</v>
      </c>
      <c r="N7" s="11">
        <v>-2.2246701309897476E-2</v>
      </c>
      <c r="O7" s="6">
        <v>15.49</v>
      </c>
      <c r="P7" s="11">
        <v>-0.12136862491930278</v>
      </c>
      <c r="Q7" s="6">
        <v>12.83</v>
      </c>
      <c r="R7" s="11">
        <v>6.0795011691348266E-2</v>
      </c>
      <c r="S7" s="18">
        <v>4.4999999999999997E-3</v>
      </c>
      <c r="T7" s="6" t="s">
        <v>763</v>
      </c>
    </row>
    <row r="8" spans="1:25">
      <c r="A8" s="1" t="s">
        <v>739</v>
      </c>
      <c r="B8" s="1" t="s">
        <v>711</v>
      </c>
      <c r="C8" s="5">
        <v>10.18</v>
      </c>
      <c r="D8" s="5">
        <v>-0.13000000000000078</v>
      </c>
      <c r="E8" s="14">
        <v>2E-3</v>
      </c>
      <c r="F8" s="5">
        <v>10.31</v>
      </c>
      <c r="G8" s="5"/>
      <c r="H8" s="10" t="s">
        <v>21</v>
      </c>
      <c r="I8" s="5">
        <v>10.11</v>
      </c>
      <c r="J8" s="10">
        <v>6.923837784371889E-3</v>
      </c>
      <c r="K8" s="5">
        <v>10.426250000000001</v>
      </c>
      <c r="L8" s="10">
        <v>-2.3618271190504858E-2</v>
      </c>
      <c r="M8" s="5">
        <v>10.903749999999999</v>
      </c>
      <c r="N8" s="10">
        <v>-6.637624670411546E-2</v>
      </c>
      <c r="O8" s="5">
        <v>12.11</v>
      </c>
      <c r="P8" s="10">
        <v>-0.15937241948802638</v>
      </c>
      <c r="Q8" s="5">
        <v>9.64</v>
      </c>
      <c r="R8" s="10">
        <v>5.6016597510373245E-2</v>
      </c>
      <c r="S8" s="17">
        <v>4.7000000000000002E-3</v>
      </c>
      <c r="T8" s="5" t="s">
        <v>763</v>
      </c>
    </row>
    <row r="9" spans="1:25">
      <c r="A9" s="2" t="s">
        <v>740</v>
      </c>
      <c r="B9" s="2" t="s">
        <v>712</v>
      </c>
      <c r="C9" s="6">
        <v>51.02</v>
      </c>
      <c r="D9" s="6">
        <v>0</v>
      </c>
      <c r="E9" s="15">
        <v>1.09E-2</v>
      </c>
      <c r="F9" s="6">
        <v>51.02</v>
      </c>
      <c r="G9" s="6"/>
      <c r="H9" s="11" t="s">
        <v>21</v>
      </c>
      <c r="I9" s="6">
        <v>50.369999</v>
      </c>
      <c r="J9" s="11">
        <v>1.2904526760066037E-2</v>
      </c>
      <c r="K9" s="6">
        <v>51.416749850000009</v>
      </c>
      <c r="L9" s="11">
        <v>-7.7163541289065884E-3</v>
      </c>
      <c r="M9" s="6">
        <v>53.985333266666672</v>
      </c>
      <c r="N9" s="11">
        <v>-5.4928497931448717E-2</v>
      </c>
      <c r="O9" s="6">
        <v>66.800003000000004</v>
      </c>
      <c r="P9" s="11">
        <v>-0.2362275792113363</v>
      </c>
      <c r="Q9" s="6">
        <v>48.740002000000004</v>
      </c>
      <c r="R9" s="11">
        <v>4.677878347235187E-2</v>
      </c>
      <c r="S9" s="18">
        <v>4.0000000000000001E-3</v>
      </c>
      <c r="T9" s="6" t="s">
        <v>764</v>
      </c>
    </row>
    <row r="10" spans="1:25">
      <c r="A10" s="1" t="s">
        <v>741</v>
      </c>
      <c r="B10" s="1" t="s">
        <v>713</v>
      </c>
      <c r="C10" s="5">
        <v>25.4237</v>
      </c>
      <c r="D10" s="5">
        <v>0</v>
      </c>
      <c r="E10" s="14">
        <v>0</v>
      </c>
      <c r="F10" s="5">
        <v>25.4237</v>
      </c>
      <c r="G10" s="5"/>
      <c r="H10" s="10" t="s">
        <v>21</v>
      </c>
      <c r="I10" s="5">
        <v>25.224001000000001</v>
      </c>
      <c r="J10" s="10">
        <v>7.9170231558427506E-3</v>
      </c>
      <c r="K10" s="5">
        <v>25.551842675</v>
      </c>
      <c r="L10" s="10">
        <v>-5.0150072004542245E-3</v>
      </c>
      <c r="M10" s="5">
        <v>26.523255899999999</v>
      </c>
      <c r="N10" s="10">
        <v>-4.1456294210093558E-2</v>
      </c>
      <c r="O10" s="5">
        <v>31.568999999999999</v>
      </c>
      <c r="P10" s="10">
        <v>-0.19466248534955177</v>
      </c>
      <c r="Q10" s="5">
        <v>24.309998999999998</v>
      </c>
      <c r="R10" s="10">
        <v>4.5812465891093002E-2</v>
      </c>
      <c r="S10" s="17">
        <v>5.0000000000000001E-3</v>
      </c>
      <c r="T10" s="5" t="s">
        <v>764</v>
      </c>
    </row>
    <row r="11" spans="1:25">
      <c r="A11" s="2" t="s">
        <v>742</v>
      </c>
      <c r="B11" s="2" t="s">
        <v>714</v>
      </c>
      <c r="C11" s="6">
        <v>39.059800000000003</v>
      </c>
      <c r="D11" s="6">
        <v>-2.0099999999700913E-4</v>
      </c>
      <c r="E11" s="15">
        <v>1.7181999999999999E-2</v>
      </c>
      <c r="F11" s="6">
        <v>39.060001</v>
      </c>
      <c r="G11" s="6"/>
      <c r="H11" s="11" t="s">
        <v>21</v>
      </c>
      <c r="I11" s="6">
        <v>40.130001</v>
      </c>
      <c r="J11" s="11">
        <v>-2.6668352188677913E-2</v>
      </c>
      <c r="K11" s="6">
        <v>39.771499875000003</v>
      </c>
      <c r="L11" s="11">
        <v>-1.7894720521902441E-2</v>
      </c>
      <c r="M11" s="6">
        <v>38.66741661666665</v>
      </c>
      <c r="N11" s="11">
        <v>1.014764930440748E-2</v>
      </c>
      <c r="O11" s="6">
        <v>40.68</v>
      </c>
      <c r="P11" s="11">
        <v>-3.982792527040302E-2</v>
      </c>
      <c r="Q11" s="6">
        <v>30.719998999999998</v>
      </c>
      <c r="R11" s="11">
        <v>0.27147790597258825</v>
      </c>
      <c r="S11" s="18">
        <v>4.0000000000000001E-3</v>
      </c>
      <c r="T11" s="6" t="s">
        <v>765</v>
      </c>
    </row>
    <row r="12" spans="1:25">
      <c r="A12" s="1" t="s">
        <v>743</v>
      </c>
      <c r="B12" s="1" t="s">
        <v>715</v>
      </c>
      <c r="C12" s="5">
        <v>32.57</v>
      </c>
      <c r="D12" s="5">
        <v>0</v>
      </c>
      <c r="E12" s="14">
        <v>1.6400000000000001E-2</v>
      </c>
      <c r="F12" s="5">
        <v>32.57</v>
      </c>
      <c r="G12" s="5"/>
      <c r="H12" s="10" t="s">
        <v>21</v>
      </c>
      <c r="I12" s="5">
        <v>33.334000000000003</v>
      </c>
      <c r="J12" s="10">
        <v>-2.2919541609167871E-2</v>
      </c>
      <c r="K12" s="5">
        <v>33.078875574999998</v>
      </c>
      <c r="L12" s="10">
        <v>-1.5383702322233406E-2</v>
      </c>
      <c r="M12" s="5">
        <v>32.236641941666655</v>
      </c>
      <c r="N12" s="10">
        <v>1.0340967242697507E-2</v>
      </c>
      <c r="O12" s="5">
        <v>33.805</v>
      </c>
      <c r="P12" s="10">
        <v>-3.6533057240053179E-2</v>
      </c>
      <c r="Q12" s="5">
        <v>25.99</v>
      </c>
      <c r="R12" s="10">
        <v>0.25317429780684897</v>
      </c>
      <c r="S12" s="17">
        <v>5.0000000000000001E-3</v>
      </c>
      <c r="T12" s="5" t="s">
        <v>765</v>
      </c>
    </row>
    <row r="13" spans="1:25">
      <c r="A13" s="2" t="s">
        <v>744</v>
      </c>
      <c r="B13" s="2" t="s">
        <v>716</v>
      </c>
      <c r="C13" s="6">
        <v>32.299900000000001</v>
      </c>
      <c r="D13" s="6">
        <v>-2.0099999999999341E-2</v>
      </c>
      <c r="E13" s="15">
        <v>7.7970000000000001E-3</v>
      </c>
      <c r="F13" s="6">
        <v>32.32</v>
      </c>
      <c r="G13" s="6"/>
      <c r="H13" s="11" t="s">
        <v>21</v>
      </c>
      <c r="I13" s="6">
        <v>30.59</v>
      </c>
      <c r="J13" s="11">
        <v>5.58973520758419E-2</v>
      </c>
      <c r="K13" s="6">
        <v>30.863249875000001</v>
      </c>
      <c r="L13" s="11">
        <v>4.6548893289547033E-2</v>
      </c>
      <c r="M13" s="6">
        <v>29.900499883333346</v>
      </c>
      <c r="N13" s="11">
        <v>8.0246153944873999E-2</v>
      </c>
      <c r="O13" s="6">
        <v>32.32</v>
      </c>
      <c r="P13" s="11">
        <v>-6.2190594059408077E-4</v>
      </c>
      <c r="Q13" s="6">
        <v>24.85</v>
      </c>
      <c r="R13" s="11">
        <v>0.29979476861166998</v>
      </c>
      <c r="S13" s="18">
        <v>5.7999999999999996E-3</v>
      </c>
      <c r="T13" s="6" t="s">
        <v>131</v>
      </c>
    </row>
    <row r="14" spans="1:25">
      <c r="A14" s="1" t="s">
        <v>745</v>
      </c>
      <c r="B14" s="1" t="s">
        <v>717</v>
      </c>
      <c r="C14" s="5">
        <v>179.315</v>
      </c>
      <c r="D14" s="5">
        <v>-0.10499799999999482</v>
      </c>
      <c r="E14" s="14">
        <v>8.1200000000000005E-3</v>
      </c>
      <c r="F14" s="5">
        <v>179.41999799999999</v>
      </c>
      <c r="G14" s="5"/>
      <c r="H14" s="10" t="s">
        <v>21</v>
      </c>
      <c r="I14" s="5">
        <v>170.35000600000001</v>
      </c>
      <c r="J14" s="10">
        <v>5.2626907450769256E-2</v>
      </c>
      <c r="K14" s="5">
        <v>173.21875002500008</v>
      </c>
      <c r="L14" s="10">
        <v>3.5193938151153237E-2</v>
      </c>
      <c r="M14" s="5">
        <v>168.53583272500001</v>
      </c>
      <c r="N14" s="10">
        <v>6.3957718075231984E-2</v>
      </c>
      <c r="O14" s="5">
        <v>179.41999799999999</v>
      </c>
      <c r="P14" s="10">
        <v>-5.8520789862004374E-4</v>
      </c>
      <c r="Q14" s="5">
        <v>141</v>
      </c>
      <c r="R14" s="10">
        <v>0.27173758865248221</v>
      </c>
      <c r="S14" s="17">
        <v>4.0000000000000001E-3</v>
      </c>
      <c r="T14" s="5" t="s">
        <v>766</v>
      </c>
    </row>
    <row r="15" spans="1:25">
      <c r="A15" s="2" t="s">
        <v>746</v>
      </c>
      <c r="B15" s="2" t="s">
        <v>718</v>
      </c>
      <c r="C15" s="6">
        <v>30.89</v>
      </c>
      <c r="D15" s="6">
        <v>1.0000000010279564E-6</v>
      </c>
      <c r="E15" s="15">
        <v>1.35E-2</v>
      </c>
      <c r="F15" s="6">
        <v>30.889999</v>
      </c>
      <c r="G15" s="6"/>
      <c r="H15" s="11" t="s">
        <v>21</v>
      </c>
      <c r="I15" s="6">
        <v>29.49</v>
      </c>
      <c r="J15" s="11">
        <v>4.7473719905052558E-2</v>
      </c>
      <c r="K15" s="6">
        <v>29.895325000000003</v>
      </c>
      <c r="L15" s="11">
        <v>3.3271924623665905E-2</v>
      </c>
      <c r="M15" s="6">
        <v>29.240116691666671</v>
      </c>
      <c r="N15" s="11">
        <v>5.6425332557018759E-2</v>
      </c>
      <c r="O15" s="6">
        <v>30.889999</v>
      </c>
      <c r="P15" s="11">
        <v>3.2372937219804498E-8</v>
      </c>
      <c r="Q15" s="6">
        <v>24.5</v>
      </c>
      <c r="R15" s="11">
        <v>0.26081632653061226</v>
      </c>
      <c r="S15" s="18">
        <v>5.0000000000000001E-3</v>
      </c>
      <c r="T15" s="6" t="s">
        <v>766</v>
      </c>
    </row>
    <row r="16" spans="1:25">
      <c r="A16" s="1" t="s">
        <v>747</v>
      </c>
      <c r="B16" s="1" t="s">
        <v>719</v>
      </c>
      <c r="C16" s="5">
        <v>108.58</v>
      </c>
      <c r="D16" s="5">
        <v>-7.000200000000234E-2</v>
      </c>
      <c r="E16" s="14">
        <v>6.8999999999999999E-3</v>
      </c>
      <c r="F16" s="5">
        <v>108.650002</v>
      </c>
      <c r="G16" s="5"/>
      <c r="H16" s="10" t="s">
        <v>21</v>
      </c>
      <c r="I16" s="5">
        <v>107.620003</v>
      </c>
      <c r="J16" s="10">
        <v>8.9202469172946497E-3</v>
      </c>
      <c r="K16" s="5">
        <v>107.47975027499999</v>
      </c>
      <c r="L16" s="10">
        <v>1.02368094658285E-2</v>
      </c>
      <c r="M16" s="5">
        <v>106.36383304166669</v>
      </c>
      <c r="N16" s="10">
        <v>2.0835719200389846E-2</v>
      </c>
      <c r="O16" s="5">
        <v>109.760002</v>
      </c>
      <c r="P16" s="10">
        <v>-1.0750746888652629E-2</v>
      </c>
      <c r="Q16" s="5">
        <v>89.209998999999996</v>
      </c>
      <c r="R16" s="10">
        <v>0.21712813829310784</v>
      </c>
      <c r="S16" s="17">
        <v>4.0000000000000001E-3</v>
      </c>
      <c r="T16" s="5" t="s">
        <v>303</v>
      </c>
    </row>
    <row r="17" spans="1:20">
      <c r="A17" s="2" t="s">
        <v>748</v>
      </c>
      <c r="B17" s="2" t="s">
        <v>720</v>
      </c>
      <c r="C17" s="6">
        <v>31.774999999999999</v>
      </c>
      <c r="D17" s="6">
        <v>-2.4900000000002365E-2</v>
      </c>
      <c r="E17" s="15">
        <v>1.6709999999999999E-2</v>
      </c>
      <c r="F17" s="6">
        <v>31.799900000000001</v>
      </c>
      <c r="G17" s="6"/>
      <c r="H17" s="11" t="s">
        <v>21</v>
      </c>
      <c r="I17" s="6">
        <v>31.370999999999999</v>
      </c>
      <c r="J17" s="11">
        <v>1.287813585795794E-2</v>
      </c>
      <c r="K17" s="6">
        <v>31.307947274999986</v>
      </c>
      <c r="L17" s="11">
        <v>1.4918024516189288E-2</v>
      </c>
      <c r="M17" s="6">
        <v>30.859907408333335</v>
      </c>
      <c r="N17" s="11">
        <v>2.9653121753034029E-2</v>
      </c>
      <c r="O17" s="6">
        <v>31.809998999999998</v>
      </c>
      <c r="P17" s="11">
        <v>-1.1002515278293323E-3</v>
      </c>
      <c r="Q17" s="6">
        <v>26.040001</v>
      </c>
      <c r="R17" s="11">
        <v>0.22023804837795513</v>
      </c>
      <c r="S17" s="18">
        <v>5.0000000000000001E-3</v>
      </c>
      <c r="T17" s="6" t="s">
        <v>303</v>
      </c>
    </row>
    <row r="18" spans="1:20">
      <c r="A18" s="1" t="s">
        <v>749</v>
      </c>
      <c r="B18" s="1" t="s">
        <v>721</v>
      </c>
      <c r="C18" s="5">
        <v>29.15</v>
      </c>
      <c r="D18" s="5">
        <v>0</v>
      </c>
      <c r="E18" s="14">
        <v>8.2000000000000007E-3</v>
      </c>
      <c r="F18" s="5">
        <v>29.15</v>
      </c>
      <c r="G18" s="5"/>
      <c r="H18" s="10" t="s">
        <v>21</v>
      </c>
      <c r="I18" s="5">
        <v>28.138000000000002</v>
      </c>
      <c r="J18" s="10">
        <v>3.5965598123533837E-2</v>
      </c>
      <c r="K18" s="5">
        <v>28.370224925000002</v>
      </c>
      <c r="L18" s="10">
        <v>2.7485685328946907E-2</v>
      </c>
      <c r="M18" s="5">
        <v>28.101324991666665</v>
      </c>
      <c r="N18" s="10">
        <v>3.7317635686015205E-2</v>
      </c>
      <c r="O18" s="5">
        <v>29.15</v>
      </c>
      <c r="P18" s="10">
        <v>0</v>
      </c>
      <c r="Q18" s="5">
        <v>24.49</v>
      </c>
      <c r="R18" s="10">
        <v>0.19028174765210282</v>
      </c>
      <c r="S18" s="17">
        <v>4.4999999999999997E-3</v>
      </c>
      <c r="T18" s="5" t="s">
        <v>767</v>
      </c>
    </row>
    <row r="19" spans="1:20">
      <c r="A19" s="2" t="s">
        <v>750</v>
      </c>
      <c r="B19" s="2" t="s">
        <v>722</v>
      </c>
      <c r="C19" s="6">
        <v>30.389900000000001</v>
      </c>
      <c r="D19" s="6">
        <v>0.34989900000000063</v>
      </c>
      <c r="E19" s="15">
        <v>1.7065E-2</v>
      </c>
      <c r="F19" s="6">
        <v>30.040001</v>
      </c>
      <c r="G19" s="6"/>
      <c r="H19" s="11" t="s">
        <v>21</v>
      </c>
      <c r="I19" s="6">
        <v>29.486000000000001</v>
      </c>
      <c r="J19" s="11">
        <v>3.0655226209048259E-2</v>
      </c>
      <c r="K19" s="6">
        <v>29.212550049999997</v>
      </c>
      <c r="L19" s="11">
        <v>4.0302881740377217E-2</v>
      </c>
      <c r="M19" s="6">
        <v>28.412483324999982</v>
      </c>
      <c r="N19" s="11">
        <v>6.9596756199768794E-2</v>
      </c>
      <c r="O19" s="6">
        <v>30.040001</v>
      </c>
      <c r="P19" s="11">
        <v>1.1647769252737472E-2</v>
      </c>
      <c r="Q19" s="6">
        <v>25.200001</v>
      </c>
      <c r="R19" s="11">
        <v>0.20594836484331891</v>
      </c>
      <c r="S19" s="18">
        <v>5.3E-3</v>
      </c>
      <c r="T19" s="6" t="s">
        <v>767</v>
      </c>
    </row>
    <row r="20" spans="1:20">
      <c r="A20" s="1" t="s">
        <v>751</v>
      </c>
      <c r="B20" s="1" t="s">
        <v>723</v>
      </c>
      <c r="C20" s="5">
        <v>101.8203</v>
      </c>
      <c r="D20" s="5"/>
      <c r="E20" s="14">
        <v>1.1527000000000001E-2</v>
      </c>
      <c r="F20" s="5"/>
      <c r="G20" s="5"/>
      <c r="H20" s="10" t="s">
        <v>21</v>
      </c>
      <c r="I20" s="5"/>
      <c r="J20" s="10"/>
      <c r="K20" s="5"/>
      <c r="L20" s="10"/>
      <c r="M20" s="5"/>
      <c r="N20" s="10"/>
      <c r="O20" s="5"/>
      <c r="P20" s="10"/>
      <c r="Q20" s="5"/>
      <c r="R20" s="10"/>
      <c r="S20" s="17">
        <v>4.0000000000000001E-3</v>
      </c>
      <c r="T20" s="5" t="s">
        <v>768</v>
      </c>
    </row>
    <row r="21" spans="1:20">
      <c r="A21" s="2" t="s">
        <v>752</v>
      </c>
      <c r="B21" s="2" t="s">
        <v>724</v>
      </c>
      <c r="C21" s="6">
        <v>27.11</v>
      </c>
      <c r="D21" s="6"/>
      <c r="E21" s="15">
        <v>3.7000000000000002E-3</v>
      </c>
      <c r="F21" s="6"/>
      <c r="G21" s="6"/>
      <c r="H21" s="11" t="s">
        <v>21</v>
      </c>
      <c r="I21" s="6"/>
      <c r="J21" s="11"/>
      <c r="K21" s="6"/>
      <c r="L21" s="11"/>
      <c r="M21" s="6"/>
      <c r="N21" s="11"/>
      <c r="O21" s="6"/>
      <c r="P21" s="11"/>
      <c r="Q21" s="6"/>
      <c r="R21" s="11"/>
      <c r="S21" s="18">
        <v>7.7000000000000002E-3</v>
      </c>
      <c r="T21" s="6" t="s">
        <v>768</v>
      </c>
    </row>
    <row r="22" spans="1:20">
      <c r="A22" s="1" t="s">
        <v>753</v>
      </c>
      <c r="B22" s="1" t="s">
        <v>725</v>
      </c>
      <c r="C22" s="5">
        <v>31.610199999999999</v>
      </c>
      <c r="D22" s="5"/>
      <c r="E22" s="14">
        <v>-1.2181000000000001E-2</v>
      </c>
      <c r="F22" s="5"/>
      <c r="G22" s="5"/>
      <c r="H22" s="10" t="s">
        <v>21</v>
      </c>
      <c r="I22" s="5"/>
      <c r="J22" s="10"/>
      <c r="K22" s="5"/>
      <c r="L22" s="10"/>
      <c r="M22" s="5"/>
      <c r="N22" s="10"/>
      <c r="O22" s="5"/>
      <c r="P22" s="10"/>
      <c r="Q22" s="5"/>
      <c r="R22" s="10"/>
      <c r="S22" s="17">
        <v>5.0000000000000001E-3</v>
      </c>
      <c r="T22" s="5" t="s">
        <v>768</v>
      </c>
    </row>
    <row r="23" spans="1:20">
      <c r="A23" s="2" t="s">
        <v>754</v>
      </c>
      <c r="B23" s="2" t="s">
        <v>726</v>
      </c>
      <c r="C23" s="6">
        <v>15.565</v>
      </c>
      <c r="D23" s="6">
        <v>4.9999999999990052E-3</v>
      </c>
      <c r="E23" s="15">
        <v>6.4700000000000001E-3</v>
      </c>
      <c r="F23" s="6">
        <v>15.56</v>
      </c>
      <c r="G23" s="6"/>
      <c r="H23" s="11" t="s">
        <v>21</v>
      </c>
      <c r="I23" s="6">
        <v>15.37</v>
      </c>
      <c r="J23" s="11">
        <v>1.2687052700065093E-2</v>
      </c>
      <c r="K23" s="6">
        <v>15.415849999999997</v>
      </c>
      <c r="L23" s="11">
        <v>9.6751071137823885E-3</v>
      </c>
      <c r="M23" s="6">
        <v>15.218858333333339</v>
      </c>
      <c r="N23" s="11">
        <v>2.2744259726008353E-2</v>
      </c>
      <c r="O23" s="6">
        <v>15.58</v>
      </c>
      <c r="P23" s="11">
        <v>-9.6277278562262314E-4</v>
      </c>
      <c r="Q23" s="6">
        <v>13.763999999999999</v>
      </c>
      <c r="R23" s="11">
        <v>0.13084859052600994</v>
      </c>
      <c r="S23" s="18">
        <v>5.7999999999999996E-3</v>
      </c>
      <c r="T23" s="6" t="s">
        <v>126</v>
      </c>
    </row>
    <row r="24" spans="1:20">
      <c r="A24" s="1" t="s">
        <v>755</v>
      </c>
      <c r="B24" s="1" t="s">
        <v>727</v>
      </c>
      <c r="C24" s="5">
        <v>28.074999999999999</v>
      </c>
      <c r="D24" s="5">
        <v>2.5000999999999607E-2</v>
      </c>
      <c r="E24" s="14">
        <v>7.7200000000000003E-3</v>
      </c>
      <c r="F24" s="5">
        <v>28.049999</v>
      </c>
      <c r="G24" s="5"/>
      <c r="H24" s="10" t="s">
        <v>21</v>
      </c>
      <c r="I24" s="5">
        <v>27.514999</v>
      </c>
      <c r="J24" s="10">
        <v>2.0352572064421981E-2</v>
      </c>
      <c r="K24" s="5">
        <v>27.495825050000001</v>
      </c>
      <c r="L24" s="10">
        <v>2.1064105148574042E-2</v>
      </c>
      <c r="M24" s="5">
        <v>27.207050025000001</v>
      </c>
      <c r="N24" s="10">
        <v>3.1901656894167463E-2</v>
      </c>
      <c r="O24" s="5">
        <v>28.049999</v>
      </c>
      <c r="P24" s="10">
        <v>8.9130127954728522E-4</v>
      </c>
      <c r="Q24" s="5">
        <v>24.809998999999998</v>
      </c>
      <c r="R24" s="10">
        <v>0.13160020683596163</v>
      </c>
      <c r="S24" s="17">
        <v>4.0000000000000001E-3</v>
      </c>
      <c r="T24" s="5" t="s">
        <v>126</v>
      </c>
    </row>
    <row r="25" spans="1:20">
      <c r="A25" s="2" t="s">
        <v>756</v>
      </c>
      <c r="B25" s="2" t="s">
        <v>728</v>
      </c>
      <c r="C25" s="6">
        <v>27.376999999999999</v>
      </c>
      <c r="D25" s="6">
        <v>-1.0000000010279564E-6</v>
      </c>
      <c r="E25" s="15">
        <v>1.0410000000000001E-2</v>
      </c>
      <c r="F25" s="6">
        <v>27.377001</v>
      </c>
      <c r="G25" s="6"/>
      <c r="H25" s="11" t="s">
        <v>21</v>
      </c>
      <c r="I25" s="6">
        <v>27.1</v>
      </c>
      <c r="J25" s="11">
        <v>1.0221402214022124E-2</v>
      </c>
      <c r="K25" s="6">
        <v>27.126925175000004</v>
      </c>
      <c r="L25" s="11">
        <v>9.2186940977174725E-3</v>
      </c>
      <c r="M25" s="6">
        <v>27.067225083333323</v>
      </c>
      <c r="N25" s="11">
        <v>1.1444649967366605E-2</v>
      </c>
      <c r="O25" s="6">
        <v>27.9</v>
      </c>
      <c r="P25" s="11">
        <v>-1.874551971326166E-2</v>
      </c>
      <c r="Q25" s="6">
        <v>24.889999</v>
      </c>
      <c r="R25" s="11">
        <v>9.9919690635584146E-2</v>
      </c>
      <c r="S25" s="18">
        <v>7.0000000000000001E-3</v>
      </c>
      <c r="T25" s="6" t="s">
        <v>126</v>
      </c>
    </row>
    <row r="26" spans="1:20">
      <c r="A26" s="1" t="s">
        <v>757</v>
      </c>
      <c r="B26" s="1" t="s">
        <v>729</v>
      </c>
      <c r="C26" s="5">
        <v>132.88</v>
      </c>
      <c r="D26" s="5">
        <v>1.9998999999984335E-2</v>
      </c>
      <c r="E26" s="14">
        <v>1.5900000000000001E-2</v>
      </c>
      <c r="F26" s="5">
        <v>132.86000100000001</v>
      </c>
      <c r="G26" s="5"/>
      <c r="H26" s="10" t="s">
        <v>21</v>
      </c>
      <c r="I26" s="5">
        <v>129.41000400000001</v>
      </c>
      <c r="J26" s="10">
        <v>2.6813970270799015E-2</v>
      </c>
      <c r="K26" s="5">
        <v>129.95775104999998</v>
      </c>
      <c r="L26" s="10">
        <v>2.2486145892719467E-2</v>
      </c>
      <c r="M26" s="5">
        <v>126.18383382500005</v>
      </c>
      <c r="N26" s="10">
        <v>5.306675167507291E-2</v>
      </c>
      <c r="O26" s="5">
        <v>132.86000100000001</v>
      </c>
      <c r="P26" s="10">
        <v>1.5052686925676184E-4</v>
      </c>
      <c r="Q26" s="5">
        <v>101.709999</v>
      </c>
      <c r="R26" s="10">
        <v>0.30645955467957475</v>
      </c>
      <c r="S26" s="17">
        <v>4.0000000000000001E-3</v>
      </c>
      <c r="T26" s="5" t="s">
        <v>769</v>
      </c>
    </row>
    <row r="27" spans="1:20">
      <c r="A27" s="2" t="s">
        <v>758</v>
      </c>
      <c r="B27" s="2" t="s">
        <v>730</v>
      </c>
      <c r="C27" s="6">
        <v>37.792299999999997</v>
      </c>
      <c r="D27" s="6">
        <v>2.2989999999936117E-3</v>
      </c>
      <c r="E27" s="15">
        <v>1.6742E-2</v>
      </c>
      <c r="F27" s="6">
        <v>37.790001000000004</v>
      </c>
      <c r="G27" s="6"/>
      <c r="H27" s="11" t="s">
        <v>21</v>
      </c>
      <c r="I27" s="6">
        <v>36.849997999999999</v>
      </c>
      <c r="J27" s="11">
        <v>2.5571290397356172E-2</v>
      </c>
      <c r="K27" s="6">
        <v>36.94297477500001</v>
      </c>
      <c r="L27" s="11">
        <v>2.2990168771539699E-2</v>
      </c>
      <c r="M27" s="6">
        <v>35.989433291666657</v>
      </c>
      <c r="N27" s="11">
        <v>5.0094334459853673E-2</v>
      </c>
      <c r="O27" s="6">
        <v>37.790001000000004</v>
      </c>
      <c r="P27" s="11">
        <v>6.0836198442881795E-5</v>
      </c>
      <c r="Q27" s="6">
        <v>29.475999999999999</v>
      </c>
      <c r="R27" s="11">
        <v>0.28213801058488253</v>
      </c>
      <c r="S27" s="18">
        <v>5.0000000000000001E-3</v>
      </c>
      <c r="T27" s="6" t="s">
        <v>769</v>
      </c>
    </row>
    <row r="28" spans="1:20">
      <c r="A28" s="1" t="s">
        <v>759</v>
      </c>
      <c r="B28" s="1" t="s">
        <v>731</v>
      </c>
      <c r="C28" s="5">
        <v>90.000399999999999</v>
      </c>
      <c r="D28" s="5">
        <v>-3.960100000000466E-2</v>
      </c>
      <c r="E28" s="14">
        <v>6.378E-3</v>
      </c>
      <c r="F28" s="5">
        <v>90.040001000000004</v>
      </c>
      <c r="G28" s="5"/>
      <c r="H28" s="10" t="s">
        <v>21</v>
      </c>
      <c r="I28" s="5">
        <v>88.730002999999996</v>
      </c>
      <c r="J28" s="10">
        <v>1.4317558402426878E-2</v>
      </c>
      <c r="K28" s="5">
        <v>88.419500049999968</v>
      </c>
      <c r="L28" s="10">
        <v>1.7879539571090675E-2</v>
      </c>
      <c r="M28" s="5">
        <v>86.515583533333299</v>
      </c>
      <c r="N28" s="10">
        <v>4.027963893145392E-2</v>
      </c>
      <c r="O28" s="5">
        <v>90.040001000000004</v>
      </c>
      <c r="P28" s="10">
        <v>-4.3981563260986345E-4</v>
      </c>
      <c r="Q28" s="5">
        <v>76.180000000000007</v>
      </c>
      <c r="R28" s="10">
        <v>0.18141769493305326</v>
      </c>
      <c r="S28" s="17">
        <v>4.0000000000000001E-3</v>
      </c>
      <c r="T28" s="5" t="s">
        <v>308</v>
      </c>
    </row>
    <row r="29" spans="1:20">
      <c r="A29" s="2" t="s">
        <v>760</v>
      </c>
      <c r="B29" s="2" t="s">
        <v>732</v>
      </c>
      <c r="C29" s="6">
        <v>28.92</v>
      </c>
      <c r="D29" s="6">
        <v>0</v>
      </c>
      <c r="E29" s="15">
        <v>1.09E-2</v>
      </c>
      <c r="F29" s="6">
        <v>28.92</v>
      </c>
      <c r="G29" s="6"/>
      <c r="H29" s="11" t="s">
        <v>21</v>
      </c>
      <c r="I29" s="6">
        <v>27.884001000000001</v>
      </c>
      <c r="J29" s="11">
        <v>3.7153886201625186E-2</v>
      </c>
      <c r="K29" s="6">
        <v>27.993825050000005</v>
      </c>
      <c r="L29" s="11">
        <v>3.3084973144818397E-2</v>
      </c>
      <c r="M29" s="6">
        <v>27.52793338333332</v>
      </c>
      <c r="N29" s="11">
        <v>5.056923806381719E-2</v>
      </c>
      <c r="O29" s="6">
        <v>28.92</v>
      </c>
      <c r="P29" s="11">
        <v>0</v>
      </c>
      <c r="Q29" s="6">
        <v>24.049999</v>
      </c>
      <c r="R29" s="11">
        <v>0.20249485249458865</v>
      </c>
      <c r="S29" s="18">
        <v>5.0000000000000001E-3</v>
      </c>
      <c r="T29" s="6" t="s">
        <v>308</v>
      </c>
    </row>
    <row r="30" spans="1:20">
      <c r="A30" s="1"/>
      <c r="B30" s="1"/>
      <c r="C30" s="5"/>
      <c r="D30" s="5"/>
      <c r="E30" s="14"/>
      <c r="F30" s="5"/>
      <c r="G30" s="5"/>
      <c r="H30" s="10"/>
      <c r="I30" s="5"/>
      <c r="J30" s="10"/>
      <c r="K30" s="5"/>
      <c r="L30" s="10"/>
      <c r="M30" s="5"/>
      <c r="N30" s="10"/>
      <c r="O30" s="5"/>
      <c r="P30" s="10"/>
      <c r="Q30" s="5"/>
      <c r="R30" s="10"/>
      <c r="S30" s="17"/>
      <c r="T30" s="5"/>
    </row>
    <row r="31" spans="1:20">
      <c r="A31" s="2"/>
      <c r="B31" s="2"/>
      <c r="C31" s="6"/>
      <c r="D31" s="6"/>
      <c r="E31" s="15"/>
      <c r="F31" s="6"/>
      <c r="G31" s="6"/>
      <c r="H31" s="11"/>
      <c r="I31" s="6"/>
      <c r="J31" s="11"/>
      <c r="K31" s="6"/>
      <c r="L31" s="11"/>
      <c r="M31" s="6"/>
      <c r="N31" s="11"/>
      <c r="O31" s="6"/>
      <c r="P31" s="11"/>
      <c r="Q31" s="6"/>
      <c r="R31" s="11"/>
      <c r="S31" s="18"/>
      <c r="T31" s="6"/>
    </row>
    <row r="32" spans="1:20">
      <c r="A32" s="1"/>
      <c r="B32" s="1"/>
      <c r="C32" s="5"/>
      <c r="D32" s="5"/>
      <c r="E32" s="14"/>
      <c r="F32" s="5"/>
      <c r="G32" s="5"/>
      <c r="H32" s="10"/>
      <c r="I32" s="5"/>
      <c r="J32" s="10"/>
      <c r="K32" s="5"/>
      <c r="L32" s="10"/>
      <c r="M32" s="5"/>
      <c r="N32" s="10"/>
      <c r="O32" s="5"/>
      <c r="P32" s="10"/>
      <c r="Q32" s="5"/>
      <c r="R32" s="10"/>
      <c r="S32" s="17"/>
      <c r="T32" s="5"/>
    </row>
    <row r="33" spans="1:20">
      <c r="A33" s="2"/>
      <c r="B33" s="2"/>
      <c r="C33" s="6"/>
      <c r="D33" s="6"/>
      <c r="E33" s="15"/>
      <c r="F33" s="6"/>
      <c r="G33" s="6"/>
      <c r="H33" s="11"/>
      <c r="I33" s="6"/>
      <c r="J33" s="11"/>
      <c r="K33" s="6"/>
      <c r="L33" s="11"/>
      <c r="M33" s="6"/>
      <c r="N33" s="11"/>
      <c r="O33" s="6"/>
      <c r="P33" s="11"/>
      <c r="Q33" s="6"/>
      <c r="R33" s="11"/>
      <c r="S33" s="18"/>
      <c r="T33" s="6"/>
    </row>
    <row r="34" spans="1:20">
      <c r="A34" s="1"/>
      <c r="B34" s="1"/>
      <c r="C34" s="5"/>
      <c r="D34" s="5"/>
      <c r="E34" s="14"/>
      <c r="F34" s="5"/>
      <c r="G34" s="5"/>
      <c r="H34" s="10"/>
      <c r="I34" s="5"/>
      <c r="J34" s="10"/>
      <c r="K34" s="5"/>
      <c r="L34" s="10"/>
      <c r="M34" s="5"/>
      <c r="N34" s="10"/>
      <c r="O34" s="5"/>
      <c r="P34" s="10"/>
      <c r="Q34" s="5"/>
      <c r="R34" s="10"/>
      <c r="S34" s="17"/>
      <c r="T34" s="5"/>
    </row>
    <row r="35" spans="1:20">
      <c r="A35" s="2"/>
      <c r="B35" s="2"/>
      <c r="C35" s="6"/>
      <c r="D35" s="6"/>
      <c r="E35" s="15"/>
      <c r="F35" s="6"/>
      <c r="G35" s="6"/>
      <c r="H35" s="11"/>
      <c r="I35" s="6"/>
      <c r="J35" s="11"/>
      <c r="K35" s="6"/>
      <c r="L35" s="11"/>
      <c r="M35" s="6"/>
      <c r="N35" s="11"/>
      <c r="O35" s="6"/>
      <c r="P35" s="11"/>
      <c r="Q35" s="6"/>
      <c r="R35" s="11"/>
      <c r="S35" s="18"/>
      <c r="T35" s="6"/>
    </row>
    <row r="36" spans="1:20">
      <c r="A36" s="1"/>
      <c r="B36" s="1"/>
      <c r="C36" s="5"/>
      <c r="D36" s="5"/>
      <c r="E36" s="14"/>
      <c r="F36" s="5"/>
      <c r="G36" s="5"/>
      <c r="H36" s="10"/>
      <c r="I36" s="5"/>
      <c r="J36" s="10"/>
      <c r="K36" s="5"/>
      <c r="L36" s="10"/>
      <c r="M36" s="5"/>
      <c r="N36" s="10"/>
      <c r="O36" s="5"/>
      <c r="P36" s="10"/>
      <c r="Q36" s="5"/>
      <c r="R36" s="10"/>
      <c r="S36" s="17"/>
      <c r="T36" s="5"/>
    </row>
    <row r="37" spans="1:20">
      <c r="A37" s="2"/>
      <c r="B37" s="2"/>
      <c r="C37" s="6"/>
      <c r="D37" s="6"/>
      <c r="E37" s="15"/>
      <c r="F37" s="6"/>
      <c r="G37" s="6"/>
      <c r="H37" s="11"/>
      <c r="I37" s="6"/>
      <c r="J37" s="11"/>
      <c r="K37" s="6"/>
      <c r="L37" s="11"/>
      <c r="M37" s="6"/>
      <c r="N37" s="11"/>
      <c r="O37" s="6"/>
      <c r="P37" s="11"/>
      <c r="Q37" s="6"/>
      <c r="R37" s="11"/>
      <c r="S37" s="18"/>
      <c r="T37" s="6"/>
    </row>
    <row r="38" spans="1:20">
      <c r="A38" s="1"/>
      <c r="B38" s="1"/>
      <c r="C38" s="5"/>
      <c r="D38" s="5"/>
      <c r="E38" s="14"/>
      <c r="F38" s="5"/>
      <c r="G38" s="5"/>
      <c r="H38" s="10"/>
      <c r="I38" s="5"/>
      <c r="J38" s="10"/>
      <c r="K38" s="5"/>
      <c r="L38" s="10"/>
      <c r="M38" s="5"/>
      <c r="N38" s="10"/>
      <c r="O38" s="5"/>
      <c r="P38" s="10"/>
      <c r="Q38" s="5"/>
      <c r="R38" s="10"/>
      <c r="S38" s="17"/>
      <c r="T38" s="5"/>
    </row>
    <row r="39" spans="1:20">
      <c r="A39" s="2"/>
      <c r="B39" s="2"/>
      <c r="C39" s="6"/>
      <c r="D39" s="6"/>
      <c r="E39" s="15"/>
      <c r="F39" s="6"/>
      <c r="G39" s="6"/>
      <c r="H39" s="11"/>
      <c r="I39" s="6"/>
      <c r="J39" s="11"/>
      <c r="K39" s="6"/>
      <c r="L39" s="11"/>
      <c r="M39" s="6"/>
      <c r="N39" s="11"/>
      <c r="O39" s="6"/>
      <c r="P39" s="11"/>
      <c r="Q39" s="6"/>
      <c r="R39" s="11"/>
      <c r="S39" s="18"/>
      <c r="T39" s="6"/>
    </row>
    <row r="40" spans="1:20">
      <c r="A40" s="1"/>
      <c r="B40" s="1"/>
      <c r="C40" s="5"/>
      <c r="D40" s="5"/>
      <c r="E40" s="14"/>
      <c r="F40" s="5"/>
      <c r="G40" s="5"/>
      <c r="H40" s="10"/>
      <c r="I40" s="5"/>
      <c r="J40" s="10"/>
      <c r="K40" s="5"/>
      <c r="L40" s="10"/>
      <c r="M40" s="5"/>
      <c r="N40" s="10"/>
      <c r="O40" s="5"/>
      <c r="P40" s="10"/>
      <c r="Q40" s="5"/>
      <c r="R40" s="10"/>
      <c r="S40" s="17"/>
      <c r="T40" s="5"/>
    </row>
    <row r="41" spans="1:20">
      <c r="A41" s="2"/>
      <c r="B41" s="2"/>
      <c r="C41" s="6"/>
      <c r="D41" s="6"/>
      <c r="E41" s="15"/>
      <c r="F41" s="6"/>
      <c r="G41" s="6"/>
      <c r="H41" s="11"/>
      <c r="I41" s="6"/>
      <c r="J41" s="11"/>
      <c r="K41" s="6"/>
      <c r="L41" s="11"/>
      <c r="M41" s="6"/>
      <c r="N41" s="11"/>
      <c r="O41" s="6"/>
      <c r="P41" s="11"/>
      <c r="Q41" s="6"/>
      <c r="R41" s="11"/>
      <c r="S41" s="18"/>
      <c r="T41" s="6"/>
    </row>
    <row r="42" spans="1:20">
      <c r="A42" s="1"/>
      <c r="B42" s="1"/>
      <c r="C42" s="5"/>
      <c r="D42" s="5"/>
      <c r="E42" s="14"/>
      <c r="F42" s="5"/>
      <c r="G42" s="5"/>
      <c r="H42" s="10"/>
      <c r="I42" s="5"/>
      <c r="J42" s="10"/>
      <c r="K42" s="5"/>
      <c r="L42" s="10"/>
      <c r="M42" s="5"/>
      <c r="N42" s="10"/>
      <c r="O42" s="5"/>
      <c r="P42" s="10"/>
      <c r="Q42" s="5"/>
      <c r="R42" s="10"/>
      <c r="S42" s="17"/>
      <c r="T42" s="5"/>
    </row>
    <row r="43" spans="1:20">
      <c r="A43" s="2"/>
      <c r="B43" s="2"/>
      <c r="C43" s="6"/>
      <c r="D43" s="6"/>
      <c r="E43" s="15"/>
      <c r="F43" s="6"/>
      <c r="G43" s="6"/>
      <c r="H43" s="11"/>
      <c r="I43" s="6"/>
      <c r="J43" s="11"/>
      <c r="K43" s="6"/>
      <c r="L43" s="11"/>
      <c r="M43" s="6"/>
      <c r="N43" s="11"/>
      <c r="O43" s="6"/>
      <c r="P43" s="11"/>
      <c r="Q43" s="6"/>
      <c r="R43" s="11"/>
      <c r="S43" s="18"/>
      <c r="T43" s="6"/>
    </row>
    <row r="44" spans="1:20">
      <c r="A44" s="1"/>
      <c r="B44" s="1"/>
      <c r="C44" s="5"/>
      <c r="D44" s="5"/>
      <c r="E44" s="14"/>
      <c r="F44" s="5"/>
      <c r="G44" s="5"/>
      <c r="H44" s="10"/>
      <c r="I44" s="5"/>
      <c r="J44" s="10"/>
      <c r="K44" s="5"/>
      <c r="L44" s="10"/>
      <c r="M44" s="5"/>
      <c r="N44" s="10"/>
      <c r="O44" s="5"/>
      <c r="P44" s="10"/>
      <c r="Q44" s="5"/>
      <c r="R44" s="10"/>
      <c r="S44" s="17"/>
      <c r="T44" s="5"/>
    </row>
    <row r="45" spans="1:20">
      <c r="A45" s="2"/>
      <c r="B45" s="2"/>
      <c r="C45" s="6"/>
      <c r="D45" s="6"/>
      <c r="E45" s="15"/>
      <c r="F45" s="6"/>
      <c r="G45" s="6"/>
      <c r="H45" s="11"/>
      <c r="I45" s="6"/>
      <c r="J45" s="11"/>
      <c r="K45" s="6"/>
      <c r="L45" s="11"/>
      <c r="M45" s="6"/>
      <c r="N45" s="11"/>
      <c r="O45" s="6"/>
      <c r="P45" s="11"/>
      <c r="Q45" s="6"/>
      <c r="R45" s="11"/>
      <c r="S45" s="18"/>
      <c r="T45" s="6"/>
    </row>
    <row r="46" spans="1:20">
      <c r="A46" s="1"/>
      <c r="B46" s="1"/>
      <c r="C46" s="5"/>
      <c r="D46" s="5"/>
      <c r="E46" s="14"/>
      <c r="F46" s="5"/>
      <c r="G46" s="5"/>
      <c r="H46" s="10"/>
      <c r="I46" s="5"/>
      <c r="J46" s="10"/>
      <c r="K46" s="5"/>
      <c r="L46" s="10"/>
      <c r="M46" s="5"/>
      <c r="N46" s="10"/>
      <c r="O46" s="5"/>
      <c r="P46" s="10"/>
      <c r="Q46" s="5"/>
      <c r="R46" s="10"/>
      <c r="S46" s="17"/>
      <c r="T46" s="5"/>
    </row>
    <row r="47" spans="1:20">
      <c r="A47" s="2"/>
      <c r="B47" s="2"/>
      <c r="C47" s="6"/>
      <c r="D47" s="6"/>
      <c r="E47" s="15"/>
      <c r="F47" s="6"/>
      <c r="G47" s="6"/>
      <c r="H47" s="11"/>
      <c r="I47" s="6"/>
      <c r="J47" s="11"/>
      <c r="K47" s="6"/>
      <c r="L47" s="11"/>
      <c r="M47" s="6"/>
      <c r="N47" s="11"/>
      <c r="O47" s="6"/>
      <c r="P47" s="11"/>
      <c r="Q47" s="6"/>
      <c r="R47" s="11"/>
      <c r="S47" s="18"/>
      <c r="T47" s="6"/>
    </row>
    <row r="48" spans="1:20">
      <c r="A48" s="1"/>
      <c r="B48" s="1"/>
      <c r="C48" s="5"/>
      <c r="D48" s="5"/>
      <c r="E48" s="14"/>
      <c r="F48" s="5"/>
      <c r="G48" s="5"/>
      <c r="H48" s="10"/>
      <c r="I48" s="5"/>
      <c r="J48" s="10"/>
      <c r="K48" s="5"/>
      <c r="L48" s="10"/>
      <c r="M48" s="5"/>
      <c r="N48" s="10"/>
      <c r="O48" s="5"/>
      <c r="P48" s="10"/>
      <c r="Q48" s="5"/>
      <c r="R48" s="10"/>
      <c r="S48" s="17"/>
      <c r="T48" s="5"/>
    </row>
    <row r="49" spans="1:20">
      <c r="A49" s="2"/>
      <c r="B49" s="2"/>
      <c r="C49" s="6"/>
      <c r="D49" s="6"/>
      <c r="E49" s="15"/>
      <c r="F49" s="6"/>
      <c r="G49" s="6"/>
      <c r="H49" s="11"/>
      <c r="I49" s="6"/>
      <c r="J49" s="11"/>
      <c r="K49" s="6"/>
      <c r="L49" s="11"/>
      <c r="M49" s="6"/>
      <c r="N49" s="11"/>
      <c r="O49" s="6"/>
      <c r="P49" s="11"/>
      <c r="Q49" s="6"/>
      <c r="R49" s="11"/>
      <c r="S49" s="18"/>
      <c r="T49" s="6"/>
    </row>
    <row r="50" spans="1:20">
      <c r="A50" s="1"/>
      <c r="B50" s="1"/>
      <c r="C50" s="5"/>
      <c r="D50" s="5"/>
      <c r="E50" s="14"/>
      <c r="F50" s="5"/>
      <c r="G50" s="5"/>
      <c r="H50" s="10"/>
      <c r="I50" s="5"/>
      <c r="J50" s="10"/>
      <c r="K50" s="5"/>
      <c r="L50" s="10"/>
      <c r="M50" s="5"/>
      <c r="N50" s="10"/>
      <c r="O50" s="5"/>
      <c r="P50" s="10"/>
      <c r="Q50" s="5"/>
      <c r="R50" s="10"/>
      <c r="S50" s="17"/>
      <c r="T50" s="5"/>
    </row>
    <row r="51" spans="1:20">
      <c r="A51" s="2"/>
      <c r="B51" s="2"/>
      <c r="C51" s="6"/>
      <c r="D51" s="6"/>
      <c r="E51" s="15"/>
      <c r="F51" s="6"/>
      <c r="G51" s="6"/>
      <c r="H51" s="11"/>
      <c r="I51" s="6"/>
      <c r="J51" s="11"/>
      <c r="K51" s="6"/>
      <c r="L51" s="11"/>
      <c r="M51" s="6"/>
      <c r="N51" s="11"/>
      <c r="O51" s="6"/>
      <c r="P51" s="11"/>
      <c r="Q51" s="6"/>
      <c r="R51" s="11"/>
      <c r="S51" s="18"/>
      <c r="T51" s="6"/>
    </row>
    <row r="52" spans="1:20">
      <c r="A52" s="1"/>
      <c r="B52" s="1"/>
      <c r="C52" s="5"/>
      <c r="D52" s="5"/>
      <c r="E52" s="14"/>
      <c r="F52" s="5"/>
      <c r="G52" s="5"/>
      <c r="H52" s="10"/>
      <c r="I52" s="5"/>
      <c r="J52" s="10"/>
      <c r="K52" s="5"/>
      <c r="L52" s="10"/>
      <c r="M52" s="5"/>
      <c r="N52" s="10"/>
      <c r="O52" s="5"/>
      <c r="P52" s="10"/>
      <c r="Q52" s="5"/>
      <c r="R52" s="10"/>
      <c r="S52" s="17"/>
      <c r="T52" s="5"/>
    </row>
    <row r="53" spans="1:20">
      <c r="A53" s="2"/>
      <c r="B53" s="2"/>
      <c r="C53" s="6"/>
      <c r="D53" s="6"/>
      <c r="E53" s="15"/>
      <c r="F53" s="6"/>
      <c r="G53" s="6"/>
      <c r="H53" s="11"/>
      <c r="I53" s="6"/>
      <c r="J53" s="11"/>
      <c r="K53" s="6"/>
      <c r="L53" s="11"/>
      <c r="M53" s="6"/>
      <c r="N53" s="11"/>
      <c r="O53" s="6"/>
      <c r="P53" s="11"/>
      <c r="Q53" s="6"/>
      <c r="R53" s="11"/>
      <c r="S53" s="18"/>
      <c r="T53" s="6"/>
    </row>
    <row r="54" spans="1:20">
      <c r="A54" s="1"/>
      <c r="B54" s="1"/>
      <c r="C54" s="5"/>
      <c r="D54" s="5"/>
      <c r="E54" s="14"/>
      <c r="F54" s="5"/>
      <c r="G54" s="5"/>
      <c r="H54" s="10"/>
      <c r="I54" s="5"/>
      <c r="J54" s="10"/>
      <c r="K54" s="5"/>
      <c r="L54" s="10"/>
      <c r="M54" s="5"/>
      <c r="N54" s="10"/>
      <c r="O54" s="5"/>
      <c r="P54" s="10"/>
      <c r="Q54" s="5"/>
      <c r="R54" s="10"/>
      <c r="S54" s="5"/>
      <c r="T54" s="5"/>
    </row>
    <row r="55" spans="1:20">
      <c r="A55" s="2"/>
      <c r="B55" s="2"/>
      <c r="C55" s="6"/>
      <c r="D55" s="6"/>
      <c r="E55" s="15"/>
      <c r="F55" s="6"/>
      <c r="G55" s="6"/>
      <c r="H55" s="11"/>
      <c r="I55" s="6"/>
      <c r="J55" s="11"/>
      <c r="K55" s="6"/>
      <c r="L55" s="11"/>
      <c r="M55" s="6"/>
      <c r="N55" s="11"/>
      <c r="O55" s="6"/>
      <c r="P55" s="11"/>
      <c r="Q55" s="6"/>
      <c r="R55" s="11"/>
      <c r="S55" s="6"/>
      <c r="T55" s="6"/>
    </row>
    <row r="56" spans="1:20">
      <c r="A56" s="1"/>
      <c r="B56" s="1"/>
      <c r="C56" s="5"/>
      <c r="D56" s="5"/>
      <c r="E56" s="14"/>
      <c r="F56" s="5"/>
      <c r="G56" s="5"/>
      <c r="H56" s="10"/>
      <c r="I56" s="5"/>
      <c r="J56" s="10"/>
      <c r="K56" s="5"/>
      <c r="L56" s="10"/>
      <c r="M56" s="5"/>
      <c r="N56" s="10"/>
      <c r="O56" s="5"/>
      <c r="P56" s="10"/>
      <c r="Q56" s="5"/>
      <c r="R56" s="10"/>
      <c r="S56" s="5"/>
      <c r="T56" s="5"/>
    </row>
    <row r="57" spans="1:20">
      <c r="A57" s="2"/>
      <c r="B57" s="2"/>
      <c r="C57" s="6"/>
      <c r="D57" s="6"/>
      <c r="E57" s="15"/>
      <c r="F57" s="6"/>
      <c r="G57" s="6"/>
      <c r="H57" s="11"/>
      <c r="I57" s="6"/>
      <c r="J57" s="11"/>
      <c r="K57" s="6"/>
      <c r="L57" s="11"/>
      <c r="M57" s="6"/>
      <c r="N57" s="11"/>
      <c r="O57" s="6"/>
      <c r="P57" s="11"/>
      <c r="Q57" s="6"/>
      <c r="R57" s="11"/>
      <c r="S57" s="6"/>
      <c r="T57" s="6"/>
    </row>
    <row r="58" spans="1:20">
      <c r="A58" s="1"/>
      <c r="B58" s="1"/>
      <c r="C58" s="5"/>
      <c r="D58" s="5"/>
      <c r="E58" s="14"/>
      <c r="F58" s="5"/>
      <c r="G58" s="5"/>
      <c r="H58" s="10"/>
      <c r="I58" s="5"/>
      <c r="J58" s="10"/>
      <c r="K58" s="5"/>
      <c r="L58" s="10"/>
      <c r="M58" s="5"/>
      <c r="N58" s="10"/>
      <c r="O58" s="5"/>
      <c r="P58" s="10"/>
      <c r="Q58" s="5"/>
      <c r="R58" s="10"/>
      <c r="S58" s="5"/>
      <c r="T58" s="5"/>
    </row>
    <row r="59" spans="1:20">
      <c r="A59" s="2"/>
      <c r="B59" s="2"/>
      <c r="C59" s="6"/>
      <c r="D59" s="6"/>
      <c r="E59" s="15"/>
      <c r="F59" s="6"/>
      <c r="G59" s="6"/>
      <c r="H59" s="11"/>
      <c r="I59" s="6"/>
      <c r="J59" s="11"/>
      <c r="K59" s="6"/>
      <c r="L59" s="11"/>
      <c r="M59" s="6"/>
      <c r="N59" s="11"/>
      <c r="O59" s="6"/>
      <c r="P59" s="11"/>
      <c r="Q59" s="6"/>
      <c r="R59" s="11"/>
      <c r="S59" s="6"/>
      <c r="T59" s="6"/>
    </row>
    <row r="60" spans="1:20">
      <c r="A60" s="1"/>
      <c r="B60" s="1"/>
      <c r="C60" s="5"/>
      <c r="D60" s="5"/>
      <c r="E60" s="14"/>
      <c r="F60" s="5"/>
      <c r="G60" s="5"/>
      <c r="H60" s="10"/>
      <c r="I60" s="5"/>
      <c r="J60" s="10"/>
      <c r="K60" s="5"/>
      <c r="L60" s="10"/>
      <c r="M60" s="5"/>
      <c r="N60" s="10"/>
      <c r="O60" s="5"/>
      <c r="P60" s="10"/>
      <c r="Q60" s="5"/>
      <c r="R60" s="10"/>
      <c r="S60" s="5"/>
      <c r="T60" s="5"/>
    </row>
  </sheetData>
  <conditionalFormatting sqref="J2:J60 L2:L60 N2:N60">
    <cfRule type="cellIs" dxfId="9" priority="5" operator="lessThan">
      <formula>-0.02</formula>
    </cfRule>
  </conditionalFormatting>
  <conditionalFormatting sqref="P2:P60">
    <cfRule type="cellIs" dxfId="8" priority="4" operator="between">
      <formula>-0.05</formula>
      <formula>0.05</formula>
    </cfRule>
  </conditionalFormatting>
  <conditionalFormatting sqref="H2:H60">
    <cfRule type="cellIs" dxfId="7" priority="2" operator="between">
      <formula>0</formula>
      <formula>0.05</formula>
    </cfRule>
    <cfRule type="cellIs" dxfId="6" priority="3" operator="between">
      <formula>-0.05</formula>
      <formula>0</formula>
    </cfRule>
  </conditionalFormatting>
  <conditionalFormatting sqref="R2:R60">
    <cfRule type="cellIs" dxfId="5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UpdateCurrentSheet">
                <anchor moveWithCells="1" sizeWithCells="1">
                  <from>
                    <xdr:col>23</xdr:col>
                    <xdr:colOff>38100</xdr:colOff>
                    <xdr:row>0</xdr:row>
                    <xdr:rowOff>28575</xdr:rowOff>
                  </from>
                  <to>
                    <xdr:col>24</xdr:col>
                    <xdr:colOff>419100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3"/>
  </sheetPr>
  <dimension ref="A1:Y60"/>
  <sheetViews>
    <sheetView zoomScale="80" zoomScaleNormal="80" workbookViewId="0">
      <pane ySplit="1" topLeftCell="A2" activePane="bottomLeft" state="frozen"/>
      <selection activeCell="B41" sqref="B41"/>
      <selection pane="bottomLeft" activeCell="A12" sqref="A12"/>
    </sheetView>
  </sheetViews>
  <sheetFormatPr defaultRowHeight="15"/>
  <cols>
    <col min="1" max="1" width="10.28515625" bestFit="1" customWidth="1"/>
    <col min="2" max="2" width="52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18" width="10.28515625" bestFit="1" customWidth="1"/>
    <col min="20" max="20" width="10.28515625" bestFit="1" customWidth="1"/>
    <col min="24" max="24" width="10.7109375" customWidth="1"/>
  </cols>
  <sheetData>
    <row r="1" spans="1:25" ht="30.75" thickBot="1">
      <c r="A1" s="3" t="s">
        <v>2</v>
      </c>
      <c r="B1" s="4" t="s">
        <v>3</v>
      </c>
      <c r="C1" s="3" t="s">
        <v>5</v>
      </c>
      <c r="D1" s="3" t="s">
        <v>6</v>
      </c>
      <c r="E1" s="3" t="s">
        <v>7</v>
      </c>
      <c r="F1" s="3" t="s">
        <v>8</v>
      </c>
      <c r="G1" s="27" t="s">
        <v>14</v>
      </c>
      <c r="H1" s="7" t="s">
        <v>15</v>
      </c>
      <c r="I1" s="3" t="s">
        <v>9</v>
      </c>
      <c r="J1" s="3" t="s">
        <v>16</v>
      </c>
      <c r="K1" s="3" t="s">
        <v>10</v>
      </c>
      <c r="L1" s="3" t="s">
        <v>17</v>
      </c>
      <c r="M1" s="3" t="s">
        <v>11</v>
      </c>
      <c r="N1" s="3" t="s">
        <v>18</v>
      </c>
      <c r="O1" s="3" t="s">
        <v>12</v>
      </c>
      <c r="P1" s="3" t="s">
        <v>19</v>
      </c>
      <c r="Q1" s="3" t="s">
        <v>13</v>
      </c>
      <c r="R1" s="3" t="s">
        <v>20</v>
      </c>
      <c r="S1" s="28" t="s">
        <v>115</v>
      </c>
      <c r="T1" s="29" t="s">
        <v>116</v>
      </c>
    </row>
    <row r="2" spans="1:25">
      <c r="A2" s="1" t="s">
        <v>770</v>
      </c>
      <c r="B2" s="1" t="s">
        <v>784</v>
      </c>
      <c r="C2" s="5">
        <v>24.928000000000001</v>
      </c>
      <c r="D2" s="5">
        <v>1.0000000010279564E-6</v>
      </c>
      <c r="E2" s="14">
        <v>4.3499999999999997E-3</v>
      </c>
      <c r="F2" s="5">
        <v>24.927999</v>
      </c>
      <c r="G2" s="5"/>
      <c r="H2" s="10" t="s">
        <v>21</v>
      </c>
      <c r="I2" s="5">
        <v>24.41</v>
      </c>
      <c r="J2" s="10">
        <v>2.1220811142974139E-2</v>
      </c>
      <c r="K2" s="5">
        <v>24.565749850000007</v>
      </c>
      <c r="L2" s="10">
        <v>1.4746146655889358E-2</v>
      </c>
      <c r="M2" s="5">
        <v>24.371441541666673</v>
      </c>
      <c r="N2" s="10">
        <v>2.283650137731108E-2</v>
      </c>
      <c r="O2" s="5">
        <v>640</v>
      </c>
      <c r="P2" s="10">
        <v>-0.96104999999999996</v>
      </c>
      <c r="Q2" s="5">
        <v>0.08</v>
      </c>
      <c r="R2" s="10">
        <v>310.60000000000002</v>
      </c>
      <c r="S2" s="17">
        <v>2.8999999999999998E-3</v>
      </c>
      <c r="T2" s="5" t="s">
        <v>257</v>
      </c>
    </row>
    <row r="3" spans="1:25">
      <c r="A3" s="2" t="s">
        <v>771</v>
      </c>
      <c r="B3" s="2" t="s">
        <v>785</v>
      </c>
      <c r="C3" s="6">
        <v>64.562299999999993</v>
      </c>
      <c r="D3" s="6">
        <v>-0.1001020000000068</v>
      </c>
      <c r="E3" s="15">
        <v>6.4270000000000004E-3</v>
      </c>
      <c r="F3" s="6">
        <v>66.260002</v>
      </c>
      <c r="G3" s="6"/>
      <c r="H3" s="11" t="s">
        <v>21</v>
      </c>
      <c r="I3" s="6">
        <v>63.779998999999997</v>
      </c>
      <c r="J3" s="11">
        <v>3.7314221343904386E-2</v>
      </c>
      <c r="K3" s="6">
        <v>63.81075017500001</v>
      </c>
      <c r="L3" s="11">
        <v>3.6814327030437299E-2</v>
      </c>
      <c r="M3" s="6">
        <v>63.014416883333311</v>
      </c>
      <c r="N3" s="11">
        <v>4.9916880489274673E-2</v>
      </c>
      <c r="O3" s="6">
        <v>67.970000999999996</v>
      </c>
      <c r="P3" s="11">
        <v>-2.663088087934562E-2</v>
      </c>
      <c r="Q3" s="6">
        <v>56.700001</v>
      </c>
      <c r="R3" s="11">
        <v>0.16684124926205901</v>
      </c>
      <c r="S3" s="18">
        <v>6.0000000000000001E-3</v>
      </c>
      <c r="T3" s="6" t="s">
        <v>798</v>
      </c>
      <c r="X3" t="s">
        <v>42</v>
      </c>
      <c r="Y3" t="s">
        <v>783</v>
      </c>
    </row>
    <row r="4" spans="1:25">
      <c r="A4" s="1" t="s">
        <v>772</v>
      </c>
      <c r="B4" s="1" t="s">
        <v>786</v>
      </c>
      <c r="C4" s="5">
        <v>16.7</v>
      </c>
      <c r="D4" s="5">
        <v>-1.0000000010279564E-6</v>
      </c>
      <c r="E4" s="14">
        <v>7.7999999999999996E-3</v>
      </c>
      <c r="F4" s="5">
        <v>16.700001</v>
      </c>
      <c r="G4" s="5"/>
      <c r="H4" s="10" t="s">
        <v>21</v>
      </c>
      <c r="I4" s="5">
        <v>17.040001</v>
      </c>
      <c r="J4" s="10">
        <v>-1.9953109157681448E-2</v>
      </c>
      <c r="K4" s="5">
        <v>16.780749950000001</v>
      </c>
      <c r="L4" s="10">
        <v>-4.8120584741805361E-3</v>
      </c>
      <c r="M4" s="5">
        <v>16.621499958333331</v>
      </c>
      <c r="N4" s="10">
        <v>4.7228013033391303E-3</v>
      </c>
      <c r="O4" s="5">
        <v>18.989999999999998</v>
      </c>
      <c r="P4" s="10">
        <v>-0.12058978409689303</v>
      </c>
      <c r="Q4" s="5">
        <v>15.22</v>
      </c>
      <c r="R4" s="10">
        <v>9.7240473061760646E-2</v>
      </c>
      <c r="S4" s="17">
        <v>3.0000000000000001E-3</v>
      </c>
      <c r="T4" s="5" t="s">
        <v>798</v>
      </c>
      <c r="X4" t="s">
        <v>37</v>
      </c>
    </row>
    <row r="5" spans="1:25">
      <c r="A5" s="2" t="s">
        <v>773</v>
      </c>
      <c r="B5" s="2" t="s">
        <v>787</v>
      </c>
      <c r="C5" s="6">
        <v>126.91549999999999</v>
      </c>
      <c r="D5" s="6">
        <v>2.9999999924257281E-6</v>
      </c>
      <c r="E5" s="15">
        <v>9.75E-3</v>
      </c>
      <c r="F5" s="6">
        <v>126.915497</v>
      </c>
      <c r="G5" s="6"/>
      <c r="H5" s="11" t="s">
        <v>21</v>
      </c>
      <c r="I5" s="6">
        <v>127.16999799999999</v>
      </c>
      <c r="J5" s="11">
        <v>-2.0012424628644832E-3</v>
      </c>
      <c r="K5" s="6">
        <v>125.95338747499997</v>
      </c>
      <c r="L5" s="11">
        <v>7.6386395339385071E-3</v>
      </c>
      <c r="M5" s="6">
        <v>123.02521247499998</v>
      </c>
      <c r="N5" s="11">
        <v>3.1621872027171483E-2</v>
      </c>
      <c r="O5" s="6">
        <v>130.78999299999998</v>
      </c>
      <c r="P5" s="11">
        <v>-2.9623772515990465E-2</v>
      </c>
      <c r="Q5" s="6">
        <v>109.510002</v>
      </c>
      <c r="R5" s="11">
        <v>0.15893980168131128</v>
      </c>
      <c r="S5" s="18">
        <v>3.8999999999999998E-3</v>
      </c>
      <c r="T5" s="6" t="s">
        <v>798</v>
      </c>
    </row>
    <row r="6" spans="1:25">
      <c r="A6" s="1" t="s">
        <v>774</v>
      </c>
      <c r="B6" s="1" t="s">
        <v>788</v>
      </c>
      <c r="C6" s="5">
        <v>29.558</v>
      </c>
      <c r="D6" s="5">
        <v>1.0000000010279564E-6</v>
      </c>
      <c r="E6" s="14">
        <v>-3.2000000000000002E-3</v>
      </c>
      <c r="F6" s="5">
        <v>29.549999</v>
      </c>
      <c r="G6" s="5"/>
      <c r="H6" s="10" t="s">
        <v>21</v>
      </c>
      <c r="I6" s="5">
        <v>29.690001000000002</v>
      </c>
      <c r="J6" s="10">
        <v>-4.7154259105616214E-3</v>
      </c>
      <c r="K6" s="5">
        <v>29.581500125000009</v>
      </c>
      <c r="L6" s="10">
        <v>-1.0648589445059198E-3</v>
      </c>
      <c r="M6" s="5">
        <v>29.399166575000006</v>
      </c>
      <c r="N6" s="10">
        <v>5.1305340447391767E-3</v>
      </c>
      <c r="O6" s="5">
        <v>29.879998999999998</v>
      </c>
      <c r="P6" s="10">
        <v>-1.1044143609241663E-2</v>
      </c>
      <c r="Q6" s="5">
        <v>26.700001</v>
      </c>
      <c r="R6" s="10">
        <v>0.10674153158271427</v>
      </c>
      <c r="S6" s="17">
        <v>7.0000000000000001E-3</v>
      </c>
      <c r="T6" s="5" t="s">
        <v>799</v>
      </c>
    </row>
    <row r="7" spans="1:25">
      <c r="A7" s="2" t="s">
        <v>775</v>
      </c>
      <c r="B7" s="2" t="s">
        <v>789</v>
      </c>
      <c r="C7" s="6">
        <v>34</v>
      </c>
      <c r="D7" s="6">
        <v>0</v>
      </c>
      <c r="E7" s="15">
        <v>-4.3E-3</v>
      </c>
      <c r="F7" s="6">
        <v>34</v>
      </c>
      <c r="G7" s="6"/>
      <c r="H7" s="11" t="s">
        <v>21</v>
      </c>
      <c r="I7" s="6">
        <v>33.340000000000003</v>
      </c>
      <c r="J7" s="11">
        <v>1.9796040791841607E-2</v>
      </c>
      <c r="K7" s="6">
        <v>33.824000050000009</v>
      </c>
      <c r="L7" s="11">
        <v>5.2034043797251073E-3</v>
      </c>
      <c r="M7" s="6">
        <v>33.52099990833333</v>
      </c>
      <c r="N7" s="11">
        <v>1.4289552608112599E-2</v>
      </c>
      <c r="O7" s="6">
        <v>34.32</v>
      </c>
      <c r="P7" s="11">
        <v>-9.3240093240093413E-3</v>
      </c>
      <c r="Q7" s="6">
        <v>28.98</v>
      </c>
      <c r="R7" s="11">
        <v>0.17322291235334708</v>
      </c>
      <c r="S7" s="18">
        <v>7.0000000000000001E-3</v>
      </c>
      <c r="T7" s="6" t="s">
        <v>799</v>
      </c>
    </row>
    <row r="8" spans="1:25">
      <c r="A8" s="1" t="s">
        <v>776</v>
      </c>
      <c r="B8" s="1" t="s">
        <v>790</v>
      </c>
      <c r="C8" s="5">
        <v>38.915999999999997</v>
      </c>
      <c r="D8" s="5">
        <v>0</v>
      </c>
      <c r="E8" s="14">
        <v>1.4999999999999999E-4</v>
      </c>
      <c r="F8" s="5">
        <v>38.915999999999997</v>
      </c>
      <c r="G8" s="5"/>
      <c r="H8" s="10" t="s">
        <v>21</v>
      </c>
      <c r="I8" s="5">
        <v>38.720001000000003</v>
      </c>
      <c r="J8" s="10">
        <v>5.0619575138954875E-3</v>
      </c>
      <c r="K8" s="5">
        <v>38.702149874999996</v>
      </c>
      <c r="L8" s="10">
        <v>5.5255360668773346E-3</v>
      </c>
      <c r="M8" s="5">
        <v>39.221133225000017</v>
      </c>
      <c r="N8" s="10">
        <v>-7.7798166424606352E-3</v>
      </c>
      <c r="O8" s="5">
        <v>42.549999</v>
      </c>
      <c r="P8" s="10">
        <v>-8.5405383910819865E-2</v>
      </c>
      <c r="Q8" s="5">
        <v>38.459998999999996</v>
      </c>
      <c r="R8" s="10">
        <v>1.1856500568291795E-2</v>
      </c>
      <c r="S8" s="17">
        <v>6.4999999999999997E-3</v>
      </c>
      <c r="T8" s="5" t="s">
        <v>800</v>
      </c>
    </row>
    <row r="9" spans="1:25">
      <c r="A9" s="2" t="s">
        <v>777</v>
      </c>
      <c r="B9" s="2" t="s">
        <v>791</v>
      </c>
      <c r="C9" s="6">
        <v>30.788599999999999</v>
      </c>
      <c r="D9" s="6"/>
      <c r="E9" s="15">
        <v>2.6900000000000001E-3</v>
      </c>
      <c r="F9" s="6"/>
      <c r="G9" s="6"/>
      <c r="H9" s="11" t="s">
        <v>21</v>
      </c>
      <c r="I9" s="6"/>
      <c r="J9" s="11"/>
      <c r="K9" s="6"/>
      <c r="L9" s="11"/>
      <c r="M9" s="6"/>
      <c r="N9" s="11"/>
      <c r="O9" s="6"/>
      <c r="P9" s="11"/>
      <c r="Q9" s="6"/>
      <c r="R9" s="11"/>
      <c r="S9" s="18">
        <v>7.7000000000000002E-3</v>
      </c>
      <c r="T9" s="6" t="s">
        <v>801</v>
      </c>
    </row>
    <row r="10" spans="1:25">
      <c r="A10" s="1" t="s">
        <v>778</v>
      </c>
      <c r="B10" s="1" t="s">
        <v>792</v>
      </c>
      <c r="C10" s="5">
        <v>29.792100000000001</v>
      </c>
      <c r="D10" s="5">
        <v>-1.4700999999998743E-2</v>
      </c>
      <c r="E10" s="14">
        <v>-1.9400000000000001E-3</v>
      </c>
      <c r="F10" s="5">
        <v>29.806801</v>
      </c>
      <c r="G10" s="5"/>
      <c r="H10" s="10" t="s">
        <v>21</v>
      </c>
      <c r="I10" s="5">
        <v>29.639999</v>
      </c>
      <c r="J10" s="10">
        <v>5.1316128586913479E-3</v>
      </c>
      <c r="K10" s="5">
        <v>29.718669949999999</v>
      </c>
      <c r="L10" s="10">
        <v>2.4708390423779925E-3</v>
      </c>
      <c r="M10" s="5">
        <v>29.462473358333334</v>
      </c>
      <c r="N10" s="10">
        <v>1.118801662228508E-2</v>
      </c>
      <c r="O10" s="5">
        <v>29.9</v>
      </c>
      <c r="P10" s="10">
        <v>-3.6086956521738101E-3</v>
      </c>
      <c r="Q10" s="5">
        <v>28.42</v>
      </c>
      <c r="R10" s="10">
        <v>4.8279380717804354E-2</v>
      </c>
      <c r="S10" s="17">
        <v>9.7999999999999997E-3</v>
      </c>
      <c r="T10" s="5" t="s">
        <v>802</v>
      </c>
    </row>
    <row r="11" spans="1:25">
      <c r="A11" s="2" t="s">
        <v>779</v>
      </c>
      <c r="B11" s="2" t="s">
        <v>793</v>
      </c>
      <c r="C11" s="6">
        <v>25.907499999999999</v>
      </c>
      <c r="D11" s="6">
        <v>2.9699999999998283E-2</v>
      </c>
      <c r="E11" s="15">
        <v>3.7780000000000001E-3</v>
      </c>
      <c r="F11" s="6">
        <v>25.877800000000001</v>
      </c>
      <c r="G11" s="6"/>
      <c r="H11" s="11" t="s">
        <v>21</v>
      </c>
      <c r="I11" s="6">
        <v>25.91</v>
      </c>
      <c r="J11" s="11">
        <v>-9.6487842531911561E-5</v>
      </c>
      <c r="K11" s="6">
        <v>25.903594974999997</v>
      </c>
      <c r="L11" s="11">
        <v>1.5075224129201814E-4</v>
      </c>
      <c r="M11" s="6">
        <v>26.067515008333348</v>
      </c>
      <c r="N11" s="11">
        <v>-6.1384834067303995E-3</v>
      </c>
      <c r="O11" s="6">
        <v>26.375</v>
      </c>
      <c r="P11" s="11">
        <v>-1.7725118483412405E-2</v>
      </c>
      <c r="Q11" s="6">
        <v>25.193999999999999</v>
      </c>
      <c r="R11" s="11">
        <v>2.8320234976581649E-2</v>
      </c>
      <c r="S11" s="18">
        <v>8.5000000000000006E-3</v>
      </c>
      <c r="T11" s="6" t="s">
        <v>802</v>
      </c>
    </row>
    <row r="12" spans="1:25">
      <c r="A12" s="1" t="s">
        <v>780</v>
      </c>
      <c r="B12" s="1" t="s">
        <v>794</v>
      </c>
      <c r="C12" s="5">
        <v>25.63</v>
      </c>
      <c r="D12" s="5">
        <v>1.0000000010279564E-6</v>
      </c>
      <c r="E12" s="14">
        <v>3.8999999999999998E-3</v>
      </c>
      <c r="F12" s="5">
        <v>25.629998999999998</v>
      </c>
      <c r="G12" s="5"/>
      <c r="H12" s="10" t="s">
        <v>21</v>
      </c>
      <c r="I12" s="5">
        <v>25.52</v>
      </c>
      <c r="J12" s="10">
        <v>4.3103448275860767E-3</v>
      </c>
      <c r="K12" s="5">
        <v>25.613499975000003</v>
      </c>
      <c r="L12" s="10">
        <v>6.4419251629410645E-4</v>
      </c>
      <c r="M12" s="5">
        <v>26.279333300000008</v>
      </c>
      <c r="N12" s="10">
        <v>-2.4708895487847493E-2</v>
      </c>
      <c r="O12" s="5">
        <v>28.34</v>
      </c>
      <c r="P12" s="10">
        <v>-9.5624558927311254E-2</v>
      </c>
      <c r="Q12" s="5">
        <v>25.23</v>
      </c>
      <c r="R12" s="10">
        <v>1.5854141894569906E-2</v>
      </c>
      <c r="S12" s="17">
        <v>5.0000000000000001E-3</v>
      </c>
      <c r="T12" s="5" t="s">
        <v>191</v>
      </c>
    </row>
    <row r="13" spans="1:25">
      <c r="A13" s="2" t="s">
        <v>781</v>
      </c>
      <c r="B13" s="2" t="s">
        <v>795</v>
      </c>
      <c r="C13" s="6">
        <v>19.13</v>
      </c>
      <c r="D13" s="6">
        <v>1.0000000010279564E-6</v>
      </c>
      <c r="E13" s="15">
        <v>-5.7000000000000002E-3</v>
      </c>
      <c r="F13" s="6">
        <v>19.129998999999998</v>
      </c>
      <c r="G13" s="6"/>
      <c r="H13" s="11" t="s">
        <v>21</v>
      </c>
      <c r="I13" s="6">
        <v>19.129998999999998</v>
      </c>
      <c r="J13" s="11">
        <v>5.2273918083045601E-8</v>
      </c>
      <c r="K13" s="6">
        <v>19.074749799999996</v>
      </c>
      <c r="L13" s="11">
        <v>2.8965098142468282E-3</v>
      </c>
      <c r="M13" s="6">
        <v>18.754249916666662</v>
      </c>
      <c r="N13" s="11">
        <v>2.0035463161841127E-2</v>
      </c>
      <c r="O13" s="6">
        <v>19.350000000000001</v>
      </c>
      <c r="P13" s="11">
        <v>-1.136950904392775E-2</v>
      </c>
      <c r="Q13" s="6">
        <v>17.219998999999998</v>
      </c>
      <c r="R13" s="11">
        <v>0.11091760226002334</v>
      </c>
      <c r="S13" s="18">
        <v>5.4999999999999997E-3</v>
      </c>
      <c r="T13" s="6" t="s">
        <v>191</v>
      </c>
    </row>
    <row r="14" spans="1:25">
      <c r="A14" s="1" t="s">
        <v>782</v>
      </c>
      <c r="B14" s="1" t="s">
        <v>796</v>
      </c>
      <c r="C14" s="5">
        <v>18.850999999999999</v>
      </c>
      <c r="D14" s="5">
        <v>0</v>
      </c>
      <c r="E14" s="14">
        <v>-9.9299999999999996E-3</v>
      </c>
      <c r="F14" s="5">
        <v>18.850999999999999</v>
      </c>
      <c r="G14" s="5"/>
      <c r="H14" s="10" t="s">
        <v>21</v>
      </c>
      <c r="I14" s="5">
        <v>18.790001</v>
      </c>
      <c r="J14" s="10">
        <v>3.2463542710827742E-3</v>
      </c>
      <c r="K14" s="5">
        <v>18.913275125000006</v>
      </c>
      <c r="L14" s="10">
        <v>-3.2926674300681746E-3</v>
      </c>
      <c r="M14" s="5">
        <v>18.398591691666663</v>
      </c>
      <c r="N14" s="10">
        <v>2.4589290088884663E-2</v>
      </c>
      <c r="O14" s="5">
        <v>19.32</v>
      </c>
      <c r="P14" s="10">
        <v>-2.4275362318840643E-2</v>
      </c>
      <c r="Q14" s="5">
        <v>15.88</v>
      </c>
      <c r="R14" s="10">
        <v>0.18709068010075547</v>
      </c>
      <c r="S14" s="17">
        <v>4.4999999999999997E-3</v>
      </c>
      <c r="T14" s="5" t="s">
        <v>803</v>
      </c>
    </row>
    <row r="15" spans="1:25">
      <c r="A15" s="2" t="s">
        <v>783</v>
      </c>
      <c r="B15" s="2" t="s">
        <v>797</v>
      </c>
      <c r="C15" s="6">
        <v>25.49</v>
      </c>
      <c r="D15" s="6">
        <v>0</v>
      </c>
      <c r="E15" s="15">
        <v>-1.0500000000000001E-2</v>
      </c>
      <c r="F15" s="6">
        <v>25.49</v>
      </c>
      <c r="G15" s="6"/>
      <c r="H15" s="11" t="s">
        <v>21</v>
      </c>
      <c r="I15" s="6">
        <v>25.42</v>
      </c>
      <c r="J15" s="11">
        <v>2.7537372147914407E-3</v>
      </c>
      <c r="K15" s="6">
        <v>25.439500000000002</v>
      </c>
      <c r="L15" s="11">
        <v>1.9851019084493604E-3</v>
      </c>
      <c r="M15" s="6">
        <v>24.784999966666671</v>
      </c>
      <c r="N15" s="11">
        <v>2.8444625147528102E-2</v>
      </c>
      <c r="O15" s="6">
        <v>26.07</v>
      </c>
      <c r="P15" s="11">
        <v>-2.2247794399693155E-2</v>
      </c>
      <c r="Q15" s="6">
        <v>23.25</v>
      </c>
      <c r="R15" s="11">
        <v>9.6344086021505237E-2</v>
      </c>
      <c r="S15" s="18">
        <v>4.4999999999999997E-3</v>
      </c>
      <c r="T15" s="6" t="s">
        <v>803</v>
      </c>
    </row>
    <row r="16" spans="1:25">
      <c r="A16" s="1"/>
      <c r="B16" s="1"/>
      <c r="C16" s="5"/>
      <c r="D16" s="5"/>
      <c r="E16" s="14"/>
      <c r="F16" s="5"/>
      <c r="G16" s="5"/>
      <c r="H16" s="10"/>
      <c r="I16" s="5"/>
      <c r="J16" s="10"/>
      <c r="K16" s="5"/>
      <c r="L16" s="10"/>
      <c r="M16" s="5"/>
      <c r="N16" s="10"/>
      <c r="O16" s="5"/>
      <c r="P16" s="10"/>
      <c r="Q16" s="5"/>
      <c r="R16" s="10"/>
      <c r="S16" s="17"/>
      <c r="T16" s="5"/>
    </row>
    <row r="17" spans="1:20">
      <c r="A17" s="2"/>
      <c r="B17" s="2"/>
      <c r="C17" s="6"/>
      <c r="D17" s="6"/>
      <c r="E17" s="15"/>
      <c r="F17" s="6"/>
      <c r="G17" s="6"/>
      <c r="H17" s="11"/>
      <c r="I17" s="6"/>
      <c r="J17" s="11"/>
      <c r="K17" s="6"/>
      <c r="L17" s="11"/>
      <c r="M17" s="6"/>
      <c r="N17" s="11"/>
      <c r="O17" s="6"/>
      <c r="P17" s="11"/>
      <c r="Q17" s="6"/>
      <c r="R17" s="11"/>
      <c r="S17" s="18"/>
      <c r="T17" s="6"/>
    </row>
    <row r="18" spans="1:20">
      <c r="A18" s="1"/>
      <c r="B18" s="1"/>
      <c r="C18" s="5"/>
      <c r="D18" s="5"/>
      <c r="E18" s="14"/>
      <c r="F18" s="5"/>
      <c r="G18" s="5"/>
      <c r="H18" s="10"/>
      <c r="I18" s="5"/>
      <c r="J18" s="10"/>
      <c r="K18" s="5"/>
      <c r="L18" s="10"/>
      <c r="M18" s="5"/>
      <c r="N18" s="10"/>
      <c r="O18" s="5"/>
      <c r="P18" s="10"/>
      <c r="Q18" s="5"/>
      <c r="R18" s="10"/>
      <c r="S18" s="17"/>
      <c r="T18" s="5"/>
    </row>
    <row r="19" spans="1:20">
      <c r="A19" s="2"/>
      <c r="B19" s="2"/>
      <c r="C19" s="6"/>
      <c r="D19" s="6"/>
      <c r="E19" s="15"/>
      <c r="F19" s="6"/>
      <c r="G19" s="6"/>
      <c r="H19" s="11"/>
      <c r="I19" s="6"/>
      <c r="J19" s="11"/>
      <c r="K19" s="6"/>
      <c r="L19" s="11"/>
      <c r="M19" s="6"/>
      <c r="N19" s="11"/>
      <c r="O19" s="6"/>
      <c r="P19" s="11"/>
      <c r="Q19" s="6"/>
      <c r="R19" s="11"/>
      <c r="S19" s="18"/>
      <c r="T19" s="6"/>
    </row>
    <row r="20" spans="1:20">
      <c r="A20" s="1"/>
      <c r="B20" s="1"/>
      <c r="C20" s="5"/>
      <c r="D20" s="5"/>
      <c r="E20" s="14"/>
      <c r="F20" s="5"/>
      <c r="G20" s="5"/>
      <c r="H20" s="10"/>
      <c r="I20" s="5"/>
      <c r="J20" s="10"/>
      <c r="K20" s="5"/>
      <c r="L20" s="10"/>
      <c r="M20" s="5"/>
      <c r="N20" s="10"/>
      <c r="O20" s="5"/>
      <c r="P20" s="10"/>
      <c r="Q20" s="5"/>
      <c r="R20" s="10"/>
      <c r="S20" s="17"/>
      <c r="T20" s="5"/>
    </row>
    <row r="21" spans="1:20">
      <c r="A21" s="2"/>
      <c r="B21" s="2"/>
      <c r="C21" s="6"/>
      <c r="D21" s="6"/>
      <c r="E21" s="15"/>
      <c r="F21" s="6"/>
      <c r="G21" s="6"/>
      <c r="H21" s="11"/>
      <c r="I21" s="6"/>
      <c r="J21" s="11"/>
      <c r="K21" s="6"/>
      <c r="L21" s="11"/>
      <c r="M21" s="6"/>
      <c r="N21" s="11"/>
      <c r="O21" s="6"/>
      <c r="P21" s="11"/>
      <c r="Q21" s="6"/>
      <c r="R21" s="11"/>
      <c r="S21" s="18"/>
      <c r="T21" s="6"/>
    </row>
    <row r="22" spans="1:20">
      <c r="A22" s="1"/>
      <c r="B22" s="1"/>
      <c r="C22" s="5"/>
      <c r="D22" s="5"/>
      <c r="E22" s="14"/>
      <c r="F22" s="5"/>
      <c r="G22" s="5"/>
      <c r="H22" s="10"/>
      <c r="I22" s="5"/>
      <c r="J22" s="10"/>
      <c r="K22" s="5"/>
      <c r="L22" s="10"/>
      <c r="M22" s="5"/>
      <c r="N22" s="10"/>
      <c r="O22" s="5"/>
      <c r="P22" s="10"/>
      <c r="Q22" s="5"/>
      <c r="R22" s="10"/>
      <c r="S22" s="17"/>
      <c r="T22" s="5"/>
    </row>
    <row r="23" spans="1:20">
      <c r="A23" s="2"/>
      <c r="B23" s="2"/>
      <c r="C23" s="6"/>
      <c r="D23" s="6"/>
      <c r="E23" s="15"/>
      <c r="F23" s="6"/>
      <c r="G23" s="6"/>
      <c r="H23" s="11"/>
      <c r="I23" s="6"/>
      <c r="J23" s="11"/>
      <c r="K23" s="6"/>
      <c r="L23" s="11"/>
      <c r="M23" s="6"/>
      <c r="N23" s="11"/>
      <c r="O23" s="6"/>
      <c r="P23" s="11"/>
      <c r="Q23" s="6"/>
      <c r="R23" s="11"/>
      <c r="S23" s="18"/>
      <c r="T23" s="6"/>
    </row>
    <row r="24" spans="1:20">
      <c r="A24" s="1"/>
      <c r="B24" s="1"/>
      <c r="C24" s="5"/>
      <c r="D24" s="5"/>
      <c r="E24" s="14"/>
      <c r="F24" s="5"/>
      <c r="G24" s="5"/>
      <c r="H24" s="10"/>
      <c r="I24" s="5"/>
      <c r="J24" s="10"/>
      <c r="K24" s="5"/>
      <c r="L24" s="10"/>
      <c r="M24" s="5"/>
      <c r="N24" s="10"/>
      <c r="O24" s="5"/>
      <c r="P24" s="10"/>
      <c r="Q24" s="5"/>
      <c r="R24" s="10"/>
      <c r="S24" s="17"/>
      <c r="T24" s="5"/>
    </row>
    <row r="25" spans="1:20">
      <c r="A25" s="2"/>
      <c r="B25" s="2"/>
      <c r="C25" s="6"/>
      <c r="D25" s="6"/>
      <c r="E25" s="15"/>
      <c r="F25" s="6"/>
      <c r="G25" s="6"/>
      <c r="H25" s="11"/>
      <c r="I25" s="6"/>
      <c r="J25" s="11"/>
      <c r="K25" s="6"/>
      <c r="L25" s="11"/>
      <c r="M25" s="6"/>
      <c r="N25" s="11"/>
      <c r="O25" s="6"/>
      <c r="P25" s="11"/>
      <c r="Q25" s="6"/>
      <c r="R25" s="11"/>
      <c r="S25" s="18"/>
      <c r="T25" s="6"/>
    </row>
    <row r="26" spans="1:20">
      <c r="A26" s="1"/>
      <c r="B26" s="1"/>
      <c r="C26" s="5"/>
      <c r="D26" s="5"/>
      <c r="E26" s="14"/>
      <c r="F26" s="5"/>
      <c r="G26" s="5"/>
      <c r="H26" s="10"/>
      <c r="I26" s="5"/>
      <c r="J26" s="10"/>
      <c r="K26" s="5"/>
      <c r="L26" s="10"/>
      <c r="M26" s="5"/>
      <c r="N26" s="10"/>
      <c r="O26" s="5"/>
      <c r="P26" s="10"/>
      <c r="Q26" s="5"/>
      <c r="R26" s="10"/>
      <c r="S26" s="17"/>
      <c r="T26" s="5"/>
    </row>
    <row r="27" spans="1:20">
      <c r="A27" s="2"/>
      <c r="B27" s="2"/>
      <c r="C27" s="6"/>
      <c r="D27" s="6"/>
      <c r="E27" s="15"/>
      <c r="F27" s="6"/>
      <c r="G27" s="6"/>
      <c r="H27" s="11"/>
      <c r="I27" s="6"/>
      <c r="J27" s="11"/>
      <c r="K27" s="6"/>
      <c r="L27" s="11"/>
      <c r="M27" s="6"/>
      <c r="N27" s="11"/>
      <c r="O27" s="6"/>
      <c r="P27" s="11"/>
      <c r="Q27" s="6"/>
      <c r="R27" s="11"/>
      <c r="S27" s="18"/>
      <c r="T27" s="6"/>
    </row>
    <row r="28" spans="1:20">
      <c r="A28" s="1"/>
      <c r="B28" s="1"/>
      <c r="C28" s="5"/>
      <c r="D28" s="5"/>
      <c r="E28" s="14"/>
      <c r="F28" s="5"/>
      <c r="G28" s="5"/>
      <c r="H28" s="10"/>
      <c r="I28" s="5"/>
      <c r="J28" s="10"/>
      <c r="K28" s="5"/>
      <c r="L28" s="10"/>
      <c r="M28" s="5"/>
      <c r="N28" s="10"/>
      <c r="O28" s="5"/>
      <c r="P28" s="10"/>
      <c r="Q28" s="5"/>
      <c r="R28" s="10"/>
      <c r="S28" s="17"/>
      <c r="T28" s="5"/>
    </row>
    <row r="29" spans="1:20">
      <c r="A29" s="2"/>
      <c r="B29" s="2"/>
      <c r="C29" s="6"/>
      <c r="D29" s="6"/>
      <c r="E29" s="15"/>
      <c r="F29" s="6"/>
      <c r="G29" s="6"/>
      <c r="H29" s="11"/>
      <c r="I29" s="6"/>
      <c r="J29" s="11"/>
      <c r="K29" s="6"/>
      <c r="L29" s="11"/>
      <c r="M29" s="6"/>
      <c r="N29" s="11"/>
      <c r="O29" s="6"/>
      <c r="P29" s="11"/>
      <c r="Q29" s="6"/>
      <c r="R29" s="11"/>
      <c r="S29" s="18"/>
      <c r="T29" s="6"/>
    </row>
    <row r="30" spans="1:20">
      <c r="A30" s="1"/>
      <c r="B30" s="1"/>
      <c r="C30" s="5"/>
      <c r="D30" s="5"/>
      <c r="E30" s="14"/>
      <c r="F30" s="5"/>
      <c r="G30" s="5"/>
      <c r="H30" s="10"/>
      <c r="I30" s="5"/>
      <c r="J30" s="10"/>
      <c r="K30" s="5"/>
      <c r="L30" s="10"/>
      <c r="M30" s="5"/>
      <c r="N30" s="10"/>
      <c r="O30" s="5"/>
      <c r="P30" s="10"/>
      <c r="Q30" s="5"/>
      <c r="R30" s="10"/>
      <c r="S30" s="17"/>
      <c r="T30" s="5"/>
    </row>
    <row r="31" spans="1:20">
      <c r="A31" s="2"/>
      <c r="B31" s="2"/>
      <c r="C31" s="6"/>
      <c r="D31" s="6"/>
      <c r="E31" s="15"/>
      <c r="F31" s="6"/>
      <c r="G31" s="6"/>
      <c r="H31" s="11"/>
      <c r="I31" s="6"/>
      <c r="J31" s="11"/>
      <c r="K31" s="6"/>
      <c r="L31" s="11"/>
      <c r="M31" s="6"/>
      <c r="N31" s="11"/>
      <c r="O31" s="6"/>
      <c r="P31" s="11"/>
      <c r="Q31" s="6"/>
      <c r="R31" s="11"/>
      <c r="S31" s="18"/>
      <c r="T31" s="6"/>
    </row>
    <row r="32" spans="1:20">
      <c r="A32" s="1"/>
      <c r="B32" s="1"/>
      <c r="C32" s="5"/>
      <c r="D32" s="5"/>
      <c r="E32" s="14"/>
      <c r="F32" s="5"/>
      <c r="G32" s="5"/>
      <c r="H32" s="10"/>
      <c r="I32" s="5"/>
      <c r="J32" s="10"/>
      <c r="K32" s="5"/>
      <c r="L32" s="10"/>
      <c r="M32" s="5"/>
      <c r="N32" s="10"/>
      <c r="O32" s="5"/>
      <c r="P32" s="10"/>
      <c r="Q32" s="5"/>
      <c r="R32" s="10"/>
      <c r="S32" s="17"/>
      <c r="T32" s="5"/>
    </row>
    <row r="33" spans="1:20">
      <c r="A33" s="2"/>
      <c r="B33" s="2"/>
      <c r="C33" s="6"/>
      <c r="D33" s="6"/>
      <c r="E33" s="15"/>
      <c r="F33" s="6"/>
      <c r="G33" s="6"/>
      <c r="H33" s="11"/>
      <c r="I33" s="6"/>
      <c r="J33" s="11"/>
      <c r="K33" s="6"/>
      <c r="L33" s="11"/>
      <c r="M33" s="6"/>
      <c r="N33" s="11"/>
      <c r="O33" s="6"/>
      <c r="P33" s="11"/>
      <c r="Q33" s="6"/>
      <c r="R33" s="11"/>
      <c r="S33" s="18"/>
      <c r="T33" s="6"/>
    </row>
    <row r="34" spans="1:20">
      <c r="A34" s="1"/>
      <c r="B34" s="1"/>
      <c r="C34" s="5"/>
      <c r="D34" s="5"/>
      <c r="E34" s="14"/>
      <c r="F34" s="5"/>
      <c r="G34" s="5"/>
      <c r="H34" s="10"/>
      <c r="I34" s="5"/>
      <c r="J34" s="10"/>
      <c r="K34" s="5"/>
      <c r="L34" s="10"/>
      <c r="M34" s="5"/>
      <c r="N34" s="10"/>
      <c r="O34" s="5"/>
      <c r="P34" s="10"/>
      <c r="Q34" s="5"/>
      <c r="R34" s="10"/>
      <c r="S34" s="17"/>
      <c r="T34" s="5"/>
    </row>
    <row r="35" spans="1:20">
      <c r="A35" s="2"/>
      <c r="B35" s="2"/>
      <c r="C35" s="6"/>
      <c r="D35" s="6"/>
      <c r="E35" s="15"/>
      <c r="F35" s="6"/>
      <c r="G35" s="6"/>
      <c r="H35" s="11"/>
      <c r="I35" s="6"/>
      <c r="J35" s="11"/>
      <c r="K35" s="6"/>
      <c r="L35" s="11"/>
      <c r="M35" s="6"/>
      <c r="N35" s="11"/>
      <c r="O35" s="6"/>
      <c r="P35" s="11"/>
      <c r="Q35" s="6"/>
      <c r="R35" s="11"/>
      <c r="S35" s="18"/>
      <c r="T35" s="6"/>
    </row>
    <row r="36" spans="1:20">
      <c r="A36" s="1"/>
      <c r="B36" s="1"/>
      <c r="C36" s="5"/>
      <c r="D36" s="5"/>
      <c r="E36" s="14"/>
      <c r="F36" s="5"/>
      <c r="G36" s="5"/>
      <c r="H36" s="10"/>
      <c r="I36" s="5"/>
      <c r="J36" s="10"/>
      <c r="K36" s="5"/>
      <c r="L36" s="10"/>
      <c r="M36" s="5"/>
      <c r="N36" s="10"/>
      <c r="O36" s="5"/>
      <c r="P36" s="10"/>
      <c r="Q36" s="5"/>
      <c r="R36" s="10"/>
      <c r="S36" s="17"/>
      <c r="T36" s="5"/>
    </row>
    <row r="37" spans="1:20">
      <c r="A37" s="2"/>
      <c r="B37" s="2"/>
      <c r="C37" s="6"/>
      <c r="D37" s="6"/>
      <c r="E37" s="15"/>
      <c r="F37" s="6"/>
      <c r="G37" s="6"/>
      <c r="H37" s="11"/>
      <c r="I37" s="6"/>
      <c r="J37" s="11"/>
      <c r="K37" s="6"/>
      <c r="L37" s="11"/>
      <c r="M37" s="6"/>
      <c r="N37" s="11"/>
      <c r="O37" s="6"/>
      <c r="P37" s="11"/>
      <c r="Q37" s="6"/>
      <c r="R37" s="11"/>
      <c r="S37" s="18"/>
      <c r="T37" s="6"/>
    </row>
    <row r="38" spans="1:20">
      <c r="A38" s="1"/>
      <c r="B38" s="1"/>
      <c r="C38" s="5"/>
      <c r="D38" s="5"/>
      <c r="E38" s="14"/>
      <c r="F38" s="5"/>
      <c r="G38" s="5"/>
      <c r="H38" s="10"/>
      <c r="I38" s="5"/>
      <c r="J38" s="10"/>
      <c r="K38" s="5"/>
      <c r="L38" s="10"/>
      <c r="M38" s="5"/>
      <c r="N38" s="10"/>
      <c r="O38" s="5"/>
      <c r="P38" s="10"/>
      <c r="Q38" s="5"/>
      <c r="R38" s="10"/>
      <c r="S38" s="17"/>
      <c r="T38" s="5"/>
    </row>
    <row r="39" spans="1:20">
      <c r="A39" s="2"/>
      <c r="B39" s="2"/>
      <c r="C39" s="6"/>
      <c r="D39" s="6"/>
      <c r="E39" s="15"/>
      <c r="F39" s="6"/>
      <c r="G39" s="6"/>
      <c r="H39" s="11"/>
      <c r="I39" s="6"/>
      <c r="J39" s="11"/>
      <c r="K39" s="6"/>
      <c r="L39" s="11"/>
      <c r="M39" s="6"/>
      <c r="N39" s="11"/>
      <c r="O39" s="6"/>
      <c r="P39" s="11"/>
      <c r="Q39" s="6"/>
      <c r="R39" s="11"/>
      <c r="S39" s="18"/>
      <c r="T39" s="6"/>
    </row>
    <row r="40" spans="1:20">
      <c r="A40" s="1"/>
      <c r="B40" s="1"/>
      <c r="C40" s="5"/>
      <c r="D40" s="5"/>
      <c r="E40" s="14"/>
      <c r="F40" s="5"/>
      <c r="G40" s="5"/>
      <c r="H40" s="10"/>
      <c r="I40" s="5"/>
      <c r="J40" s="10"/>
      <c r="K40" s="5"/>
      <c r="L40" s="10"/>
      <c r="M40" s="5"/>
      <c r="N40" s="10"/>
      <c r="O40" s="5"/>
      <c r="P40" s="10"/>
      <c r="Q40" s="5"/>
      <c r="R40" s="10"/>
      <c r="S40" s="17"/>
      <c r="T40" s="5"/>
    </row>
    <row r="41" spans="1:20">
      <c r="A41" s="2"/>
      <c r="B41" s="2"/>
      <c r="C41" s="6"/>
      <c r="D41" s="6"/>
      <c r="E41" s="15"/>
      <c r="F41" s="6"/>
      <c r="G41" s="6"/>
      <c r="H41" s="11"/>
      <c r="I41" s="6"/>
      <c r="J41" s="11"/>
      <c r="K41" s="6"/>
      <c r="L41" s="11"/>
      <c r="M41" s="6"/>
      <c r="N41" s="11"/>
      <c r="O41" s="6"/>
      <c r="P41" s="11"/>
      <c r="Q41" s="6"/>
      <c r="R41" s="11"/>
      <c r="S41" s="18"/>
      <c r="T41" s="6"/>
    </row>
    <row r="42" spans="1:20">
      <c r="A42" s="1"/>
      <c r="B42" s="1"/>
      <c r="C42" s="5"/>
      <c r="D42" s="5"/>
      <c r="E42" s="14"/>
      <c r="F42" s="5"/>
      <c r="G42" s="5"/>
      <c r="H42" s="10"/>
      <c r="I42" s="5"/>
      <c r="J42" s="10"/>
      <c r="K42" s="5"/>
      <c r="L42" s="10"/>
      <c r="M42" s="5"/>
      <c r="N42" s="10"/>
      <c r="O42" s="5"/>
      <c r="P42" s="10"/>
      <c r="Q42" s="5"/>
      <c r="R42" s="10"/>
      <c r="S42" s="17"/>
      <c r="T42" s="5"/>
    </row>
    <row r="43" spans="1:20">
      <c r="A43" s="2"/>
      <c r="B43" s="2"/>
      <c r="C43" s="6"/>
      <c r="D43" s="6"/>
      <c r="E43" s="15"/>
      <c r="F43" s="6"/>
      <c r="G43" s="6"/>
      <c r="H43" s="11"/>
      <c r="I43" s="6"/>
      <c r="J43" s="11"/>
      <c r="K43" s="6"/>
      <c r="L43" s="11"/>
      <c r="M43" s="6"/>
      <c r="N43" s="11"/>
      <c r="O43" s="6"/>
      <c r="P43" s="11"/>
      <c r="Q43" s="6"/>
      <c r="R43" s="11"/>
      <c r="S43" s="18"/>
      <c r="T43" s="6"/>
    </row>
    <row r="44" spans="1:20">
      <c r="A44" s="1"/>
      <c r="B44" s="1"/>
      <c r="C44" s="5"/>
      <c r="D44" s="5"/>
      <c r="E44" s="14"/>
      <c r="F44" s="5"/>
      <c r="G44" s="5"/>
      <c r="H44" s="10"/>
      <c r="I44" s="5"/>
      <c r="J44" s="10"/>
      <c r="K44" s="5"/>
      <c r="L44" s="10"/>
      <c r="M44" s="5"/>
      <c r="N44" s="10"/>
      <c r="O44" s="5"/>
      <c r="P44" s="10"/>
      <c r="Q44" s="5"/>
      <c r="R44" s="10"/>
      <c r="S44" s="17"/>
      <c r="T44" s="5"/>
    </row>
    <row r="45" spans="1:20">
      <c r="A45" s="2"/>
      <c r="B45" s="2"/>
      <c r="C45" s="6"/>
      <c r="D45" s="6"/>
      <c r="E45" s="15"/>
      <c r="F45" s="6"/>
      <c r="G45" s="6"/>
      <c r="H45" s="11"/>
      <c r="I45" s="6"/>
      <c r="J45" s="11"/>
      <c r="K45" s="6"/>
      <c r="L45" s="11"/>
      <c r="M45" s="6"/>
      <c r="N45" s="11"/>
      <c r="O45" s="6"/>
      <c r="P45" s="11"/>
      <c r="Q45" s="6"/>
      <c r="R45" s="11"/>
      <c r="S45" s="18"/>
      <c r="T45" s="6"/>
    </row>
    <row r="46" spans="1:20">
      <c r="A46" s="1"/>
      <c r="B46" s="1"/>
      <c r="C46" s="5"/>
      <c r="D46" s="5"/>
      <c r="E46" s="14"/>
      <c r="F46" s="5"/>
      <c r="G46" s="5"/>
      <c r="H46" s="10"/>
      <c r="I46" s="5"/>
      <c r="J46" s="10"/>
      <c r="K46" s="5"/>
      <c r="L46" s="10"/>
      <c r="M46" s="5"/>
      <c r="N46" s="10"/>
      <c r="O46" s="5"/>
      <c r="P46" s="10"/>
      <c r="Q46" s="5"/>
      <c r="R46" s="10"/>
      <c r="S46" s="17"/>
      <c r="T46" s="5"/>
    </row>
    <row r="47" spans="1:20">
      <c r="A47" s="2"/>
      <c r="B47" s="2"/>
      <c r="C47" s="6"/>
      <c r="D47" s="6"/>
      <c r="E47" s="15"/>
      <c r="F47" s="6"/>
      <c r="G47" s="6"/>
      <c r="H47" s="11"/>
      <c r="I47" s="6"/>
      <c r="J47" s="11"/>
      <c r="K47" s="6"/>
      <c r="L47" s="11"/>
      <c r="M47" s="6"/>
      <c r="N47" s="11"/>
      <c r="O47" s="6"/>
      <c r="P47" s="11"/>
      <c r="Q47" s="6"/>
      <c r="R47" s="11"/>
      <c r="S47" s="18"/>
      <c r="T47" s="6"/>
    </row>
    <row r="48" spans="1:20">
      <c r="A48" s="1"/>
      <c r="B48" s="1"/>
      <c r="C48" s="5"/>
      <c r="D48" s="5"/>
      <c r="E48" s="14"/>
      <c r="F48" s="5"/>
      <c r="G48" s="5"/>
      <c r="H48" s="10"/>
      <c r="I48" s="5"/>
      <c r="J48" s="10"/>
      <c r="K48" s="5"/>
      <c r="L48" s="10"/>
      <c r="M48" s="5"/>
      <c r="N48" s="10"/>
      <c r="O48" s="5"/>
      <c r="P48" s="10"/>
      <c r="Q48" s="5"/>
      <c r="R48" s="10"/>
      <c r="S48" s="17"/>
      <c r="T48" s="5"/>
    </row>
    <row r="49" spans="1:20">
      <c r="A49" s="2"/>
      <c r="B49" s="2"/>
      <c r="C49" s="6"/>
      <c r="D49" s="6"/>
      <c r="E49" s="15"/>
      <c r="F49" s="6"/>
      <c r="G49" s="6"/>
      <c r="H49" s="11"/>
      <c r="I49" s="6"/>
      <c r="J49" s="11"/>
      <c r="K49" s="6"/>
      <c r="L49" s="11"/>
      <c r="M49" s="6"/>
      <c r="N49" s="11"/>
      <c r="O49" s="6"/>
      <c r="P49" s="11"/>
      <c r="Q49" s="6"/>
      <c r="R49" s="11"/>
      <c r="S49" s="18"/>
      <c r="T49" s="6"/>
    </row>
    <row r="50" spans="1:20">
      <c r="A50" s="1"/>
      <c r="B50" s="1"/>
      <c r="C50" s="5"/>
      <c r="D50" s="5"/>
      <c r="E50" s="14"/>
      <c r="F50" s="5"/>
      <c r="G50" s="5"/>
      <c r="H50" s="10"/>
      <c r="I50" s="5"/>
      <c r="J50" s="10"/>
      <c r="K50" s="5"/>
      <c r="L50" s="10"/>
      <c r="M50" s="5"/>
      <c r="N50" s="10"/>
      <c r="O50" s="5"/>
      <c r="P50" s="10"/>
      <c r="Q50" s="5"/>
      <c r="R50" s="10"/>
      <c r="S50" s="17"/>
      <c r="T50" s="5"/>
    </row>
    <row r="51" spans="1:20">
      <c r="A51" s="2"/>
      <c r="B51" s="2"/>
      <c r="C51" s="6"/>
      <c r="D51" s="6"/>
      <c r="E51" s="15"/>
      <c r="F51" s="6"/>
      <c r="G51" s="6"/>
      <c r="H51" s="11"/>
      <c r="I51" s="6"/>
      <c r="J51" s="11"/>
      <c r="K51" s="6"/>
      <c r="L51" s="11"/>
      <c r="M51" s="6"/>
      <c r="N51" s="11"/>
      <c r="O51" s="6"/>
      <c r="P51" s="11"/>
      <c r="Q51" s="6"/>
      <c r="R51" s="11"/>
      <c r="S51" s="18"/>
      <c r="T51" s="6"/>
    </row>
    <row r="52" spans="1:20">
      <c r="A52" s="1"/>
      <c r="B52" s="1"/>
      <c r="C52" s="5"/>
      <c r="D52" s="5"/>
      <c r="E52" s="14"/>
      <c r="F52" s="5"/>
      <c r="G52" s="5"/>
      <c r="H52" s="10"/>
      <c r="I52" s="5"/>
      <c r="J52" s="10"/>
      <c r="K52" s="5"/>
      <c r="L52" s="10"/>
      <c r="M52" s="5"/>
      <c r="N52" s="10"/>
      <c r="O52" s="5"/>
      <c r="P52" s="10"/>
      <c r="Q52" s="5"/>
      <c r="R52" s="10"/>
      <c r="S52" s="17"/>
      <c r="T52" s="5"/>
    </row>
    <row r="53" spans="1:20">
      <c r="A53" s="2"/>
      <c r="B53" s="2"/>
      <c r="C53" s="6"/>
      <c r="D53" s="6"/>
      <c r="E53" s="15"/>
      <c r="F53" s="6"/>
      <c r="G53" s="6"/>
      <c r="H53" s="11"/>
      <c r="I53" s="6"/>
      <c r="J53" s="11"/>
      <c r="K53" s="6"/>
      <c r="L53" s="11"/>
      <c r="M53" s="6"/>
      <c r="N53" s="11"/>
      <c r="O53" s="6"/>
      <c r="P53" s="11"/>
      <c r="Q53" s="6"/>
      <c r="R53" s="11"/>
      <c r="S53" s="18"/>
      <c r="T53" s="6"/>
    </row>
    <row r="54" spans="1:20">
      <c r="A54" s="1"/>
      <c r="B54" s="1"/>
      <c r="C54" s="5"/>
      <c r="D54" s="5"/>
      <c r="E54" s="14"/>
      <c r="F54" s="5"/>
      <c r="G54" s="5"/>
      <c r="H54" s="10"/>
      <c r="I54" s="5"/>
      <c r="J54" s="10"/>
      <c r="K54" s="5"/>
      <c r="L54" s="10"/>
      <c r="M54" s="5"/>
      <c r="N54" s="10"/>
      <c r="O54" s="5"/>
      <c r="P54" s="10"/>
      <c r="Q54" s="5"/>
      <c r="R54" s="10"/>
      <c r="S54" s="5"/>
      <c r="T54" s="5"/>
    </row>
    <row r="55" spans="1:20">
      <c r="A55" s="2"/>
      <c r="B55" s="2"/>
      <c r="C55" s="6"/>
      <c r="D55" s="6"/>
      <c r="E55" s="15"/>
      <c r="F55" s="6"/>
      <c r="G55" s="6"/>
      <c r="H55" s="11"/>
      <c r="I55" s="6"/>
      <c r="J55" s="11"/>
      <c r="K55" s="6"/>
      <c r="L55" s="11"/>
      <c r="M55" s="6"/>
      <c r="N55" s="11"/>
      <c r="O55" s="6"/>
      <c r="P55" s="11"/>
      <c r="Q55" s="6"/>
      <c r="R55" s="11"/>
      <c r="S55" s="6"/>
      <c r="T55" s="6"/>
    </row>
    <row r="56" spans="1:20">
      <c r="A56" s="1"/>
      <c r="B56" s="1"/>
      <c r="C56" s="5"/>
      <c r="D56" s="5"/>
      <c r="E56" s="14"/>
      <c r="F56" s="5"/>
      <c r="G56" s="5"/>
      <c r="H56" s="10"/>
      <c r="I56" s="5"/>
      <c r="J56" s="10"/>
      <c r="K56" s="5"/>
      <c r="L56" s="10"/>
      <c r="M56" s="5"/>
      <c r="N56" s="10"/>
      <c r="O56" s="5"/>
      <c r="P56" s="10"/>
      <c r="Q56" s="5"/>
      <c r="R56" s="10"/>
      <c r="S56" s="5"/>
      <c r="T56" s="5"/>
    </row>
    <row r="57" spans="1:20">
      <c r="A57" s="2"/>
      <c r="B57" s="2"/>
      <c r="C57" s="6"/>
      <c r="D57" s="6"/>
      <c r="E57" s="15"/>
      <c r="F57" s="6"/>
      <c r="G57" s="6"/>
      <c r="H57" s="11"/>
      <c r="I57" s="6"/>
      <c r="J57" s="11"/>
      <c r="K57" s="6"/>
      <c r="L57" s="11"/>
      <c r="M57" s="6"/>
      <c r="N57" s="11"/>
      <c r="O57" s="6"/>
      <c r="P57" s="11"/>
      <c r="Q57" s="6"/>
      <c r="R57" s="11"/>
      <c r="S57" s="6"/>
      <c r="T57" s="6"/>
    </row>
    <row r="58" spans="1:20">
      <c r="A58" s="1"/>
      <c r="B58" s="1"/>
      <c r="C58" s="5"/>
      <c r="D58" s="5"/>
      <c r="E58" s="14"/>
      <c r="F58" s="5"/>
      <c r="G58" s="5"/>
      <c r="H58" s="10"/>
      <c r="I58" s="5"/>
      <c r="J58" s="10"/>
      <c r="K58" s="5"/>
      <c r="L58" s="10"/>
      <c r="M58" s="5"/>
      <c r="N58" s="10"/>
      <c r="O58" s="5"/>
      <c r="P58" s="10"/>
      <c r="Q58" s="5"/>
      <c r="R58" s="10"/>
      <c r="S58" s="5"/>
      <c r="T58" s="5"/>
    </row>
    <row r="59" spans="1:20">
      <c r="A59" s="2"/>
      <c r="B59" s="2"/>
      <c r="C59" s="6"/>
      <c r="D59" s="6"/>
      <c r="E59" s="15"/>
      <c r="F59" s="6"/>
      <c r="G59" s="6"/>
      <c r="H59" s="11"/>
      <c r="I59" s="6"/>
      <c r="J59" s="11"/>
      <c r="K59" s="6"/>
      <c r="L59" s="11"/>
      <c r="M59" s="6"/>
      <c r="N59" s="11"/>
      <c r="O59" s="6"/>
      <c r="P59" s="11"/>
      <c r="Q59" s="6"/>
      <c r="R59" s="11"/>
      <c r="S59" s="6"/>
      <c r="T59" s="6"/>
    </row>
    <row r="60" spans="1:20">
      <c r="A60" s="1"/>
      <c r="B60" s="1"/>
      <c r="C60" s="5"/>
      <c r="D60" s="5"/>
      <c r="E60" s="14"/>
      <c r="F60" s="5"/>
      <c r="G60" s="5"/>
      <c r="H60" s="10"/>
      <c r="I60" s="5"/>
      <c r="J60" s="10"/>
      <c r="K60" s="5"/>
      <c r="L60" s="10"/>
      <c r="M60" s="5"/>
      <c r="N60" s="10"/>
      <c r="O60" s="5"/>
      <c r="P60" s="10"/>
      <c r="Q60" s="5"/>
      <c r="R60" s="10"/>
      <c r="S60" s="5"/>
      <c r="T60" s="5"/>
    </row>
  </sheetData>
  <conditionalFormatting sqref="J2:J60 L2:L60 N2:N60">
    <cfRule type="cellIs" dxfId="4" priority="5" operator="lessThan">
      <formula>-0.02</formula>
    </cfRule>
  </conditionalFormatting>
  <conditionalFormatting sqref="P2:P60">
    <cfRule type="cellIs" dxfId="3" priority="4" operator="between">
      <formula>-0.05</formula>
      <formula>0.05</formula>
    </cfRule>
  </conditionalFormatting>
  <conditionalFormatting sqref="H2:H60">
    <cfRule type="cellIs" dxfId="2" priority="2" operator="between">
      <formula>0</formula>
      <formula>0.05</formula>
    </cfRule>
    <cfRule type="cellIs" dxfId="1" priority="3" operator="between">
      <formula>-0.05</formula>
      <formula>0</formula>
    </cfRule>
  </conditionalFormatting>
  <conditionalFormatting sqref="R2:R60">
    <cfRule type="cellIs" dxfId="0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UpdateCurrentSheet">
                <anchor moveWithCells="1" sizeWithCells="1">
                  <from>
                    <xdr:col>23</xdr:col>
                    <xdr:colOff>38100</xdr:colOff>
                    <xdr:row>0</xdr:row>
                    <xdr:rowOff>28575</xdr:rowOff>
                  </from>
                  <to>
                    <xdr:col>24</xdr:col>
                    <xdr:colOff>419100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Plot</vt:lpstr>
      <vt:lpstr>MyHoldings</vt:lpstr>
      <vt:lpstr>T_Equity</vt:lpstr>
      <vt:lpstr>T_Bond</vt:lpstr>
      <vt:lpstr>T_Intl</vt:lpstr>
      <vt:lpstr>T_Com</vt:lpstr>
      <vt:lpstr>F_Fidelity</vt:lpstr>
      <vt:lpstr>F_iShareEq</vt:lpstr>
      <vt:lpstr>F_iShareFI</vt:lpstr>
      <vt:lpstr>E_DmStk</vt:lpstr>
      <vt:lpstr>E_IntlStk</vt:lpstr>
      <vt:lpstr>E_FI</vt:lpstr>
      <vt:lpstr>E_BAL</vt:lpstr>
      <vt:lpstr>E_Sector</vt:lpstr>
      <vt:lpstr>E_ALT</vt:lpstr>
    </vt:vector>
  </TitlesOfParts>
  <Company>Dimensional Fund Advisors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Samuel.Wang@dimensional.com</dc:creator>
  <cp:lastModifiedBy>Samuel.Wang@dimensional.com</cp:lastModifiedBy>
  <dcterms:created xsi:type="dcterms:W3CDTF">2016-11-07T15:03:21Z</dcterms:created>
  <dcterms:modified xsi:type="dcterms:W3CDTF">2017-12-15T21:34:30Z</dcterms:modified>
</cp:coreProperties>
</file>