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-15" yWindow="-15" windowWidth="25230" windowHeight="12690" tabRatio="500"/>
  </bookViews>
  <sheets>
    <sheet name="PullRet" sheetId="1" r:id="rId1"/>
    <sheet name="Analysis_M" sheetId="3" r:id="rId2"/>
    <sheet name="Analysis_D" sheetId="2" r:id="rId3"/>
  </sheets>
  <functionGroups builtInGroupCount="17"/>
  <definedNames>
    <definedName name="_xlnm.Print_Area" localSheetId="1">Analysis_M!$A$1:$N$33</definedName>
  </definedNames>
  <calcPr calcId="145621"/>
  <extLst>
    <ext xmlns:x14="http://schemas.microsoft.com/office/spreadsheetml/2009/9/main" uri="{8193D73E-4604-4355-AFF4-8A2333D13BE4}">
      <x14:definedNames>
        <x14:definedName name="pullRetur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9" i="3" l="1"/>
  <c r="F29" i="3"/>
  <c r="D28" i="3"/>
  <c r="E28" i="3"/>
  <c r="F28" i="3"/>
  <c r="D29" i="3"/>
  <c r="C28" i="3"/>
  <c r="C27" i="3"/>
  <c r="D27" i="3"/>
  <c r="E27" i="3"/>
  <c r="F27" i="3"/>
  <c r="B27" i="3"/>
  <c r="F31" i="3"/>
  <c r="F22" i="3" a="1"/>
  <c r="F22" i="3" s="1"/>
  <c r="F21" i="3" a="1"/>
  <c r="F21" i="3" s="1"/>
  <c r="F20" i="3" a="1"/>
  <c r="F20" i="3" s="1"/>
  <c r="F19" i="3" a="1"/>
  <c r="F19" i="3" s="1"/>
  <c r="F18" i="3" a="1"/>
  <c r="F18" i="3" s="1"/>
  <c r="F17" i="3" a="1"/>
  <c r="F17" i="3" s="1"/>
  <c r="F16" i="3" a="1"/>
  <c r="F16" i="3" s="1"/>
  <c r="F15" i="3" a="1"/>
  <c r="F15" i="3" s="1"/>
  <c r="F14" i="3" a="1"/>
  <c r="F14" i="3" s="1"/>
  <c r="F9" i="3"/>
  <c r="F11" i="3" s="1"/>
  <c r="F8" i="3"/>
  <c r="F10" i="3" s="1"/>
  <c r="F3" i="3"/>
  <c r="F5" i="3" s="1"/>
  <c r="F2" i="3"/>
  <c r="F4" i="3" s="1"/>
  <c r="B15" i="3" a="1"/>
  <c r="B15" i="3" s="1"/>
  <c r="D15" i="3" a="1"/>
  <c r="D15" i="3" s="1"/>
  <c r="E15" i="3" a="1"/>
  <c r="E15" i="3"/>
  <c r="B16" i="3" a="1"/>
  <c r="B16" i="3" s="1"/>
  <c r="D16" i="3" a="1"/>
  <c r="D16" i="3" s="1"/>
  <c r="E16" i="3" a="1"/>
  <c r="E16" i="3"/>
  <c r="B17" i="3" a="1"/>
  <c r="B17" i="3" s="1"/>
  <c r="D17" i="3" a="1"/>
  <c r="D17" i="3" s="1"/>
  <c r="E17" i="3" a="1"/>
  <c r="E17" i="3"/>
  <c r="B18" i="3" a="1"/>
  <c r="B18" i="3" s="1"/>
  <c r="D18" i="3" a="1"/>
  <c r="D18" i="3" s="1"/>
  <c r="E18" i="3" a="1"/>
  <c r="E18" i="3"/>
  <c r="B19" i="3" a="1"/>
  <c r="B19" i="3" s="1"/>
  <c r="D19" i="3" a="1"/>
  <c r="D19" i="3" s="1"/>
  <c r="E19" i="3" a="1"/>
  <c r="E19" i="3"/>
  <c r="B20" i="3" a="1"/>
  <c r="B20" i="3" s="1"/>
  <c r="D20" i="3" a="1"/>
  <c r="D20" i="3" s="1"/>
  <c r="E20" i="3" a="1"/>
  <c r="E20" i="3"/>
  <c r="B21" i="3" a="1"/>
  <c r="B21" i="3" s="1"/>
  <c r="C21" i="3" a="1"/>
  <c r="C21" i="3"/>
  <c r="D21" i="3" a="1"/>
  <c r="D21" i="3" s="1"/>
  <c r="E21" i="3" a="1"/>
  <c r="E21" i="3"/>
  <c r="B22" i="3" a="1"/>
  <c r="B22" i="3" s="1"/>
  <c r="C22" i="3" a="1"/>
  <c r="C22" i="3" s="1"/>
  <c r="D22" i="3" a="1"/>
  <c r="D22" i="3" s="1"/>
  <c r="E22" i="3" a="1"/>
  <c r="E22" i="3"/>
  <c r="D14" i="3" a="1"/>
  <c r="D14" i="3" s="1"/>
  <c r="E14" i="3" a="1"/>
  <c r="E14" i="3" s="1"/>
  <c r="B14" i="3" a="1"/>
  <c r="B14" i="3" s="1"/>
  <c r="E31" i="3"/>
  <c r="D31" i="3"/>
  <c r="C11" i="3"/>
  <c r="E9" i="3"/>
  <c r="E11" i="3" s="1"/>
  <c r="D9" i="3"/>
  <c r="D11" i="3" s="1"/>
  <c r="C9" i="3"/>
  <c r="B9" i="3"/>
  <c r="B11" i="3" s="1"/>
  <c r="E8" i="3"/>
  <c r="E10" i="3" s="1"/>
  <c r="D8" i="3"/>
  <c r="D10" i="3" s="1"/>
  <c r="C8" i="3"/>
  <c r="C10" i="3" s="1"/>
  <c r="B8" i="3"/>
  <c r="B10" i="3" s="1"/>
  <c r="B5" i="3"/>
  <c r="E3" i="3"/>
  <c r="E5" i="3" s="1"/>
  <c r="D3" i="3"/>
  <c r="D5" i="3" s="1"/>
  <c r="B3" i="3"/>
  <c r="E2" i="3"/>
  <c r="E4" i="3" s="1"/>
  <c r="D2" i="3"/>
  <c r="D4" i="3" s="1"/>
  <c r="B2" i="3"/>
  <c r="B4" i="3" s="1"/>
  <c r="M6" i="1"/>
  <c r="J6" i="1"/>
  <c r="D9" i="2" l="1"/>
  <c r="D11" i="2" s="1"/>
  <c r="C9" i="2"/>
  <c r="C11" i="2" s="1"/>
  <c r="B9" i="2"/>
  <c r="D8" i="2"/>
  <c r="D10" i="2" s="1"/>
  <c r="C8" i="2"/>
  <c r="B8" i="2"/>
  <c r="B10" i="2" s="1"/>
  <c r="B11" i="2"/>
  <c r="C10" i="2"/>
  <c r="D3" i="2"/>
  <c r="D5" i="2" s="1"/>
  <c r="B3" i="2"/>
  <c r="B5" i="2" s="1"/>
  <c r="D2" i="2"/>
  <c r="D4" i="2" s="1"/>
  <c r="B2" i="2"/>
  <c r="B4" i="2" s="1"/>
  <c r="D20" i="2"/>
  <c r="D18" i="2"/>
  <c r="D17" i="2"/>
  <c r="C17" i="2"/>
  <c r="D16" i="2"/>
  <c r="C16" i="2"/>
  <c r="B16" i="2"/>
  <c r="G6" i="1"/>
  <c r="D6" i="1"/>
  <c r="A6" i="1"/>
</calcChain>
</file>

<file path=xl/sharedStrings.xml><?xml version="1.0" encoding="utf-8"?>
<sst xmlns="http://schemas.openxmlformats.org/spreadsheetml/2006/main" count="132" uniqueCount="36">
  <si>
    <t>Ticker</t>
  </si>
  <si>
    <t>Start Date</t>
  </si>
  <si>
    <t>End Date</t>
  </si>
  <si>
    <t>PFODX</t>
  </si>
  <si>
    <t>ReturnDaily</t>
  </si>
  <si>
    <t>Frequency</t>
  </si>
  <si>
    <t>IAGG</t>
  </si>
  <si>
    <t>IGOV</t>
  </si>
  <si>
    <t>Date</t>
  </si>
  <si>
    <t>Avg.</t>
  </si>
  <si>
    <t>N/A</t>
  </si>
  <si>
    <t>corr of PFODX and IGOV 2009-:</t>
  </si>
  <si>
    <t>Daily Correlation: 2015-Current</t>
  </si>
  <si>
    <t>Std. Dev.</t>
  </si>
  <si>
    <t>Avg. (Annualized)</t>
  </si>
  <si>
    <t>Std. Dev. (Annualized)</t>
  </si>
  <si>
    <t>Daily Returns: 2009-Current</t>
  </si>
  <si>
    <t>M</t>
  </si>
  <si>
    <t>ReturnMonthly</t>
  </si>
  <si>
    <t>Daily Returns: 2015-Current</t>
  </si>
  <si>
    <t>SPY</t>
  </si>
  <si>
    <t>Calendar Year Return</t>
  </si>
  <si>
    <t>Question?</t>
  </si>
  <si>
    <t>Monthly Returns: 2009/3-Current</t>
  </si>
  <si>
    <t>Monthly Returns: 2015/12-Current</t>
  </si>
  <si>
    <t>Monthly Correlation: 2015/12-Current</t>
  </si>
  <si>
    <t>corr of PFODX and IGOV, SPY (2009/3-:)</t>
  </si>
  <si>
    <t>Is IGOV hedged?</t>
  </si>
  <si>
    <t>AGG</t>
  </si>
  <si>
    <t>Fees</t>
  </si>
  <si>
    <t>Turover</t>
  </si>
  <si>
    <t>Duration</t>
  </si>
  <si>
    <t># of holdings</t>
  </si>
  <si>
    <t>Hedged</t>
  </si>
  <si>
    <t>Y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</si>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</sst>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2" x14ac:knownFonts="1">
    <font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43">
    <xf numFmtId="0" fontId="0" fillId="0" borderId="0" xfId="0"/>
    <xf numFmtId="0" fontId="1" fillId="2" borderId="0" xfId="1"/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quotePrefix="1" applyAlignment="1">
      <alignment horizontal="right"/>
    </xf>
    <xf numFmtId="2" fontId="0" fillId="0" borderId="0" xfId="0" applyNumberFormat="1"/>
    <xf numFmtId="0" fontId="0" fillId="0" borderId="1" xfId="0" applyBorder="1"/>
    <xf numFmtId="2" fontId="0" fillId="0" borderId="5" xfId="0" applyNumberFormat="1" applyBorder="1"/>
    <xf numFmtId="2" fontId="0" fillId="0" borderId="7" xfId="0" applyNumberFormat="1" applyBorder="1"/>
    <xf numFmtId="0" fontId="0" fillId="0" borderId="8" xfId="0" applyBorder="1"/>
    <xf numFmtId="0" fontId="0" fillId="0" borderId="9" xfId="0" applyBorder="1"/>
    <xf numFmtId="2" fontId="0" fillId="0" borderId="3" xfId="0" applyNumberFormat="1" applyBorder="1"/>
    <xf numFmtId="0" fontId="0" fillId="0" borderId="4" xfId="0" applyBorder="1"/>
    <xf numFmtId="0" fontId="0" fillId="0" borderId="12" xfId="0" applyBorder="1"/>
    <xf numFmtId="0" fontId="0" fillId="0" borderId="13" xfId="0" applyBorder="1"/>
    <xf numFmtId="14" fontId="0" fillId="3" borderId="0" xfId="0" applyNumberFormat="1" applyFill="1"/>
    <xf numFmtId="2" fontId="0" fillId="0" borderId="6" xfId="0" applyNumberFormat="1" applyBorder="1" applyAlignment="1">
      <alignment horizontal="right"/>
    </xf>
    <xf numFmtId="2" fontId="0" fillId="0" borderId="0" xfId="0" applyNumberFormat="1" applyBorder="1" applyAlignment="1">
      <alignment horizontal="right"/>
    </xf>
    <xf numFmtId="2" fontId="0" fillId="0" borderId="2" xfId="0" applyNumberFormat="1" applyBorder="1" applyAlignment="1">
      <alignment horizontal="right"/>
    </xf>
    <xf numFmtId="164" fontId="0" fillId="0" borderId="0" xfId="0" applyNumberFormat="1"/>
    <xf numFmtId="164" fontId="0" fillId="0" borderId="1" xfId="0" applyNumberFormat="1" applyBorder="1"/>
    <xf numFmtId="2" fontId="0" fillId="0" borderId="4" xfId="0" applyNumberFormat="1" applyBorder="1"/>
    <xf numFmtId="164" fontId="0" fillId="0" borderId="0" xfId="0" applyNumberFormat="1" applyAlignment="1">
      <alignment horizontal="right"/>
    </xf>
    <xf numFmtId="164" fontId="0" fillId="0" borderId="1" xfId="0" applyNumberFormat="1" applyBorder="1" applyAlignment="1">
      <alignment horizontal="right"/>
    </xf>
    <xf numFmtId="164" fontId="0" fillId="3" borderId="0" xfId="0" applyNumberFormat="1" applyFill="1"/>
    <xf numFmtId="2" fontId="0" fillId="3" borderId="6" xfId="0" applyNumberFormat="1" applyFill="1" applyBorder="1" applyAlignment="1">
      <alignment horizontal="right"/>
    </xf>
    <xf numFmtId="164" fontId="0" fillId="0" borderId="8" xfId="0" applyNumberFormat="1" applyBorder="1"/>
    <xf numFmtId="164" fontId="0" fillId="0" borderId="9" xfId="0" applyNumberFormat="1" applyBorder="1"/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Fill="1" applyBorder="1" applyAlignment="1">
      <alignment horizontal="left"/>
    </xf>
    <xf numFmtId="14" fontId="0" fillId="0" borderId="0" xfId="0" applyNumberFormat="1" applyAlignment="1">
      <alignment horizontal="left"/>
    </xf>
    <xf numFmtId="14" fontId="0" fillId="3" borderId="0" xfId="0" applyNumberFormat="1" applyFill="1" applyAlignment="1">
      <alignment horizontal="left"/>
    </xf>
    <xf numFmtId="2" fontId="0" fillId="3" borderId="7" xfId="0" applyNumberFormat="1" applyFill="1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10" fontId="0" fillId="0" borderId="0" xfId="0" applyNumberFormat="1"/>
    <xf numFmtId="9" fontId="0" fillId="0" borderId="0" xfId="0" applyNumberFormat="1"/>
  </cellXfs>
  <cellStyles count="2">
    <cellStyle name="Good" xfId="1" builtinId="26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6110"/>
  <sheetViews>
    <sheetView tabSelected="1" zoomScale="80" zoomScaleNormal="80" workbookViewId="0">
      <selection activeCell="Q13" sqref="Q13"/>
    </sheetView>
  </sheetViews>
  <sheetFormatPr defaultColWidth="11" defaultRowHeight="15.75" x14ac:dyDescent="0.25"/>
  <cols>
    <col min="1" max="1" width="13.875" customWidth="1"/>
    <col min="2" max="2" width="12" customWidth="1"/>
    <col min="4" max="4" width="13.875" customWidth="1"/>
    <col min="5" max="5" width="11.75" customWidth="1"/>
    <col min="7" max="7" width="13.875" customWidth="1"/>
    <col min="8" max="8" width="12.625" customWidth="1"/>
    <col min="10" max="10" width="13.875" customWidth="1"/>
    <col min="11" max="11" width="12.625" customWidth="1"/>
    <col min="13" max="13" width="13.875" customWidth="1"/>
    <col min="14" max="14" width="12.625" customWidth="1"/>
  </cols>
  <sheetData>
    <row r="1" spans="1:14" x14ac:dyDescent="0.25">
      <c r="A1" s="1" t="s">
        <v>0</v>
      </c>
      <c r="B1" s="3" t="s">
        <v>3</v>
      </c>
      <c r="D1" s="1" t="s">
        <v>0</v>
      </c>
      <c r="E1" s="3" t="s">
        <v>6</v>
      </c>
      <c r="G1" s="1" t="s">
        <v>0</v>
      </c>
      <c r="H1" s="3" t="s">
        <v>7</v>
      </c>
      <c r="J1" s="1" t="s">
        <v>0</v>
      </c>
      <c r="K1" s="3" t="s">
        <v>28</v>
      </c>
      <c r="M1" s="1" t="s">
        <v>0</v>
      </c>
      <c r="N1" s="3" t="s">
        <v>20</v>
      </c>
    </row>
    <row r="2" spans="1:14" x14ac:dyDescent="0.25">
      <c r="A2" s="1" t="s">
        <v>1</v>
      </c>
      <c r="B2" s="2">
        <v>39846</v>
      </c>
      <c r="D2" s="1" t="s">
        <v>1</v>
      </c>
      <c r="E2" s="2">
        <v>39846</v>
      </c>
      <c r="G2" s="1" t="s">
        <v>1</v>
      </c>
      <c r="H2" s="2">
        <v>39846</v>
      </c>
      <c r="J2" s="1" t="s">
        <v>1</v>
      </c>
      <c r="K2" s="2">
        <v>39846</v>
      </c>
      <c r="M2" s="1" t="s">
        <v>1</v>
      </c>
      <c r="N2" s="2">
        <v>39846</v>
      </c>
    </row>
    <row r="3" spans="1:14" x14ac:dyDescent="0.25">
      <c r="A3" s="1" t="s">
        <v>2</v>
      </c>
      <c r="B3" s="3"/>
      <c r="D3" s="1" t="s">
        <v>2</v>
      </c>
      <c r="E3" s="3"/>
      <c r="G3" s="1" t="s">
        <v>2</v>
      </c>
      <c r="H3" s="3"/>
      <c r="J3" s="1" t="s">
        <v>2</v>
      </c>
      <c r="K3" s="3"/>
      <c r="M3" s="1" t="s">
        <v>2</v>
      </c>
      <c r="N3" s="3"/>
    </row>
    <row r="4" spans="1:14" x14ac:dyDescent="0.25">
      <c r="A4" s="1" t="s">
        <v>5</v>
      </c>
      <c r="B4" s="4" t="s">
        <v>17</v>
      </c>
      <c r="D4" s="1" t="s">
        <v>5</v>
      </c>
      <c r="E4" s="4" t="s">
        <v>17</v>
      </c>
      <c r="G4" s="1" t="s">
        <v>5</v>
      </c>
      <c r="H4" s="4" t="s">
        <v>17</v>
      </c>
      <c r="J4" s="1" t="s">
        <v>5</v>
      </c>
      <c r="K4" s="4" t="s">
        <v>17</v>
      </c>
      <c r="M4" s="1" t="s">
        <v>5</v>
      </c>
      <c r="N4" s="4" t="s">
        <v>17</v>
      </c>
    </row>
    <row r="6" spans="1:14" x14ac:dyDescent="0.25">
      <c r="A6" t="str">
        <f>pullReturn(B1,B2,B3,B4)</f>
        <v>Date</v>
      </c>
      <c r="B6" t="s">
        <v>18</v>
      </c>
      <c r="D6" t="str">
        <f>pullReturn(E1,E2,E3,E4)</f>
        <v>Date</v>
      </c>
      <c r="E6" t="s">
        <v>18</v>
      </c>
      <c r="G6" t="str">
        <f>pullReturn(H1,H2,H3,H4)</f>
        <v>Date</v>
      </c>
      <c r="H6" t="s">
        <v>18</v>
      </c>
      <c r="J6" t="str">
        <f>pullReturn(K1,K2,K3,K4)</f>
        <v>Date</v>
      </c>
      <c r="K6" t="s">
        <v>18</v>
      </c>
      <c r="M6" t="str">
        <f>pullReturn(N1,N2,N3,N4)</f>
        <v>Date</v>
      </c>
      <c r="N6" t="s">
        <v>18</v>
      </c>
    </row>
    <row r="7" spans="1:14" x14ac:dyDescent="0.25">
      <c r="A7" s="2">
        <v>39872</v>
      </c>
      <c r="D7" s="2">
        <v>42338</v>
      </c>
      <c r="G7" s="2">
        <v>39872</v>
      </c>
      <c r="J7" s="2">
        <v>39872</v>
      </c>
      <c r="M7" s="2">
        <v>39872</v>
      </c>
    </row>
    <row r="8" spans="1:14" x14ac:dyDescent="0.25">
      <c r="A8" s="2">
        <v>39903</v>
      </c>
      <c r="B8">
        <v>-9.632133626324979E-5</v>
      </c>
      <c r="D8" s="2">
        <v>42369</v>
      </c>
      <c r="E8">
        <v>-6.9321180683211692E-3</v>
      </c>
      <c r="G8" s="2">
        <v>39903</v>
      </c>
      <c r="H8">
        <v>3.2973945459506604E-2</v>
      </c>
      <c r="J8" s="2">
        <v>39903</v>
      </c>
      <c r="K8">
        <v>1.1029922292354444E-2</v>
      </c>
      <c r="M8" s="2">
        <v>39903</v>
      </c>
      <c r="N8">
        <v>8.3310707365834347E-2</v>
      </c>
    </row>
    <row r="9" spans="1:14" x14ac:dyDescent="0.25">
      <c r="A9" s="2">
        <v>39933</v>
      </c>
      <c r="B9">
        <v>1.7579128781084474E-2</v>
      </c>
      <c r="D9" s="2">
        <v>42400</v>
      </c>
      <c r="E9">
        <v>1.8348662796865201E-2</v>
      </c>
      <c r="G9" s="2">
        <v>39933</v>
      </c>
      <c r="H9">
        <v>1.4474467734605367E-2</v>
      </c>
      <c r="J9" s="2">
        <v>39933</v>
      </c>
      <c r="K9">
        <v>5.152372151851603E-3</v>
      </c>
      <c r="M9" s="2">
        <v>39933</v>
      </c>
      <c r="N9">
        <v>9.9346107531869565E-2</v>
      </c>
    </row>
    <row r="10" spans="1:14" x14ac:dyDescent="0.25">
      <c r="A10" s="2">
        <v>39964</v>
      </c>
      <c r="B10">
        <v>2.9995356593120359E-2</v>
      </c>
      <c r="D10" s="2">
        <v>42429</v>
      </c>
      <c r="E10">
        <v>4.5045039680342569E-3</v>
      </c>
      <c r="G10" s="2">
        <v>39964</v>
      </c>
      <c r="H10">
        <v>4.8758668211511536E-2</v>
      </c>
      <c r="J10" s="2">
        <v>39964</v>
      </c>
      <c r="K10">
        <v>7.0968977049652437E-3</v>
      </c>
      <c r="M10" s="2">
        <v>39964</v>
      </c>
      <c r="N10">
        <v>5.8453443467067157E-2</v>
      </c>
    </row>
    <row r="11" spans="1:14" x14ac:dyDescent="0.25">
      <c r="A11" s="2">
        <v>39994</v>
      </c>
      <c r="B11">
        <v>1.8484206455315233E-2</v>
      </c>
      <c r="D11" s="2">
        <v>42460</v>
      </c>
      <c r="E11">
        <v>8.5201862661810068E-3</v>
      </c>
      <c r="G11" s="2">
        <v>39994</v>
      </c>
      <c r="H11">
        <v>1.5162069884355756E-3</v>
      </c>
      <c r="J11" s="2">
        <v>39994</v>
      </c>
      <c r="K11">
        <v>4.2075847770484121E-3</v>
      </c>
      <c r="M11" s="2">
        <v>39994</v>
      </c>
      <c r="N11">
        <v>-6.549420826372776E-4</v>
      </c>
    </row>
    <row r="12" spans="1:14" x14ac:dyDescent="0.25">
      <c r="A12" s="2">
        <v>40025</v>
      </c>
      <c r="B12">
        <v>3.121581575455834E-2</v>
      </c>
      <c r="D12" s="2">
        <v>42490</v>
      </c>
      <c r="E12">
        <v>-3.4218589587809989E-3</v>
      </c>
      <c r="G12" s="2">
        <v>40025</v>
      </c>
      <c r="H12">
        <v>3.0325922242265824E-2</v>
      </c>
      <c r="J12" s="2">
        <v>40025</v>
      </c>
      <c r="K12">
        <v>1.2690577479951504E-2</v>
      </c>
      <c r="M12" s="2">
        <v>40025</v>
      </c>
      <c r="N12">
        <v>7.4605780172656067E-2</v>
      </c>
    </row>
    <row r="13" spans="1:14" x14ac:dyDescent="0.25">
      <c r="A13" s="2">
        <v>40056</v>
      </c>
      <c r="B13">
        <v>3.1686098665960616E-2</v>
      </c>
      <c r="D13" s="2">
        <v>42521</v>
      </c>
      <c r="E13">
        <v>9.3951534735983167E-3</v>
      </c>
      <c r="G13" s="2">
        <v>40056</v>
      </c>
      <c r="H13">
        <v>1.0446859386802343E-2</v>
      </c>
      <c r="J13" s="2">
        <v>40056</v>
      </c>
      <c r="K13">
        <v>1.2202400751084808E-2</v>
      </c>
      <c r="M13" s="2">
        <v>40056</v>
      </c>
      <c r="N13">
        <v>3.6939592781028319E-2</v>
      </c>
    </row>
    <row r="14" spans="1:14" x14ac:dyDescent="0.25">
      <c r="A14" s="2">
        <v>40086</v>
      </c>
      <c r="B14">
        <v>2.0900306879960695E-2</v>
      </c>
      <c r="D14" s="2">
        <v>42551</v>
      </c>
      <c r="E14">
        <v>2.0361064920755512E-2</v>
      </c>
      <c r="G14" s="2">
        <v>40086</v>
      </c>
      <c r="H14">
        <v>2.5275365729793275E-2</v>
      </c>
      <c r="J14" s="2">
        <v>40086</v>
      </c>
      <c r="K14">
        <v>1.1881860346411699E-2</v>
      </c>
      <c r="M14" s="2">
        <v>40086</v>
      </c>
      <c r="N14">
        <v>3.5457172964727945E-2</v>
      </c>
    </row>
    <row r="15" spans="1:14" x14ac:dyDescent="0.25">
      <c r="A15" s="2">
        <v>40117</v>
      </c>
      <c r="B15">
        <v>9.845800153663653E-3</v>
      </c>
      <c r="D15" s="2">
        <v>42582</v>
      </c>
      <c r="E15">
        <v>8.6791832976098604E-3</v>
      </c>
      <c r="G15" s="2">
        <v>40117</v>
      </c>
      <c r="H15">
        <v>-3.1038402055315606E-3</v>
      </c>
      <c r="J15" s="2">
        <v>40117</v>
      </c>
      <c r="K15">
        <v>2.2184271500678143E-3</v>
      </c>
      <c r="M15" s="2">
        <v>40117</v>
      </c>
      <c r="N15">
        <v>-1.9225296017104432E-2</v>
      </c>
    </row>
    <row r="16" spans="1:14" x14ac:dyDescent="0.25">
      <c r="A16" s="2">
        <v>40147</v>
      </c>
      <c r="B16">
        <v>1.0347409439340538E-2</v>
      </c>
      <c r="D16" s="2">
        <v>42613</v>
      </c>
      <c r="E16">
        <v>1.309861452827521E-3</v>
      </c>
      <c r="G16" s="2">
        <v>40147</v>
      </c>
      <c r="H16">
        <v>2.5987675855452919E-2</v>
      </c>
      <c r="J16" s="2">
        <v>40147</v>
      </c>
      <c r="K16">
        <v>1.2862974527479087E-2</v>
      </c>
      <c r="M16" s="2">
        <v>40147</v>
      </c>
      <c r="N16">
        <v>6.1606848865117136E-2</v>
      </c>
    </row>
    <row r="17" spans="1:14" x14ac:dyDescent="0.25">
      <c r="A17" s="2">
        <v>40178</v>
      </c>
      <c r="B17">
        <v>-2.4672148360957991E-3</v>
      </c>
      <c r="D17" s="2">
        <v>42643</v>
      </c>
      <c r="E17">
        <v>5.6068884024118582E-4</v>
      </c>
      <c r="G17" s="2">
        <v>40178</v>
      </c>
      <c r="H17">
        <v>-5.3153808567173E-2</v>
      </c>
      <c r="J17" s="2">
        <v>40178</v>
      </c>
      <c r="K17">
        <v>-1.8812232713582233E-2</v>
      </c>
      <c r="M17" s="2">
        <v>40178</v>
      </c>
      <c r="N17">
        <v>1.9100940578809844E-2</v>
      </c>
    </row>
    <row r="18" spans="1:14" x14ac:dyDescent="0.25">
      <c r="A18" s="2">
        <v>40209</v>
      </c>
      <c r="B18">
        <v>2.3408001486389551E-2</v>
      </c>
      <c r="D18" s="2">
        <v>42674</v>
      </c>
      <c r="E18">
        <v>-1.4797623169793273E-2</v>
      </c>
      <c r="G18" s="2">
        <v>40209</v>
      </c>
      <c r="H18">
        <v>-1.029124009832838E-2</v>
      </c>
      <c r="J18" s="2">
        <v>40209</v>
      </c>
      <c r="K18">
        <v>1.4148655284035971E-2</v>
      </c>
      <c r="M18" s="2">
        <v>40209</v>
      </c>
      <c r="N18">
        <v>-3.6342450510763125E-2</v>
      </c>
    </row>
    <row r="19" spans="1:14" x14ac:dyDescent="0.25">
      <c r="A19" s="2">
        <v>40237</v>
      </c>
      <c r="B19">
        <v>6.6632767991683384E-3</v>
      </c>
      <c r="D19" s="2">
        <v>42704</v>
      </c>
      <c r="E19">
        <v>-1.1439329661325215E-2</v>
      </c>
      <c r="G19" s="2">
        <v>40237</v>
      </c>
      <c r="H19">
        <v>-1.7694858686934101E-4</v>
      </c>
      <c r="J19" s="2">
        <v>40237</v>
      </c>
      <c r="K19">
        <v>1.9841955230475161E-3</v>
      </c>
      <c r="M19" s="2">
        <v>40237</v>
      </c>
      <c r="N19">
        <v>3.1194693857451217E-2</v>
      </c>
    </row>
    <row r="20" spans="1:14" x14ac:dyDescent="0.25">
      <c r="A20" s="2">
        <v>40268</v>
      </c>
      <c r="B20">
        <v>6.928317917900495E-3</v>
      </c>
      <c r="D20" s="2">
        <v>42735</v>
      </c>
      <c r="E20">
        <v>5.8809837653612806E-3</v>
      </c>
      <c r="G20" s="2">
        <v>40268</v>
      </c>
      <c r="H20">
        <v>-1.225937577307723E-2</v>
      </c>
      <c r="J20" s="2">
        <v>40268</v>
      </c>
      <c r="K20">
        <v>-6.7222601562888507E-5</v>
      </c>
      <c r="M20" s="2">
        <v>40268</v>
      </c>
      <c r="N20">
        <v>6.0879632422753183E-2</v>
      </c>
    </row>
    <row r="21" spans="1:14" x14ac:dyDescent="0.25">
      <c r="A21" s="2">
        <v>40298</v>
      </c>
      <c r="B21">
        <v>2.1497560627509626E-2</v>
      </c>
      <c r="D21" s="2">
        <v>42766</v>
      </c>
      <c r="E21">
        <v>-1.2124144801151537E-2</v>
      </c>
      <c r="G21" s="2">
        <v>40298</v>
      </c>
      <c r="H21">
        <v>-1.3541588381936309E-2</v>
      </c>
      <c r="J21" s="2">
        <v>40298</v>
      </c>
      <c r="K21">
        <v>9.7325666403185185E-3</v>
      </c>
      <c r="M21" s="2">
        <v>40298</v>
      </c>
      <c r="N21">
        <v>1.5470067252403297E-2</v>
      </c>
    </row>
    <row r="22" spans="1:14" x14ac:dyDescent="0.25">
      <c r="A22" s="2">
        <v>40329</v>
      </c>
      <c r="B22">
        <v>9.0943329957291485E-3</v>
      </c>
      <c r="D22" s="2">
        <v>42794</v>
      </c>
      <c r="E22">
        <v>1.1437717140961201E-2</v>
      </c>
      <c r="G22" s="2">
        <v>40329</v>
      </c>
      <c r="H22">
        <v>-3.3020280423945003E-2</v>
      </c>
      <c r="J22" s="2">
        <v>40329</v>
      </c>
      <c r="K22">
        <v>1.082442127720773E-2</v>
      </c>
      <c r="M22" s="2">
        <v>40329</v>
      </c>
      <c r="N22">
        <v>-7.9454553997870603E-2</v>
      </c>
    </row>
    <row r="23" spans="1:14" x14ac:dyDescent="0.25">
      <c r="A23" s="2">
        <v>40359</v>
      </c>
      <c r="B23">
        <v>1.1019878879156009E-2</v>
      </c>
      <c r="D23" s="2"/>
      <c r="G23" s="2">
        <v>40359</v>
      </c>
      <c r="H23">
        <v>7.7339969390053387E-3</v>
      </c>
      <c r="J23" s="2">
        <v>40359</v>
      </c>
      <c r="K23">
        <v>1.7687333839742747E-2</v>
      </c>
      <c r="M23" s="2">
        <v>40359</v>
      </c>
      <c r="N23">
        <v>-5.1740947453497332E-2</v>
      </c>
    </row>
    <row r="24" spans="1:14" x14ac:dyDescent="0.25">
      <c r="A24" s="2">
        <v>40390</v>
      </c>
      <c r="B24">
        <v>1.7973887387006116E-3</v>
      </c>
      <c r="D24" s="2"/>
      <c r="G24" s="2">
        <v>40390</v>
      </c>
      <c r="H24">
        <v>5.5224406351390254E-2</v>
      </c>
      <c r="J24" s="2">
        <v>40390</v>
      </c>
      <c r="K24">
        <v>8.5471688597984485E-3</v>
      </c>
      <c r="M24" s="2">
        <v>40390</v>
      </c>
      <c r="N24">
        <v>6.8300671544478497E-2</v>
      </c>
    </row>
    <row r="25" spans="1:14" x14ac:dyDescent="0.25">
      <c r="A25" s="2">
        <v>40421</v>
      </c>
      <c r="B25">
        <v>2.9921148372980211E-2</v>
      </c>
      <c r="D25" s="2"/>
      <c r="G25" s="2">
        <v>40421</v>
      </c>
      <c r="H25">
        <v>7.037431239174996E-3</v>
      </c>
      <c r="J25" s="2">
        <v>40421</v>
      </c>
      <c r="K25">
        <v>1.2867773021037809E-2</v>
      </c>
      <c r="M25" s="2">
        <v>40421</v>
      </c>
      <c r="N25">
        <v>-4.4980497458412039E-2</v>
      </c>
    </row>
    <row r="26" spans="1:14" x14ac:dyDescent="0.25">
      <c r="A26" s="2">
        <v>40451</v>
      </c>
      <c r="B26">
        <v>-1.1898650568163971E-3</v>
      </c>
      <c r="D26" s="2"/>
      <c r="G26" s="2">
        <v>40451</v>
      </c>
      <c r="H26">
        <v>4.7559844925601169E-2</v>
      </c>
      <c r="J26" s="2">
        <v>40451</v>
      </c>
      <c r="K26">
        <v>7.3587559315635431E-5</v>
      </c>
      <c r="M26" s="2">
        <v>40451</v>
      </c>
      <c r="N26">
        <v>8.9554694113855637E-2</v>
      </c>
    </row>
    <row r="27" spans="1:14" x14ac:dyDescent="0.25">
      <c r="A27" s="2">
        <v>40482</v>
      </c>
      <c r="B27">
        <v>-1.7357112411005016E-3</v>
      </c>
      <c r="D27" s="2"/>
      <c r="G27" s="2">
        <v>40482</v>
      </c>
      <c r="H27">
        <v>1.3961693470847303E-2</v>
      </c>
      <c r="J27" s="2">
        <v>40482</v>
      </c>
      <c r="K27">
        <v>1.5224061564549363E-3</v>
      </c>
      <c r="M27" s="2">
        <v>40482</v>
      </c>
      <c r="N27">
        <v>3.8202052469124892E-2</v>
      </c>
    </row>
    <row r="28" spans="1:14" x14ac:dyDescent="0.25">
      <c r="A28" s="2">
        <v>40512</v>
      </c>
      <c r="B28">
        <v>-1.0118646101132001E-2</v>
      </c>
      <c r="D28" s="2"/>
      <c r="G28" s="2">
        <v>40512</v>
      </c>
      <c r="H28">
        <v>-6.7361399909840802E-2</v>
      </c>
      <c r="J28" s="2">
        <v>40512</v>
      </c>
      <c r="K28">
        <v>-8.3492173422364813E-3</v>
      </c>
      <c r="M28" s="2">
        <v>40512</v>
      </c>
      <c r="N28">
        <v>0</v>
      </c>
    </row>
    <row r="29" spans="1:14" x14ac:dyDescent="0.25">
      <c r="A29" s="2">
        <v>40543</v>
      </c>
      <c r="B29">
        <v>-6.2519426443031767E-3</v>
      </c>
      <c r="D29" s="2"/>
      <c r="G29" s="2">
        <v>40543</v>
      </c>
      <c r="H29">
        <v>2.9156213142640608E-2</v>
      </c>
      <c r="J29" s="2">
        <v>40543</v>
      </c>
      <c r="K29">
        <v>-6.7540930088194617E-3</v>
      </c>
      <c r="M29" s="2">
        <v>40543</v>
      </c>
      <c r="N29">
        <v>6.6852273521876837E-2</v>
      </c>
    </row>
    <row r="30" spans="1:14" x14ac:dyDescent="0.25">
      <c r="A30" s="2">
        <v>40574</v>
      </c>
      <c r="B30">
        <v>-9.5317896148960912E-4</v>
      </c>
      <c r="D30" s="2"/>
      <c r="G30" s="2">
        <v>40574</v>
      </c>
      <c r="H30">
        <v>1.0071445498336162E-2</v>
      </c>
      <c r="J30" s="2">
        <v>40574</v>
      </c>
      <c r="K30">
        <v>-8.510301694886202E-4</v>
      </c>
      <c r="M30" s="2">
        <v>40574</v>
      </c>
      <c r="N30">
        <v>2.330013989560431E-2</v>
      </c>
    </row>
    <row r="31" spans="1:14" x14ac:dyDescent="0.25">
      <c r="A31" s="2">
        <v>40602</v>
      </c>
      <c r="B31">
        <v>2.8883660379874776E-3</v>
      </c>
      <c r="D31" s="2"/>
      <c r="G31" s="2">
        <v>40602</v>
      </c>
      <c r="H31">
        <v>7.691740922269874E-3</v>
      </c>
      <c r="J31" s="2">
        <v>40602</v>
      </c>
      <c r="K31">
        <v>2.9047733054468061E-3</v>
      </c>
      <c r="M31" s="2">
        <v>40602</v>
      </c>
      <c r="N31">
        <v>3.4737343980458135E-2</v>
      </c>
    </row>
    <row r="32" spans="1:14" x14ac:dyDescent="0.25">
      <c r="A32" s="2">
        <v>40633</v>
      </c>
      <c r="B32">
        <v>-7.6408876242306523E-4</v>
      </c>
      <c r="D32" s="2"/>
      <c r="G32" s="2">
        <v>40633</v>
      </c>
      <c r="H32">
        <v>7.7534451210492517E-3</v>
      </c>
      <c r="J32" s="2">
        <v>40633</v>
      </c>
      <c r="K32">
        <v>-2.2303692590385227E-3</v>
      </c>
      <c r="M32" s="2">
        <v>40633</v>
      </c>
      <c r="N32">
        <v>1.2012982928899518E-4</v>
      </c>
    </row>
    <row r="33" spans="1:14" x14ac:dyDescent="0.25">
      <c r="A33" s="2">
        <v>40663</v>
      </c>
      <c r="B33">
        <v>6.9430976403992428E-3</v>
      </c>
      <c r="D33" s="2"/>
      <c r="G33" s="2">
        <v>40663</v>
      </c>
      <c r="H33">
        <v>4.1516746700452023E-2</v>
      </c>
      <c r="J33" s="2">
        <v>40663</v>
      </c>
      <c r="K33">
        <v>1.5674887064901499E-2</v>
      </c>
      <c r="M33" s="2">
        <v>40663</v>
      </c>
      <c r="N33">
        <v>2.8961434186372426E-2</v>
      </c>
    </row>
    <row r="34" spans="1:14" x14ac:dyDescent="0.25">
      <c r="A34" s="2">
        <v>40694</v>
      </c>
      <c r="B34">
        <v>7.0016058169146689E-3</v>
      </c>
      <c r="D34" s="2"/>
      <c r="G34" s="2">
        <v>40694</v>
      </c>
      <c r="H34">
        <v>-1.7282858503677057E-2</v>
      </c>
      <c r="J34" s="2">
        <v>40694</v>
      </c>
      <c r="K34">
        <v>1.2398302944318651E-2</v>
      </c>
      <c r="M34" s="2">
        <v>40694</v>
      </c>
      <c r="N34">
        <v>-1.1214532811643307E-2</v>
      </c>
    </row>
    <row r="35" spans="1:14" x14ac:dyDescent="0.25">
      <c r="A35" s="2">
        <v>40724</v>
      </c>
      <c r="B35">
        <v>-2.7650202999989215E-3</v>
      </c>
      <c r="D35" s="2"/>
      <c r="G35" s="2">
        <v>40724</v>
      </c>
      <c r="H35">
        <v>2.6067490221850509E-3</v>
      </c>
      <c r="J35" s="2">
        <v>40724</v>
      </c>
      <c r="K35">
        <v>-4.4518404351815422E-3</v>
      </c>
      <c r="M35" s="2">
        <v>40724</v>
      </c>
      <c r="N35">
        <v>-1.6869712678567628E-2</v>
      </c>
    </row>
    <row r="36" spans="1:14" x14ac:dyDescent="0.25">
      <c r="A36" s="2">
        <v>40755</v>
      </c>
      <c r="B36">
        <v>2.1200467332000539E-2</v>
      </c>
      <c r="D36" s="2"/>
      <c r="G36" s="2">
        <v>40755</v>
      </c>
      <c r="H36">
        <v>1.7555130406444741E-2</v>
      </c>
      <c r="J36" s="2">
        <v>40755</v>
      </c>
      <c r="K36">
        <v>1.6866359647528029E-2</v>
      </c>
      <c r="M36" s="2">
        <v>40755</v>
      </c>
      <c r="N36">
        <v>-2.0004538464891808E-2</v>
      </c>
    </row>
    <row r="37" spans="1:14" x14ac:dyDescent="0.25">
      <c r="A37" s="2">
        <v>40786</v>
      </c>
      <c r="B37">
        <v>9.2483174529478518E-5</v>
      </c>
      <c r="D37" s="2"/>
      <c r="G37" s="2">
        <v>40786</v>
      </c>
      <c r="H37">
        <v>1.9728570010407287E-2</v>
      </c>
      <c r="J37" s="2">
        <v>40786</v>
      </c>
      <c r="K37">
        <v>1.5204842079939995E-2</v>
      </c>
      <c r="M37" s="2">
        <v>40786</v>
      </c>
      <c r="N37">
        <v>-5.4975651744279541E-2</v>
      </c>
    </row>
    <row r="38" spans="1:14" x14ac:dyDescent="0.25">
      <c r="A38" s="2">
        <v>40816</v>
      </c>
      <c r="B38">
        <v>5.7587762619843996E-3</v>
      </c>
      <c r="D38" s="2"/>
      <c r="G38" s="2">
        <v>40816</v>
      </c>
      <c r="H38">
        <v>-4.4823821037016209E-2</v>
      </c>
      <c r="J38" s="2">
        <v>40816</v>
      </c>
      <c r="K38">
        <v>7.705793418976592E-3</v>
      </c>
      <c r="M38" s="2">
        <v>40816</v>
      </c>
      <c r="N38">
        <v>-6.9420791948275329E-2</v>
      </c>
    </row>
    <row r="39" spans="1:14" x14ac:dyDescent="0.25">
      <c r="A39" s="2">
        <v>40847</v>
      </c>
      <c r="B39">
        <v>5.7445774555426876E-3</v>
      </c>
      <c r="D39" s="2"/>
      <c r="G39" s="2">
        <v>40847</v>
      </c>
      <c r="H39">
        <v>5.9432721188454884E-3</v>
      </c>
      <c r="J39" s="2">
        <v>40847</v>
      </c>
      <c r="K39">
        <v>1.2648897077129906E-3</v>
      </c>
      <c r="M39" s="2">
        <v>40847</v>
      </c>
      <c r="N39">
        <v>0.10914712904344559</v>
      </c>
    </row>
    <row r="40" spans="1:14" x14ac:dyDescent="0.25">
      <c r="A40" s="2">
        <v>40877</v>
      </c>
      <c r="B40">
        <v>-1.1124083227198822E-2</v>
      </c>
      <c r="D40" s="2"/>
      <c r="G40" s="2">
        <v>40877</v>
      </c>
      <c r="H40">
        <v>-4.7732864484705151E-2</v>
      </c>
      <c r="J40" s="2">
        <v>40877</v>
      </c>
      <c r="K40">
        <v>-3.3077493988833417E-3</v>
      </c>
      <c r="M40" s="2">
        <v>40877</v>
      </c>
      <c r="N40">
        <v>-4.0637549385384997E-3</v>
      </c>
    </row>
    <row r="41" spans="1:14" x14ac:dyDescent="0.25">
      <c r="A41" s="2">
        <v>40908</v>
      </c>
      <c r="B41">
        <v>2.8454572360369523E-2</v>
      </c>
      <c r="D41" s="2"/>
      <c r="G41" s="2">
        <v>40908</v>
      </c>
      <c r="H41">
        <v>1.6389523835491415E-2</v>
      </c>
      <c r="J41" s="2">
        <v>40908</v>
      </c>
      <c r="K41">
        <v>1.3567172252466175E-2</v>
      </c>
      <c r="M41" s="2">
        <v>40908</v>
      </c>
      <c r="N41">
        <v>1.0448395694018231E-2</v>
      </c>
    </row>
    <row r="42" spans="1:14" x14ac:dyDescent="0.25">
      <c r="A42" s="2">
        <v>40939</v>
      </c>
      <c r="B42">
        <v>1.2954550826264066E-2</v>
      </c>
      <c r="D42" s="2"/>
      <c r="G42" s="2">
        <v>40939</v>
      </c>
      <c r="H42">
        <v>-1.2712751525917332E-2</v>
      </c>
      <c r="J42" s="2">
        <v>40939</v>
      </c>
      <c r="K42">
        <v>7.2562650695562336E-3</v>
      </c>
      <c r="M42" s="2">
        <v>40939</v>
      </c>
      <c r="N42">
        <v>4.637456454331268E-2</v>
      </c>
    </row>
    <row r="43" spans="1:14" x14ac:dyDescent="0.25">
      <c r="A43" s="2">
        <v>40968</v>
      </c>
      <c r="B43">
        <v>1.7789150963654077E-3</v>
      </c>
      <c r="D43" s="2"/>
      <c r="G43" s="2">
        <v>40968</v>
      </c>
      <c r="H43">
        <v>2.7258773377179857E-2</v>
      </c>
      <c r="J43" s="2">
        <v>40968</v>
      </c>
      <c r="K43">
        <v>-1.3540138575529603E-4</v>
      </c>
      <c r="M43" s="2">
        <v>40968</v>
      </c>
      <c r="N43">
        <v>4.3405393327891062E-2</v>
      </c>
    </row>
    <row r="44" spans="1:14" x14ac:dyDescent="0.25">
      <c r="A44" s="2">
        <v>40999</v>
      </c>
      <c r="B44">
        <v>6.7330806662608822E-3</v>
      </c>
      <c r="D44" s="2"/>
      <c r="G44" s="2">
        <v>40999</v>
      </c>
      <c r="H44">
        <v>-1.1074928869126643E-2</v>
      </c>
      <c r="J44" s="2">
        <v>40999</v>
      </c>
      <c r="K44">
        <v>-5.7294656338595651E-3</v>
      </c>
      <c r="M44" s="2">
        <v>40999</v>
      </c>
      <c r="N44">
        <v>3.2163773439916055E-2</v>
      </c>
    </row>
    <row r="45" spans="1:14" x14ac:dyDescent="0.25">
      <c r="A45" s="2">
        <v>41029</v>
      </c>
      <c r="B45">
        <v>8.4707581508220997E-3</v>
      </c>
      <c r="D45" s="2"/>
      <c r="G45" s="2">
        <v>41029</v>
      </c>
      <c r="H45">
        <v>1.2700050974492338E-2</v>
      </c>
      <c r="J45" s="2">
        <v>41029</v>
      </c>
      <c r="K45">
        <v>9.0596369977262725E-3</v>
      </c>
      <c r="M45" s="2">
        <v>41029</v>
      </c>
      <c r="N45">
        <v>-6.675679994346928E-3</v>
      </c>
    </row>
    <row r="46" spans="1:14" x14ac:dyDescent="0.25">
      <c r="A46" s="2">
        <v>41060</v>
      </c>
      <c r="B46">
        <v>5.095019701222725E-3</v>
      </c>
      <c r="D46" s="2"/>
      <c r="G46" s="2">
        <v>41060</v>
      </c>
      <c r="H46">
        <v>-3.3768465102590683E-2</v>
      </c>
      <c r="J46" s="2">
        <v>41060</v>
      </c>
      <c r="K46">
        <v>1.0781919697119946E-2</v>
      </c>
      <c r="M46" s="2">
        <v>41060</v>
      </c>
      <c r="N46">
        <v>-6.0055727932028291E-2</v>
      </c>
    </row>
    <row r="47" spans="1:14" x14ac:dyDescent="0.25">
      <c r="A47" s="2">
        <v>41090</v>
      </c>
      <c r="B47">
        <v>1.3014147771222007E-3</v>
      </c>
      <c r="D47" s="2"/>
      <c r="G47" s="2">
        <v>41090</v>
      </c>
      <c r="H47">
        <v>9.6929870553454922E-3</v>
      </c>
      <c r="J47" s="2">
        <v>41090</v>
      </c>
      <c r="K47">
        <v>-1.9753630170193937E-4</v>
      </c>
      <c r="M47" s="2">
        <v>41090</v>
      </c>
      <c r="N47">
        <v>4.0581063304806486E-2</v>
      </c>
    </row>
    <row r="48" spans="1:14" x14ac:dyDescent="0.25">
      <c r="A48" s="2">
        <v>41121</v>
      </c>
      <c r="B48">
        <v>1.8735222149739217E-2</v>
      </c>
      <c r="D48" s="2"/>
      <c r="G48" s="2">
        <v>41121</v>
      </c>
      <c r="H48">
        <v>1.0528243109694024E-2</v>
      </c>
      <c r="J48" s="2">
        <v>41121</v>
      </c>
      <c r="K48">
        <v>1.362107213630237E-2</v>
      </c>
      <c r="M48" s="2">
        <v>41121</v>
      </c>
      <c r="N48">
        <v>1.1829544239647882E-2</v>
      </c>
    </row>
    <row r="49" spans="1:14" x14ac:dyDescent="0.25">
      <c r="A49" s="2">
        <v>41152</v>
      </c>
      <c r="B49">
        <v>1.0167286148009769E-2</v>
      </c>
      <c r="D49" s="2"/>
      <c r="G49" s="2">
        <v>41152</v>
      </c>
      <c r="H49">
        <v>2.2244141859520949E-2</v>
      </c>
      <c r="J49" s="2">
        <v>41152</v>
      </c>
      <c r="K49">
        <v>3.9755314373834949E-8</v>
      </c>
      <c r="M49" s="2">
        <v>41152</v>
      </c>
      <c r="N49">
        <v>2.5052619658628705E-2</v>
      </c>
    </row>
    <row r="50" spans="1:14" x14ac:dyDescent="0.25">
      <c r="A50" s="2">
        <v>41182</v>
      </c>
      <c r="B50">
        <v>1.9898966357545733E-2</v>
      </c>
      <c r="D50" s="2"/>
      <c r="G50" s="2">
        <v>41182</v>
      </c>
      <c r="H50">
        <v>1.6758024596950083E-2</v>
      </c>
      <c r="J50" s="2">
        <v>41182</v>
      </c>
      <c r="K50">
        <v>2.6660409710501654E-3</v>
      </c>
      <c r="M50" s="2">
        <v>41182</v>
      </c>
      <c r="N50">
        <v>2.5350914725459361E-2</v>
      </c>
    </row>
    <row r="51" spans="1:14" x14ac:dyDescent="0.25">
      <c r="A51" s="2">
        <v>41213</v>
      </c>
      <c r="B51">
        <v>2.4795637871626308E-3</v>
      </c>
      <c r="D51" s="2"/>
      <c r="G51" s="2">
        <v>41213</v>
      </c>
      <c r="H51">
        <v>1.4277913989116708E-2</v>
      </c>
      <c r="J51" s="2">
        <v>41213</v>
      </c>
      <c r="K51">
        <v>-4.7215741273953782E-4</v>
      </c>
      <c r="M51" s="2">
        <v>41213</v>
      </c>
      <c r="N51">
        <v>-1.8198201817352877E-2</v>
      </c>
    </row>
    <row r="52" spans="1:14" x14ac:dyDescent="0.25">
      <c r="A52" s="2">
        <v>41243</v>
      </c>
      <c r="B52">
        <v>9.6331617424114668E-3</v>
      </c>
      <c r="D52" s="2"/>
      <c r="G52" s="2">
        <v>41243</v>
      </c>
      <c r="H52">
        <v>-8.7766369258934773E-3</v>
      </c>
      <c r="J52" s="2">
        <v>41243</v>
      </c>
      <c r="K52">
        <v>2.7066002506344056E-3</v>
      </c>
      <c r="M52" s="2">
        <v>41243</v>
      </c>
      <c r="N52">
        <v>5.6596199272587189E-3</v>
      </c>
    </row>
    <row r="53" spans="1:14" x14ac:dyDescent="0.25">
      <c r="A53" s="2">
        <v>41274</v>
      </c>
      <c r="B53">
        <v>5.677198022329133E-3</v>
      </c>
      <c r="D53" s="2"/>
      <c r="G53" s="2">
        <v>41274</v>
      </c>
      <c r="H53">
        <v>6.177521730669655E-3</v>
      </c>
      <c r="J53" s="2">
        <v>41274</v>
      </c>
      <c r="K53">
        <v>-2.4521452675964062E-3</v>
      </c>
      <c r="M53" s="2">
        <v>41274</v>
      </c>
      <c r="N53">
        <v>8.9344987474277993E-3</v>
      </c>
    </row>
    <row r="54" spans="1:14" x14ac:dyDescent="0.25">
      <c r="A54" s="2">
        <v>41305</v>
      </c>
      <c r="B54">
        <v>-4.587577674999288E-4</v>
      </c>
      <c r="D54" s="2"/>
      <c r="G54" s="2">
        <v>41305</v>
      </c>
      <c r="H54">
        <v>1.5544133198561738E-3</v>
      </c>
      <c r="J54" s="2">
        <v>41305</v>
      </c>
      <c r="K54">
        <v>-6.2117615154720918E-3</v>
      </c>
      <c r="M54" s="2">
        <v>41305</v>
      </c>
      <c r="N54">
        <v>5.1190175669523219E-2</v>
      </c>
    </row>
    <row r="55" spans="1:14" x14ac:dyDescent="0.25">
      <c r="A55" s="2">
        <v>41333</v>
      </c>
      <c r="B55">
        <v>7.0601863942802989E-3</v>
      </c>
      <c r="D55" s="2"/>
      <c r="G55" s="2">
        <v>41333</v>
      </c>
      <c r="H55">
        <v>-2.6736798374619286E-2</v>
      </c>
      <c r="J55" s="2">
        <v>41333</v>
      </c>
      <c r="K55">
        <v>5.9085509619494214E-3</v>
      </c>
      <c r="M55" s="2">
        <v>41333</v>
      </c>
      <c r="N55">
        <v>1.2758874885075988E-2</v>
      </c>
    </row>
    <row r="56" spans="1:14" x14ac:dyDescent="0.25">
      <c r="A56" s="2">
        <v>41364</v>
      </c>
      <c r="B56">
        <v>7.7577959348891223E-3</v>
      </c>
      <c r="D56" s="2"/>
      <c r="G56" s="2">
        <v>41364</v>
      </c>
      <c r="H56">
        <v>-4.7222431855336033E-3</v>
      </c>
      <c r="J56" s="2">
        <v>41364</v>
      </c>
      <c r="K56">
        <v>9.8537293656053571E-4</v>
      </c>
      <c r="M56" s="2">
        <v>41364</v>
      </c>
      <c r="N56">
        <v>3.7971169863387777E-2</v>
      </c>
    </row>
    <row r="57" spans="1:14" x14ac:dyDescent="0.25">
      <c r="A57" s="2">
        <v>41394</v>
      </c>
      <c r="B57">
        <v>7.1586745923553075E-3</v>
      </c>
      <c r="D57" s="2"/>
      <c r="G57" s="2">
        <v>41394</v>
      </c>
      <c r="H57">
        <v>2.3211904547682405E-2</v>
      </c>
      <c r="J57" s="2">
        <v>41394</v>
      </c>
      <c r="K57">
        <v>9.6858938999277999E-3</v>
      </c>
      <c r="M57" s="2">
        <v>41394</v>
      </c>
      <c r="N57">
        <v>1.9212322075700561E-2</v>
      </c>
    </row>
    <row r="58" spans="1:14" x14ac:dyDescent="0.25">
      <c r="A58" s="2">
        <v>41425</v>
      </c>
      <c r="B58">
        <v>-1.9523377328873326E-2</v>
      </c>
      <c r="D58" s="2"/>
      <c r="G58" s="2">
        <v>41425</v>
      </c>
      <c r="H58">
        <v>-3.1397178515931601E-2</v>
      </c>
      <c r="J58" s="2">
        <v>41425</v>
      </c>
      <c r="K58">
        <v>-2.001114542324034E-2</v>
      </c>
      <c r="M58" s="2">
        <v>41425</v>
      </c>
      <c r="N58">
        <v>2.3609745795869275E-2</v>
      </c>
    </row>
    <row r="59" spans="1:14" x14ac:dyDescent="0.25">
      <c r="A59" s="2">
        <v>41455</v>
      </c>
      <c r="B59">
        <v>-1.8822725363579207E-2</v>
      </c>
      <c r="D59" s="2"/>
      <c r="G59" s="2">
        <v>41455</v>
      </c>
      <c r="H59">
        <v>-2.2395590128185705E-2</v>
      </c>
      <c r="J59" s="2">
        <v>41455</v>
      </c>
      <c r="K59">
        <v>-1.5654451468650965E-2</v>
      </c>
      <c r="M59" s="2">
        <v>41455</v>
      </c>
      <c r="N59">
        <v>-1.3344497098375707E-2</v>
      </c>
    </row>
    <row r="60" spans="1:14" x14ac:dyDescent="0.25">
      <c r="A60" s="2">
        <v>41486</v>
      </c>
      <c r="B60">
        <v>8.2803307559446981E-3</v>
      </c>
      <c r="D60" s="2"/>
      <c r="G60" s="2">
        <v>41486</v>
      </c>
      <c r="H60">
        <v>2.5308504971970791E-2</v>
      </c>
      <c r="J60" s="2">
        <v>41486</v>
      </c>
      <c r="K60">
        <v>2.6913410946103333E-3</v>
      </c>
      <c r="M60" s="2">
        <v>41486</v>
      </c>
      <c r="N60">
        <v>5.1676905631604875E-2</v>
      </c>
    </row>
    <row r="61" spans="1:14" x14ac:dyDescent="0.25">
      <c r="A61" s="2">
        <v>41517</v>
      </c>
      <c r="B61">
        <v>-4.0631025235626783E-3</v>
      </c>
      <c r="D61" s="2"/>
      <c r="G61" s="2">
        <v>41517</v>
      </c>
      <c r="H61">
        <v>-7.2903707501523751E-3</v>
      </c>
      <c r="J61" s="2">
        <v>41517</v>
      </c>
      <c r="K61">
        <v>-8.2637638595317586E-3</v>
      </c>
      <c r="M61" s="2">
        <v>41517</v>
      </c>
      <c r="N61">
        <v>-2.9992372485860397E-2</v>
      </c>
    </row>
    <row r="62" spans="1:14" x14ac:dyDescent="0.25">
      <c r="A62" s="2">
        <v>41547</v>
      </c>
      <c r="B62">
        <v>5.4223606455727769E-3</v>
      </c>
      <c r="D62" s="2"/>
      <c r="G62" s="2">
        <v>41547</v>
      </c>
      <c r="H62">
        <v>2.8898236113057196E-2</v>
      </c>
      <c r="J62" s="2">
        <v>41547</v>
      </c>
      <c r="K62">
        <v>1.1206295377440556E-2</v>
      </c>
      <c r="M62" s="2">
        <v>41547</v>
      </c>
      <c r="N62">
        <v>3.1646433255809292E-2</v>
      </c>
    </row>
    <row r="63" spans="1:14" x14ac:dyDescent="0.25">
      <c r="A63" s="2">
        <v>41578</v>
      </c>
      <c r="B63">
        <v>8.621347310549865E-3</v>
      </c>
      <c r="D63" s="2"/>
      <c r="G63" s="2">
        <v>41578</v>
      </c>
      <c r="H63">
        <v>1.3763948347134125E-2</v>
      </c>
      <c r="J63" s="2">
        <v>41578</v>
      </c>
      <c r="K63">
        <v>8.3264333351931175E-3</v>
      </c>
      <c r="M63" s="2">
        <v>41578</v>
      </c>
      <c r="N63">
        <v>4.6306759685014853E-2</v>
      </c>
    </row>
    <row r="64" spans="1:14" x14ac:dyDescent="0.25">
      <c r="A64" s="2">
        <v>41608</v>
      </c>
      <c r="B64">
        <v>5.1760157186677702E-3</v>
      </c>
      <c r="D64" s="2"/>
      <c r="G64" s="2">
        <v>41608</v>
      </c>
      <c r="H64">
        <v>-1.0908028652716784E-2</v>
      </c>
      <c r="J64" s="2">
        <v>41608</v>
      </c>
      <c r="K64">
        <v>-2.5066899729843106E-3</v>
      </c>
      <c r="M64" s="2">
        <v>41608</v>
      </c>
      <c r="N64">
        <v>2.9637676799003421E-2</v>
      </c>
    </row>
    <row r="65" spans="1:14" x14ac:dyDescent="0.25">
      <c r="A65" s="2">
        <v>41639</v>
      </c>
      <c r="B65">
        <v>-9.2258707042380816E-4</v>
      </c>
      <c r="D65" s="2"/>
      <c r="G65" s="2">
        <v>41639</v>
      </c>
      <c r="H65">
        <v>-7.8964690645455526E-4</v>
      </c>
      <c r="J65" s="2">
        <v>41639</v>
      </c>
      <c r="K65">
        <v>-5.5675102447354519E-3</v>
      </c>
      <c r="M65" s="2">
        <v>41639</v>
      </c>
      <c r="N65">
        <v>2.5926447458732627E-2</v>
      </c>
    </row>
    <row r="66" spans="1:14" x14ac:dyDescent="0.25">
      <c r="A66" s="2">
        <v>41670</v>
      </c>
      <c r="B66">
        <v>9.1291511565121386E-3</v>
      </c>
      <c r="D66" s="2"/>
      <c r="G66" s="2">
        <v>41670</v>
      </c>
      <c r="H66">
        <v>5.4895258744431796E-3</v>
      </c>
      <c r="J66" s="2">
        <v>41670</v>
      </c>
      <c r="K66">
        <v>1.5409180333327388E-2</v>
      </c>
      <c r="M66" s="2">
        <v>41670</v>
      </c>
      <c r="N66">
        <v>-3.5248303290587479E-2</v>
      </c>
    </row>
    <row r="67" spans="1:14" x14ac:dyDescent="0.25">
      <c r="A67" s="2">
        <v>41698</v>
      </c>
      <c r="B67">
        <v>8.3960006597383341E-3</v>
      </c>
      <c r="D67" s="2"/>
      <c r="G67" s="2">
        <v>41698</v>
      </c>
      <c r="H67">
        <v>2.2053025426741923E-2</v>
      </c>
      <c r="J67" s="2">
        <v>41698</v>
      </c>
      <c r="K67">
        <v>3.7639591411762208E-3</v>
      </c>
      <c r="M67" s="2">
        <v>41698</v>
      </c>
      <c r="N67">
        <v>4.5515775951320503E-2</v>
      </c>
    </row>
    <row r="68" spans="1:14" x14ac:dyDescent="0.25">
      <c r="A68" s="2">
        <v>41729</v>
      </c>
      <c r="B68">
        <v>6.7521772303933414E-3</v>
      </c>
      <c r="D68" s="2"/>
      <c r="G68" s="2">
        <v>41729</v>
      </c>
      <c r="H68">
        <v>2.2098304065205632E-3</v>
      </c>
      <c r="J68" s="2">
        <v>41729</v>
      </c>
      <c r="K68">
        <v>-1.480475353023758E-3</v>
      </c>
      <c r="M68" s="2">
        <v>41729</v>
      </c>
      <c r="N68">
        <v>8.2955864585396721E-3</v>
      </c>
    </row>
    <row r="69" spans="1:14" x14ac:dyDescent="0.25">
      <c r="A69" s="2">
        <v>41759</v>
      </c>
      <c r="B69">
        <v>6.7206686213827638E-3</v>
      </c>
      <c r="D69" s="2"/>
      <c r="G69" s="2">
        <v>41759</v>
      </c>
      <c r="H69">
        <v>1.3974103705743923E-2</v>
      </c>
      <c r="J69" s="2">
        <v>41759</v>
      </c>
      <c r="K69">
        <v>8.2168030990656948E-3</v>
      </c>
      <c r="M69" s="2">
        <v>41759</v>
      </c>
      <c r="N69">
        <v>6.951512256845982E-3</v>
      </c>
    </row>
    <row r="70" spans="1:14" x14ac:dyDescent="0.25">
      <c r="A70" s="2">
        <v>41790</v>
      </c>
      <c r="B70">
        <v>5.7589815686533985E-3</v>
      </c>
      <c r="D70" s="2"/>
      <c r="G70" s="2">
        <v>41790</v>
      </c>
      <c r="H70">
        <v>-3.1677804792651365E-4</v>
      </c>
      <c r="J70" s="2">
        <v>41790</v>
      </c>
      <c r="K70">
        <v>1.1790590848283822E-2</v>
      </c>
      <c r="M70" s="2">
        <v>41790</v>
      </c>
      <c r="N70">
        <v>2.3206390276856226E-2</v>
      </c>
    </row>
    <row r="71" spans="1:14" x14ac:dyDescent="0.25">
      <c r="A71" s="2">
        <v>41820</v>
      </c>
      <c r="B71">
        <v>8.974200154272749E-3</v>
      </c>
      <c r="D71" s="2"/>
      <c r="G71" s="2">
        <v>41820</v>
      </c>
      <c r="H71">
        <v>1.2105636793514174E-2</v>
      </c>
      <c r="J71" s="2">
        <v>41820</v>
      </c>
      <c r="K71">
        <v>-5.7551875408612396E-4</v>
      </c>
      <c r="M71" s="2">
        <v>41820</v>
      </c>
      <c r="N71">
        <v>2.0644862545368348E-2</v>
      </c>
    </row>
    <row r="72" spans="1:14" x14ac:dyDescent="0.25">
      <c r="A72" s="2">
        <v>41851</v>
      </c>
      <c r="B72">
        <v>8.8148659143052477E-3</v>
      </c>
      <c r="D72" s="2"/>
      <c r="G72" s="2">
        <v>41851</v>
      </c>
      <c r="H72">
        <v>-1.3600936071189063E-2</v>
      </c>
      <c r="J72" s="2">
        <v>41851</v>
      </c>
      <c r="K72">
        <v>-2.5090308029929176E-3</v>
      </c>
      <c r="M72" s="2">
        <v>41851</v>
      </c>
      <c r="N72">
        <v>-1.3437591212895672E-2</v>
      </c>
    </row>
    <row r="73" spans="1:14" x14ac:dyDescent="0.25">
      <c r="A73" s="2">
        <v>41882</v>
      </c>
      <c r="B73">
        <v>1.5317079545781542E-2</v>
      </c>
      <c r="D73" s="2"/>
      <c r="G73" s="2">
        <v>41882</v>
      </c>
      <c r="H73">
        <v>1.9307053816166597E-3</v>
      </c>
      <c r="J73" s="2">
        <v>41882</v>
      </c>
      <c r="K73">
        <v>1.1496385365127981E-2</v>
      </c>
      <c r="M73" s="2">
        <v>41882</v>
      </c>
      <c r="N73">
        <v>3.9463518839607081E-2</v>
      </c>
    </row>
    <row r="74" spans="1:14" x14ac:dyDescent="0.25">
      <c r="A74" s="2">
        <v>41912</v>
      </c>
      <c r="B74">
        <v>9.0744397942255084E-4</v>
      </c>
      <c r="D74" s="2"/>
      <c r="G74" s="2">
        <v>41912</v>
      </c>
      <c r="H74">
        <v>-4.2538783232313859E-2</v>
      </c>
      <c r="J74" s="2">
        <v>41912</v>
      </c>
      <c r="K74">
        <v>-6.1484200418729928E-3</v>
      </c>
      <c r="M74" s="2">
        <v>41912</v>
      </c>
      <c r="N74">
        <v>-1.3796255836847737E-2</v>
      </c>
    </row>
    <row r="75" spans="1:14" x14ac:dyDescent="0.25">
      <c r="A75" s="2">
        <v>41943</v>
      </c>
      <c r="B75">
        <v>6.1290334122825474E-3</v>
      </c>
      <c r="D75" s="2"/>
      <c r="G75" s="2">
        <v>41943</v>
      </c>
      <c r="H75">
        <v>-6.7581419741871152E-3</v>
      </c>
      <c r="J75" s="2">
        <v>41943</v>
      </c>
      <c r="K75">
        <v>1.0640718834435736E-2</v>
      </c>
      <c r="M75" s="2">
        <v>41943</v>
      </c>
      <c r="N75">
        <v>2.3550906788805781E-2</v>
      </c>
    </row>
    <row r="76" spans="1:14" x14ac:dyDescent="0.25">
      <c r="A76" s="2">
        <v>41973</v>
      </c>
      <c r="B76">
        <v>1.3895533668864868E-2</v>
      </c>
      <c r="D76" s="2"/>
      <c r="G76" s="2">
        <v>41973</v>
      </c>
      <c r="H76">
        <v>-6.5020600262997164E-3</v>
      </c>
      <c r="J76" s="2">
        <v>41973</v>
      </c>
      <c r="K76">
        <v>6.5703238738048508E-3</v>
      </c>
      <c r="M76" s="2">
        <v>41973</v>
      </c>
      <c r="N76">
        <v>2.7471947995168167E-2</v>
      </c>
    </row>
    <row r="77" spans="1:14" x14ac:dyDescent="0.25">
      <c r="A77" s="2">
        <v>42004</v>
      </c>
      <c r="B77">
        <v>1.1701360193112631E-2</v>
      </c>
      <c r="D77" s="2"/>
      <c r="G77" s="2">
        <v>42004</v>
      </c>
      <c r="H77">
        <v>-8.9675057494066346E-3</v>
      </c>
      <c r="J77" s="2">
        <v>42004</v>
      </c>
      <c r="K77">
        <v>1.4760643332749623E-3</v>
      </c>
      <c r="M77" s="2">
        <v>42004</v>
      </c>
      <c r="N77">
        <v>-2.5366090033506206E-3</v>
      </c>
    </row>
    <row r="78" spans="1:14" x14ac:dyDescent="0.25">
      <c r="A78" s="2">
        <v>42035</v>
      </c>
      <c r="B78">
        <v>1.959440712181304E-2</v>
      </c>
      <c r="D78" s="2"/>
      <c r="G78" s="2">
        <v>42035</v>
      </c>
      <c r="H78">
        <v>-2.8208255820871275E-2</v>
      </c>
      <c r="J78" s="2">
        <v>42035</v>
      </c>
      <c r="K78">
        <v>2.0523017867023707E-2</v>
      </c>
      <c r="M78" s="2">
        <v>42035</v>
      </c>
      <c r="N78">
        <v>-2.9629253756223051E-2</v>
      </c>
    </row>
    <row r="79" spans="1:14" x14ac:dyDescent="0.25">
      <c r="A79" s="2">
        <v>42063</v>
      </c>
      <c r="B79">
        <v>-1.9137936759199281E-3</v>
      </c>
      <c r="D79" s="2"/>
      <c r="G79" s="2">
        <v>42063</v>
      </c>
      <c r="H79">
        <v>-8.1880775508641479E-3</v>
      </c>
      <c r="J79" s="2">
        <v>42063</v>
      </c>
      <c r="K79">
        <v>-8.9480026614139341E-3</v>
      </c>
      <c r="M79" s="2">
        <v>42063</v>
      </c>
      <c r="N79">
        <v>5.620459537799305E-2</v>
      </c>
    </row>
    <row r="80" spans="1:14" x14ac:dyDescent="0.25">
      <c r="A80" s="2">
        <v>42094</v>
      </c>
      <c r="B80">
        <v>6.9478986261519715E-3</v>
      </c>
      <c r="D80" s="2"/>
      <c r="G80" s="2">
        <v>42094</v>
      </c>
      <c r="H80">
        <v>-1.7602192426503183E-2</v>
      </c>
      <c r="J80" s="2">
        <v>42094</v>
      </c>
      <c r="K80">
        <v>3.7473194109920449E-3</v>
      </c>
      <c r="M80" s="2">
        <v>42094</v>
      </c>
      <c r="N80">
        <v>-1.5705720382634847E-2</v>
      </c>
    </row>
    <row r="81" spans="1:14" x14ac:dyDescent="0.25">
      <c r="A81" s="2">
        <v>42124</v>
      </c>
      <c r="B81">
        <v>-1.1626707065275244E-2</v>
      </c>
      <c r="D81" s="2"/>
      <c r="G81" s="2">
        <v>42124</v>
      </c>
      <c r="H81">
        <v>2.2508720354327272E-2</v>
      </c>
      <c r="J81" s="2">
        <v>42124</v>
      </c>
      <c r="K81">
        <v>-3.2278489168864333E-3</v>
      </c>
      <c r="M81" s="2">
        <v>42124</v>
      </c>
      <c r="N81">
        <v>9.8339115668917287E-3</v>
      </c>
    </row>
    <row r="82" spans="1:14" x14ac:dyDescent="0.25">
      <c r="A82" s="2">
        <v>42155</v>
      </c>
      <c r="B82">
        <v>-1.2414884208695076E-2</v>
      </c>
      <c r="D82" s="2"/>
      <c r="G82" s="2">
        <v>42155</v>
      </c>
      <c r="H82">
        <v>-3.516082446730695E-2</v>
      </c>
      <c r="J82" s="2">
        <v>42155</v>
      </c>
      <c r="K82">
        <v>-4.3739949676774303E-3</v>
      </c>
      <c r="M82" s="2">
        <v>42155</v>
      </c>
      <c r="N82">
        <v>1.2856148709845971E-2</v>
      </c>
    </row>
    <row r="83" spans="1:14" x14ac:dyDescent="0.25">
      <c r="A83" s="2">
        <v>42185</v>
      </c>
      <c r="B83">
        <v>-1.743901010526705E-2</v>
      </c>
      <c r="D83" s="2"/>
      <c r="G83" s="2">
        <v>42185</v>
      </c>
      <c r="H83">
        <v>-5.3173789678008232E-3</v>
      </c>
      <c r="J83" s="2">
        <v>42185</v>
      </c>
      <c r="K83">
        <v>-1.0767173151266407E-2</v>
      </c>
      <c r="M83" s="2">
        <v>42185</v>
      </c>
      <c r="N83">
        <v>-2.0312060889443484E-2</v>
      </c>
    </row>
    <row r="84" spans="1:14" x14ac:dyDescent="0.25">
      <c r="A84" s="2">
        <v>42216</v>
      </c>
      <c r="B84">
        <v>1.7876665688246085E-2</v>
      </c>
      <c r="D84" s="2"/>
      <c r="G84" s="2">
        <v>42216</v>
      </c>
      <c r="H84">
        <v>4.4553515124112764E-4</v>
      </c>
      <c r="J84" s="2">
        <v>42216</v>
      </c>
      <c r="K84">
        <v>8.6216292791709837E-3</v>
      </c>
      <c r="M84" s="2">
        <v>42216</v>
      </c>
      <c r="N84">
        <v>2.2589235431014654E-2</v>
      </c>
    </row>
    <row r="85" spans="1:14" x14ac:dyDescent="0.25">
      <c r="A85" s="2">
        <v>42247</v>
      </c>
      <c r="B85">
        <v>-8.8874137919435769E-3</v>
      </c>
      <c r="D85" s="2"/>
      <c r="G85" s="2">
        <v>42247</v>
      </c>
      <c r="H85">
        <v>6.0126628670447158E-3</v>
      </c>
      <c r="J85" s="2">
        <v>42247</v>
      </c>
      <c r="K85">
        <v>-3.3581406220829502E-3</v>
      </c>
      <c r="M85" s="2">
        <v>42247</v>
      </c>
      <c r="N85">
        <v>-6.0950127139620225E-2</v>
      </c>
    </row>
    <row r="86" spans="1:14" x14ac:dyDescent="0.25">
      <c r="A86" s="2">
        <v>42277</v>
      </c>
      <c r="B86">
        <v>3.1206128915808318E-3</v>
      </c>
      <c r="D86" s="2"/>
      <c r="G86" s="2">
        <v>42277</v>
      </c>
      <c r="H86">
        <v>7.8704159899267712E-3</v>
      </c>
      <c r="J86" s="2">
        <v>42277</v>
      </c>
      <c r="K86">
        <v>8.1142733735828365E-3</v>
      </c>
      <c r="M86" s="2">
        <v>42277</v>
      </c>
      <c r="N86">
        <v>-2.5515915152330315E-2</v>
      </c>
    </row>
    <row r="87" spans="1:14" x14ac:dyDescent="0.25">
      <c r="A87" s="2">
        <v>42308</v>
      </c>
      <c r="B87">
        <v>7.7360461425270977E-3</v>
      </c>
      <c r="D87" s="2"/>
      <c r="G87" s="2">
        <v>42308</v>
      </c>
      <c r="H87">
        <v>-4.1735911242689605E-3</v>
      </c>
      <c r="J87" s="2">
        <v>42308</v>
      </c>
      <c r="K87">
        <v>6.8567939396801947E-4</v>
      </c>
      <c r="M87" s="2">
        <v>42308</v>
      </c>
      <c r="N87">
        <v>8.5059687802027995E-2</v>
      </c>
    </row>
    <row r="88" spans="1:14" x14ac:dyDescent="0.25">
      <c r="A88" s="2">
        <v>42338</v>
      </c>
      <c r="B88">
        <v>4.7798911066716521E-3</v>
      </c>
      <c r="D88" s="2"/>
      <c r="G88" s="2">
        <v>42338</v>
      </c>
      <c r="H88">
        <v>-2.525642944879225E-2</v>
      </c>
      <c r="J88" s="2">
        <v>42338</v>
      </c>
      <c r="K88">
        <v>-3.8906843478313524E-3</v>
      </c>
      <c r="M88" s="2">
        <v>42338</v>
      </c>
      <c r="N88">
        <v>3.6551210017865543E-3</v>
      </c>
    </row>
    <row r="89" spans="1:14" x14ac:dyDescent="0.25">
      <c r="A89" s="2">
        <v>42369</v>
      </c>
      <c r="B89">
        <v>-6.9620223684687677E-3</v>
      </c>
      <c r="D89" s="2"/>
      <c r="G89" s="2">
        <v>42369</v>
      </c>
      <c r="H89">
        <v>1.4867187967613438E-2</v>
      </c>
      <c r="J89" s="2">
        <v>42369</v>
      </c>
      <c r="K89">
        <v>-1.9170836352168097E-3</v>
      </c>
      <c r="M89" s="2">
        <v>42369</v>
      </c>
      <c r="N89">
        <v>-1.728252246446571E-2</v>
      </c>
    </row>
    <row r="90" spans="1:14" x14ac:dyDescent="0.25">
      <c r="A90" s="2">
        <v>42400</v>
      </c>
      <c r="B90">
        <v>1.0496976173408834E-2</v>
      </c>
      <c r="D90" s="2"/>
      <c r="G90" s="2">
        <v>42400</v>
      </c>
      <c r="H90">
        <v>1.1598095618702509E-2</v>
      </c>
      <c r="J90" s="2">
        <v>42400</v>
      </c>
      <c r="K90">
        <v>1.2406222967001446E-2</v>
      </c>
      <c r="M90" s="2">
        <v>42400</v>
      </c>
      <c r="N90">
        <v>-4.9786600738369491E-2</v>
      </c>
    </row>
    <row r="91" spans="1:14" x14ac:dyDescent="0.25">
      <c r="A91" s="2">
        <v>42429</v>
      </c>
      <c r="B91">
        <v>4.2967470917165684E-3</v>
      </c>
      <c r="D91" s="2"/>
      <c r="G91" s="2">
        <v>42429</v>
      </c>
      <c r="H91">
        <v>3.0536922466753769E-2</v>
      </c>
      <c r="J91" s="2">
        <v>42429</v>
      </c>
      <c r="K91">
        <v>8.8707798572527086E-3</v>
      </c>
      <c r="M91" s="2">
        <v>42429</v>
      </c>
      <c r="N91">
        <v>-8.2595346583225204E-4</v>
      </c>
    </row>
    <row r="92" spans="1:14" x14ac:dyDescent="0.25">
      <c r="A92" s="2">
        <v>42460</v>
      </c>
      <c r="B92">
        <v>1.1741813927486078E-2</v>
      </c>
      <c r="D92" s="2"/>
      <c r="G92" s="2">
        <v>42460</v>
      </c>
      <c r="H92">
        <v>3.9687618194404584E-2</v>
      </c>
      <c r="J92" s="2">
        <v>42460</v>
      </c>
      <c r="K92">
        <v>8.7468129018521967E-3</v>
      </c>
      <c r="M92" s="2">
        <v>42460</v>
      </c>
      <c r="N92">
        <v>6.7266071868547384E-2</v>
      </c>
    </row>
    <row r="93" spans="1:14" x14ac:dyDescent="0.25">
      <c r="A93" s="2">
        <v>42490</v>
      </c>
      <c r="B93">
        <v>3.1511004818711719E-3</v>
      </c>
      <c r="D93" s="2"/>
      <c r="G93" s="2">
        <v>42490</v>
      </c>
      <c r="H93">
        <v>1.6804346696772221E-2</v>
      </c>
      <c r="J93" s="2">
        <v>42490</v>
      </c>
      <c r="K93">
        <v>2.5495532134043319E-3</v>
      </c>
      <c r="M93" s="2">
        <v>42490</v>
      </c>
      <c r="N93">
        <v>3.9412095560900084E-3</v>
      </c>
    </row>
    <row r="94" spans="1:14" x14ac:dyDescent="0.25">
      <c r="A94" s="2">
        <v>42521</v>
      </c>
      <c r="B94">
        <v>5.4048874057688323E-3</v>
      </c>
      <c r="D94" s="2"/>
      <c r="G94" s="2">
        <v>42521</v>
      </c>
      <c r="H94">
        <v>-2.3037395349686518E-2</v>
      </c>
      <c r="J94" s="2">
        <v>42521</v>
      </c>
      <c r="K94">
        <v>1.3548756570846976E-4</v>
      </c>
      <c r="M94" s="2">
        <v>42521</v>
      </c>
      <c r="N94">
        <v>1.7011556653318882E-2</v>
      </c>
    </row>
    <row r="95" spans="1:14" x14ac:dyDescent="0.25">
      <c r="A95" s="2">
        <v>42551</v>
      </c>
      <c r="B95">
        <v>2.2704115392310653E-2</v>
      </c>
      <c r="D95" s="2"/>
      <c r="G95" s="2">
        <v>42551</v>
      </c>
      <c r="H95">
        <v>3.1749364127963364E-2</v>
      </c>
      <c r="J95" s="2">
        <v>42551</v>
      </c>
      <c r="K95">
        <v>1.9351588850603729E-2</v>
      </c>
      <c r="M95" s="2">
        <v>42551</v>
      </c>
      <c r="N95">
        <v>3.4758509617067723E-3</v>
      </c>
    </row>
    <row r="96" spans="1:14" x14ac:dyDescent="0.25">
      <c r="A96" s="2">
        <v>42582</v>
      </c>
      <c r="B96">
        <v>9.770369973127524E-3</v>
      </c>
      <c r="D96" s="2"/>
      <c r="G96" s="2">
        <v>42582</v>
      </c>
      <c r="H96">
        <v>1.2907380451399275E-2</v>
      </c>
      <c r="J96" s="2">
        <v>42582</v>
      </c>
      <c r="K96">
        <v>5.444421124042309E-3</v>
      </c>
      <c r="M96" s="2">
        <v>42582</v>
      </c>
      <c r="N96">
        <v>3.6471255818042447E-2</v>
      </c>
    </row>
    <row r="97" spans="1:14" x14ac:dyDescent="0.25">
      <c r="A97" s="2">
        <v>42613</v>
      </c>
      <c r="B97">
        <v>2.8490976538446677E-3</v>
      </c>
      <c r="D97" s="2"/>
      <c r="G97" s="2">
        <v>42613</v>
      </c>
      <c r="H97">
        <v>-1.224895438870921E-2</v>
      </c>
      <c r="J97" s="2">
        <v>42613</v>
      </c>
      <c r="K97">
        <v>-2.1539591480986831E-3</v>
      </c>
      <c r="M97" s="2">
        <v>42613</v>
      </c>
      <c r="N97">
        <v>1.1975437845601622E-3</v>
      </c>
    </row>
    <row r="98" spans="1:14" x14ac:dyDescent="0.25">
      <c r="A98" s="2">
        <v>42643</v>
      </c>
      <c r="B98">
        <v>3.5074948922122484E-3</v>
      </c>
      <c r="D98" s="2"/>
      <c r="G98" s="2">
        <v>42643</v>
      </c>
      <c r="H98">
        <v>8.2338316445187409E-3</v>
      </c>
      <c r="J98" s="2">
        <v>42643</v>
      </c>
      <c r="K98">
        <v>5.1616304927826206E-4</v>
      </c>
      <c r="M98" s="2">
        <v>42643</v>
      </c>
      <c r="N98">
        <v>5.8013178934945842E-5</v>
      </c>
    </row>
    <row r="99" spans="1:14" x14ac:dyDescent="0.25">
      <c r="A99" s="2">
        <v>42674</v>
      </c>
      <c r="B99">
        <v>-7.9386780466701445E-3</v>
      </c>
      <c r="D99" s="2"/>
      <c r="G99" s="2">
        <v>42674</v>
      </c>
      <c r="H99">
        <v>-4.2254355851686465E-2</v>
      </c>
      <c r="J99" s="2">
        <v>42674</v>
      </c>
      <c r="K99">
        <v>-8.1716519917208741E-3</v>
      </c>
      <c r="M99" s="2">
        <v>42674</v>
      </c>
      <c r="N99">
        <v>-1.7337033138540847E-2</v>
      </c>
    </row>
    <row r="100" spans="1:14" x14ac:dyDescent="0.25">
      <c r="A100" s="2">
        <v>42704</v>
      </c>
      <c r="B100">
        <v>-8.9604831081753211E-3</v>
      </c>
      <c r="D100" s="2"/>
      <c r="G100" s="2">
        <v>42704</v>
      </c>
      <c r="H100">
        <v>-5.2344749134268787E-2</v>
      </c>
      <c r="J100" s="2">
        <v>42704</v>
      </c>
      <c r="K100">
        <v>-2.5654920155702809E-2</v>
      </c>
      <c r="M100" s="2">
        <v>42704</v>
      </c>
      <c r="N100">
        <v>3.6838396597744794E-2</v>
      </c>
    </row>
    <row r="101" spans="1:14" x14ac:dyDescent="0.25">
      <c r="A101" s="2">
        <v>42735</v>
      </c>
      <c r="B101">
        <v>7.411362006892297E-3</v>
      </c>
      <c r="D101" s="2"/>
      <c r="G101" s="2">
        <v>42735</v>
      </c>
      <c r="H101">
        <v>-8.5108920126418797E-3</v>
      </c>
      <c r="J101" s="2">
        <v>42735</v>
      </c>
      <c r="K101">
        <v>2.5413247178476261E-3</v>
      </c>
      <c r="M101" s="2">
        <v>42735</v>
      </c>
      <c r="N101">
        <v>2.0271805376194107E-2</v>
      </c>
    </row>
    <row r="102" spans="1:14" x14ac:dyDescent="0.25">
      <c r="A102" s="2">
        <v>42766</v>
      </c>
      <c r="B102">
        <v>-8.0302676079889723E-3</v>
      </c>
      <c r="D102" s="2"/>
      <c r="G102" s="2">
        <v>42766</v>
      </c>
      <c r="H102">
        <v>1.3694090587197838E-2</v>
      </c>
      <c r="J102" s="2">
        <v>42766</v>
      </c>
      <c r="K102">
        <v>2.12848439858071E-3</v>
      </c>
      <c r="M102" s="2">
        <v>42766</v>
      </c>
      <c r="N102">
        <v>1.7894689830871391E-2</v>
      </c>
    </row>
    <row r="103" spans="1:14" x14ac:dyDescent="0.25">
      <c r="A103" s="2">
        <v>42794</v>
      </c>
      <c r="B103">
        <v>1.2536162005786E-2</v>
      </c>
      <c r="D103" s="2"/>
      <c r="G103" s="2">
        <v>42794</v>
      </c>
      <c r="H103">
        <v>-9.6673548871251125E-4</v>
      </c>
      <c r="J103" s="2">
        <v>42794</v>
      </c>
      <c r="K103">
        <v>6.7362404050543834E-3</v>
      </c>
      <c r="M103" s="2">
        <v>42794</v>
      </c>
      <c r="N103">
        <v>4.2104346864608067E-2</v>
      </c>
    </row>
    <row r="104" spans="1:14" x14ac:dyDescent="0.25">
      <c r="A104" s="2"/>
      <c r="D104" s="2"/>
      <c r="G104" s="2"/>
      <c r="J104" s="2"/>
      <c r="M104" s="2"/>
    </row>
    <row r="105" spans="1:14" x14ac:dyDescent="0.25">
      <c r="A105" s="2"/>
      <c r="D105" s="2"/>
      <c r="G105" s="2"/>
      <c r="J105" s="2"/>
      <c r="M105" s="2"/>
    </row>
    <row r="106" spans="1:14" x14ac:dyDescent="0.25">
      <c r="A106" s="2"/>
      <c r="D106" s="2"/>
      <c r="G106" s="2"/>
      <c r="J106" s="2"/>
      <c r="M106" s="2"/>
    </row>
    <row r="107" spans="1:14" x14ac:dyDescent="0.25">
      <c r="A107" s="2"/>
      <c r="D107" s="2"/>
      <c r="G107" s="2"/>
      <c r="J107" s="2"/>
      <c r="M107" s="2"/>
    </row>
    <row r="108" spans="1:14" x14ac:dyDescent="0.25">
      <c r="A108" s="2"/>
      <c r="D108" s="2"/>
      <c r="G108" s="2"/>
      <c r="J108" s="2"/>
      <c r="M108" s="2"/>
    </row>
    <row r="109" spans="1:14" x14ac:dyDescent="0.25">
      <c r="A109" s="2"/>
      <c r="D109" s="2"/>
      <c r="G109" s="2"/>
      <c r="J109" s="2"/>
      <c r="M109" s="2"/>
    </row>
    <row r="110" spans="1:14" x14ac:dyDescent="0.25">
      <c r="A110" s="2"/>
      <c r="D110" s="2"/>
      <c r="G110" s="2"/>
      <c r="J110" s="2"/>
      <c r="M110" s="2"/>
    </row>
    <row r="111" spans="1:14" x14ac:dyDescent="0.25">
      <c r="A111" s="2"/>
      <c r="D111" s="2"/>
      <c r="G111" s="2"/>
      <c r="J111" s="2"/>
      <c r="M111" s="2"/>
    </row>
    <row r="112" spans="1:14" x14ac:dyDescent="0.25">
      <c r="A112" s="2"/>
      <c r="D112" s="2"/>
      <c r="G112" s="2"/>
      <c r="J112" s="2"/>
      <c r="M112" s="2"/>
    </row>
    <row r="113" spans="1:13" x14ac:dyDescent="0.25">
      <c r="A113" s="2"/>
      <c r="D113" s="2"/>
      <c r="G113" s="2"/>
      <c r="J113" s="2"/>
      <c r="M113" s="2"/>
    </row>
    <row r="114" spans="1:13" x14ac:dyDescent="0.25">
      <c r="A114" s="2"/>
      <c r="D114" s="2"/>
      <c r="G114" s="2"/>
      <c r="J114" s="2"/>
      <c r="M114" s="2"/>
    </row>
    <row r="115" spans="1:13" x14ac:dyDescent="0.25">
      <c r="A115" s="2"/>
      <c r="D115" s="2"/>
      <c r="G115" s="2"/>
      <c r="J115" s="2"/>
      <c r="M115" s="2"/>
    </row>
    <row r="116" spans="1:13" x14ac:dyDescent="0.25">
      <c r="A116" s="2"/>
      <c r="D116" s="2"/>
      <c r="G116" s="2"/>
      <c r="J116" s="2"/>
      <c r="M116" s="2"/>
    </row>
    <row r="117" spans="1:13" x14ac:dyDescent="0.25">
      <c r="A117" s="2"/>
      <c r="D117" s="2"/>
      <c r="G117" s="2"/>
      <c r="J117" s="2"/>
      <c r="M117" s="2"/>
    </row>
    <row r="118" spans="1:13" x14ac:dyDescent="0.25">
      <c r="A118" s="2"/>
      <c r="D118" s="2"/>
      <c r="G118" s="2"/>
      <c r="J118" s="2"/>
      <c r="M118" s="2"/>
    </row>
    <row r="119" spans="1:13" x14ac:dyDescent="0.25">
      <c r="A119" s="2"/>
      <c r="D119" s="2"/>
      <c r="G119" s="2"/>
      <c r="J119" s="2"/>
      <c r="M119" s="2"/>
    </row>
    <row r="120" spans="1:13" x14ac:dyDescent="0.25">
      <c r="A120" s="2"/>
      <c r="D120" s="2"/>
      <c r="G120" s="2"/>
      <c r="J120" s="2"/>
      <c r="M120" s="2"/>
    </row>
    <row r="121" spans="1:13" x14ac:dyDescent="0.25">
      <c r="A121" s="2"/>
      <c r="D121" s="2"/>
      <c r="G121" s="2"/>
      <c r="J121" s="2"/>
      <c r="M121" s="2"/>
    </row>
    <row r="122" spans="1:13" x14ac:dyDescent="0.25">
      <c r="A122" s="2"/>
      <c r="D122" s="2"/>
      <c r="G122" s="2"/>
      <c r="J122" s="2"/>
      <c r="M122" s="2"/>
    </row>
    <row r="123" spans="1:13" x14ac:dyDescent="0.25">
      <c r="A123" s="2"/>
      <c r="D123" s="2"/>
      <c r="G123" s="2"/>
      <c r="J123" s="2"/>
      <c r="M123" s="2"/>
    </row>
    <row r="124" spans="1:13" x14ac:dyDescent="0.25">
      <c r="A124" s="2"/>
      <c r="D124" s="2"/>
      <c r="G124" s="2"/>
      <c r="J124" s="2"/>
      <c r="M124" s="2"/>
    </row>
    <row r="125" spans="1:13" x14ac:dyDescent="0.25">
      <c r="A125" s="2"/>
      <c r="D125" s="2"/>
      <c r="G125" s="2"/>
      <c r="J125" s="2"/>
      <c r="M125" s="2"/>
    </row>
    <row r="126" spans="1:13" x14ac:dyDescent="0.25">
      <c r="A126" s="2"/>
      <c r="D126" s="2"/>
      <c r="G126" s="2"/>
      <c r="J126" s="2"/>
      <c r="M126" s="2"/>
    </row>
    <row r="127" spans="1:13" x14ac:dyDescent="0.25">
      <c r="A127" s="2"/>
      <c r="D127" s="2"/>
      <c r="G127" s="2"/>
      <c r="J127" s="2"/>
      <c r="M127" s="2"/>
    </row>
    <row r="128" spans="1:13" x14ac:dyDescent="0.25">
      <c r="A128" s="2"/>
      <c r="D128" s="2"/>
      <c r="G128" s="2"/>
      <c r="J128" s="2"/>
      <c r="M128" s="2"/>
    </row>
    <row r="129" spans="1:13" x14ac:dyDescent="0.25">
      <c r="A129" s="2"/>
      <c r="D129" s="2"/>
      <c r="G129" s="2"/>
      <c r="J129" s="2"/>
      <c r="M129" s="2"/>
    </row>
    <row r="130" spans="1:13" x14ac:dyDescent="0.25">
      <c r="A130" s="2"/>
      <c r="D130" s="2"/>
      <c r="G130" s="2"/>
      <c r="J130" s="2"/>
      <c r="M130" s="2"/>
    </row>
    <row r="131" spans="1:13" x14ac:dyDescent="0.25">
      <c r="A131" s="2"/>
      <c r="D131" s="2"/>
      <c r="G131" s="2"/>
      <c r="J131" s="2"/>
      <c r="M131" s="2"/>
    </row>
    <row r="132" spans="1:13" x14ac:dyDescent="0.25">
      <c r="A132" s="2"/>
      <c r="D132" s="2"/>
      <c r="G132" s="2"/>
      <c r="J132" s="2"/>
      <c r="M132" s="2"/>
    </row>
    <row r="133" spans="1:13" x14ac:dyDescent="0.25">
      <c r="A133" s="2"/>
      <c r="D133" s="2"/>
      <c r="G133" s="2"/>
      <c r="J133" s="2"/>
      <c r="M133" s="2"/>
    </row>
    <row r="134" spans="1:13" x14ac:dyDescent="0.25">
      <c r="A134" s="2"/>
      <c r="D134" s="2"/>
      <c r="G134" s="2"/>
      <c r="J134" s="2"/>
      <c r="M134" s="2"/>
    </row>
    <row r="135" spans="1:13" x14ac:dyDescent="0.25">
      <c r="A135" s="2"/>
      <c r="D135" s="2"/>
      <c r="G135" s="2"/>
      <c r="J135" s="2"/>
      <c r="M135" s="2"/>
    </row>
    <row r="136" spans="1:13" x14ac:dyDescent="0.25">
      <c r="A136" s="2"/>
      <c r="D136" s="2"/>
      <c r="G136" s="2"/>
      <c r="J136" s="2"/>
      <c r="M136" s="2"/>
    </row>
    <row r="137" spans="1:13" x14ac:dyDescent="0.25">
      <c r="A137" s="2"/>
      <c r="D137" s="2"/>
      <c r="G137" s="2"/>
      <c r="J137" s="2"/>
      <c r="M137" s="2"/>
    </row>
    <row r="138" spans="1:13" x14ac:dyDescent="0.25">
      <c r="A138" s="2"/>
      <c r="D138" s="2"/>
      <c r="G138" s="2"/>
      <c r="J138" s="2"/>
      <c r="M138" s="2"/>
    </row>
    <row r="139" spans="1:13" x14ac:dyDescent="0.25">
      <c r="A139" s="2"/>
      <c r="D139" s="2"/>
      <c r="G139" s="2"/>
      <c r="J139" s="2"/>
      <c r="M139" s="2"/>
    </row>
    <row r="140" spans="1:13" x14ac:dyDescent="0.25">
      <c r="A140" s="2"/>
      <c r="D140" s="2"/>
      <c r="G140" s="2"/>
      <c r="J140" s="2"/>
      <c r="M140" s="2"/>
    </row>
    <row r="141" spans="1:13" x14ac:dyDescent="0.25">
      <c r="A141" s="2"/>
      <c r="D141" s="2"/>
      <c r="G141" s="2"/>
      <c r="J141" s="2"/>
      <c r="M141" s="2"/>
    </row>
    <row r="142" spans="1:13" x14ac:dyDescent="0.25">
      <c r="A142" s="2"/>
      <c r="D142" s="2"/>
      <c r="G142" s="2"/>
      <c r="J142" s="2"/>
      <c r="M142" s="2"/>
    </row>
    <row r="143" spans="1:13" x14ac:dyDescent="0.25">
      <c r="A143" s="2"/>
      <c r="D143" s="2"/>
      <c r="G143" s="2"/>
      <c r="J143" s="2"/>
      <c r="M143" s="2"/>
    </row>
    <row r="144" spans="1:13" x14ac:dyDescent="0.25">
      <c r="A144" s="2"/>
      <c r="D144" s="2"/>
      <c r="G144" s="2"/>
      <c r="J144" s="2"/>
      <c r="M144" s="2"/>
    </row>
    <row r="145" spans="1:13" x14ac:dyDescent="0.25">
      <c r="A145" s="2"/>
      <c r="D145" s="2"/>
      <c r="G145" s="2"/>
      <c r="J145" s="2"/>
      <c r="M145" s="2"/>
    </row>
    <row r="146" spans="1:13" x14ac:dyDescent="0.25">
      <c r="A146" s="2"/>
      <c r="D146" s="2"/>
      <c r="G146" s="2"/>
      <c r="J146" s="2"/>
      <c r="M146" s="2"/>
    </row>
    <row r="147" spans="1:13" x14ac:dyDescent="0.25">
      <c r="A147" s="2"/>
      <c r="D147" s="2"/>
      <c r="G147" s="2"/>
      <c r="J147" s="2"/>
      <c r="M147" s="2"/>
    </row>
    <row r="148" spans="1:13" x14ac:dyDescent="0.25">
      <c r="A148" s="2"/>
      <c r="D148" s="2"/>
      <c r="G148" s="2"/>
      <c r="J148" s="2"/>
      <c r="M148" s="2"/>
    </row>
    <row r="149" spans="1:13" x14ac:dyDescent="0.25">
      <c r="A149" s="2"/>
      <c r="D149" s="2"/>
      <c r="G149" s="2"/>
      <c r="J149" s="2"/>
      <c r="M149" s="2"/>
    </row>
    <row r="150" spans="1:13" x14ac:dyDescent="0.25">
      <c r="A150" s="2"/>
      <c r="D150" s="2"/>
      <c r="G150" s="2"/>
      <c r="J150" s="2"/>
      <c r="M150" s="2"/>
    </row>
    <row r="151" spans="1:13" x14ac:dyDescent="0.25">
      <c r="A151" s="2"/>
      <c r="D151" s="2"/>
      <c r="G151" s="2"/>
      <c r="J151" s="2"/>
      <c r="M151" s="2"/>
    </row>
    <row r="152" spans="1:13" x14ac:dyDescent="0.25">
      <c r="A152" s="2"/>
      <c r="D152" s="2"/>
      <c r="G152" s="2"/>
      <c r="J152" s="2"/>
      <c r="M152" s="2"/>
    </row>
    <row r="153" spans="1:13" x14ac:dyDescent="0.25">
      <c r="A153" s="2"/>
      <c r="D153" s="2"/>
      <c r="G153" s="2"/>
      <c r="J153" s="2"/>
      <c r="M153" s="2"/>
    </row>
    <row r="154" spans="1:13" x14ac:dyDescent="0.25">
      <c r="A154" s="2"/>
      <c r="D154" s="2"/>
      <c r="G154" s="2"/>
      <c r="J154" s="2"/>
      <c r="M154" s="2"/>
    </row>
    <row r="155" spans="1:13" x14ac:dyDescent="0.25">
      <c r="A155" s="2"/>
      <c r="D155" s="2"/>
      <c r="G155" s="2"/>
      <c r="J155" s="2"/>
      <c r="M155" s="2"/>
    </row>
    <row r="156" spans="1:13" x14ac:dyDescent="0.25">
      <c r="A156" s="2"/>
      <c r="D156" s="2"/>
      <c r="G156" s="2"/>
      <c r="J156" s="2"/>
      <c r="M156" s="2"/>
    </row>
    <row r="157" spans="1:13" x14ac:dyDescent="0.25">
      <c r="A157" s="2"/>
      <c r="D157" s="2"/>
      <c r="G157" s="2"/>
      <c r="J157" s="2"/>
      <c r="M157" s="2"/>
    </row>
    <row r="158" spans="1:13" x14ac:dyDescent="0.25">
      <c r="A158" s="2"/>
      <c r="D158" s="2"/>
      <c r="G158" s="2"/>
      <c r="J158" s="2"/>
      <c r="M158" s="2"/>
    </row>
    <row r="159" spans="1:13" x14ac:dyDescent="0.25">
      <c r="A159" s="2"/>
      <c r="D159" s="2"/>
      <c r="G159" s="2"/>
      <c r="J159" s="2"/>
      <c r="M159" s="2"/>
    </row>
    <row r="160" spans="1:13" x14ac:dyDescent="0.25">
      <c r="A160" s="2"/>
      <c r="D160" s="2"/>
      <c r="G160" s="2"/>
      <c r="J160" s="2"/>
      <c r="M160" s="2"/>
    </row>
    <row r="161" spans="1:13" x14ac:dyDescent="0.25">
      <c r="A161" s="2"/>
      <c r="D161" s="2"/>
      <c r="G161" s="2"/>
      <c r="J161" s="2"/>
      <c r="M161" s="2"/>
    </row>
    <row r="162" spans="1:13" x14ac:dyDescent="0.25">
      <c r="A162" s="2"/>
      <c r="D162" s="2"/>
      <c r="G162" s="2"/>
      <c r="J162" s="2"/>
      <c r="M162" s="2"/>
    </row>
    <row r="163" spans="1:13" x14ac:dyDescent="0.25">
      <c r="A163" s="2"/>
      <c r="D163" s="2"/>
      <c r="G163" s="2"/>
      <c r="J163" s="2"/>
      <c r="M163" s="2"/>
    </row>
    <row r="164" spans="1:13" x14ac:dyDescent="0.25">
      <c r="A164" s="2"/>
      <c r="D164" s="2"/>
      <c r="G164" s="2"/>
      <c r="J164" s="2"/>
      <c r="M164" s="2"/>
    </row>
    <row r="165" spans="1:13" x14ac:dyDescent="0.25">
      <c r="A165" s="2"/>
      <c r="D165" s="2"/>
      <c r="G165" s="2"/>
      <c r="J165" s="2"/>
      <c r="M165" s="2"/>
    </row>
    <row r="166" spans="1:13" x14ac:dyDescent="0.25">
      <c r="A166" s="2"/>
      <c r="D166" s="2"/>
      <c r="G166" s="2"/>
      <c r="J166" s="2"/>
      <c r="M166" s="2"/>
    </row>
    <row r="167" spans="1:13" x14ac:dyDescent="0.25">
      <c r="A167" s="2"/>
      <c r="D167" s="2"/>
      <c r="G167" s="2"/>
      <c r="J167" s="2"/>
      <c r="M167" s="2"/>
    </row>
    <row r="168" spans="1:13" x14ac:dyDescent="0.25">
      <c r="A168" s="2"/>
      <c r="D168" s="2"/>
      <c r="G168" s="2"/>
      <c r="J168" s="2"/>
      <c r="M168" s="2"/>
    </row>
    <row r="169" spans="1:13" x14ac:dyDescent="0.25">
      <c r="A169" s="2"/>
      <c r="D169" s="2"/>
      <c r="G169" s="2"/>
      <c r="J169" s="2"/>
      <c r="M169" s="2"/>
    </row>
    <row r="170" spans="1:13" x14ac:dyDescent="0.25">
      <c r="A170" s="2"/>
      <c r="D170" s="2"/>
      <c r="G170" s="2"/>
      <c r="J170" s="2"/>
      <c r="M170" s="2"/>
    </row>
    <row r="171" spans="1:13" x14ac:dyDescent="0.25">
      <c r="A171" s="2"/>
      <c r="D171" s="2"/>
      <c r="G171" s="2"/>
      <c r="J171" s="2"/>
      <c r="M171" s="2"/>
    </row>
    <row r="172" spans="1:13" x14ac:dyDescent="0.25">
      <c r="A172" s="2"/>
      <c r="D172" s="2"/>
      <c r="G172" s="2"/>
      <c r="J172" s="2"/>
      <c r="M172" s="2"/>
    </row>
    <row r="173" spans="1:13" x14ac:dyDescent="0.25">
      <c r="A173" s="2"/>
      <c r="D173" s="2"/>
      <c r="G173" s="2"/>
      <c r="J173" s="2"/>
      <c r="M173" s="2"/>
    </row>
    <row r="174" spans="1:13" x14ac:dyDescent="0.25">
      <c r="A174" s="2"/>
      <c r="D174" s="2"/>
      <c r="G174" s="2"/>
      <c r="J174" s="2"/>
      <c r="M174" s="2"/>
    </row>
    <row r="175" spans="1:13" x14ac:dyDescent="0.25">
      <c r="A175" s="2"/>
      <c r="D175" s="2"/>
      <c r="G175" s="2"/>
      <c r="J175" s="2"/>
      <c r="M175" s="2"/>
    </row>
    <row r="176" spans="1:13" x14ac:dyDescent="0.25">
      <c r="A176" s="2"/>
      <c r="D176" s="2"/>
      <c r="G176" s="2"/>
      <c r="J176" s="2"/>
      <c r="M176" s="2"/>
    </row>
    <row r="177" spans="1:13" x14ac:dyDescent="0.25">
      <c r="A177" s="2"/>
      <c r="D177" s="2"/>
      <c r="G177" s="2"/>
      <c r="J177" s="2"/>
      <c r="M177" s="2"/>
    </row>
    <row r="178" spans="1:13" x14ac:dyDescent="0.25">
      <c r="A178" s="2"/>
      <c r="D178" s="2"/>
      <c r="G178" s="2"/>
      <c r="J178" s="2"/>
      <c r="M178" s="2"/>
    </row>
    <row r="179" spans="1:13" x14ac:dyDescent="0.25">
      <c r="A179" s="2"/>
      <c r="D179" s="2"/>
      <c r="G179" s="2"/>
      <c r="J179" s="2"/>
      <c r="M179" s="2"/>
    </row>
    <row r="180" spans="1:13" x14ac:dyDescent="0.25">
      <c r="A180" s="2"/>
      <c r="D180" s="2"/>
      <c r="G180" s="2"/>
      <c r="J180" s="2"/>
      <c r="M180" s="2"/>
    </row>
    <row r="181" spans="1:13" x14ac:dyDescent="0.25">
      <c r="A181" s="2"/>
      <c r="D181" s="2"/>
      <c r="G181" s="2"/>
      <c r="J181" s="2"/>
      <c r="M181" s="2"/>
    </row>
    <row r="182" spans="1:13" x14ac:dyDescent="0.25">
      <c r="A182" s="2"/>
      <c r="D182" s="2"/>
      <c r="G182" s="2"/>
      <c r="J182" s="2"/>
      <c r="M182" s="2"/>
    </row>
    <row r="183" spans="1:13" x14ac:dyDescent="0.25">
      <c r="A183" s="2"/>
      <c r="D183" s="2"/>
      <c r="G183" s="2"/>
      <c r="J183" s="2"/>
      <c r="M183" s="2"/>
    </row>
    <row r="184" spans="1:13" x14ac:dyDescent="0.25">
      <c r="A184" s="2"/>
      <c r="D184" s="2"/>
      <c r="G184" s="2"/>
      <c r="J184" s="2"/>
      <c r="M184" s="2"/>
    </row>
    <row r="185" spans="1:13" x14ac:dyDescent="0.25">
      <c r="A185" s="2"/>
      <c r="D185" s="2"/>
      <c r="G185" s="2"/>
      <c r="J185" s="2"/>
      <c r="M185" s="2"/>
    </row>
    <row r="186" spans="1:13" x14ac:dyDescent="0.25">
      <c r="A186" s="2"/>
      <c r="D186" s="2"/>
      <c r="G186" s="2"/>
      <c r="J186" s="2"/>
      <c r="M186" s="2"/>
    </row>
    <row r="187" spans="1:13" x14ac:dyDescent="0.25">
      <c r="A187" s="2"/>
      <c r="D187" s="2"/>
      <c r="G187" s="2"/>
      <c r="J187" s="2"/>
      <c r="M187" s="2"/>
    </row>
    <row r="188" spans="1:13" x14ac:dyDescent="0.25">
      <c r="A188" s="2"/>
      <c r="D188" s="2"/>
      <c r="G188" s="2"/>
      <c r="J188" s="2"/>
      <c r="M188" s="2"/>
    </row>
    <row r="189" spans="1:13" x14ac:dyDescent="0.25">
      <c r="A189" s="2"/>
      <c r="D189" s="2"/>
      <c r="G189" s="2"/>
      <c r="J189" s="2"/>
      <c r="M189" s="2"/>
    </row>
    <row r="190" spans="1:13" x14ac:dyDescent="0.25">
      <c r="A190" s="2"/>
      <c r="D190" s="2"/>
      <c r="G190" s="2"/>
      <c r="J190" s="2"/>
      <c r="M190" s="2"/>
    </row>
    <row r="191" spans="1:13" x14ac:dyDescent="0.25">
      <c r="A191" s="2"/>
      <c r="D191" s="2"/>
      <c r="G191" s="2"/>
      <c r="J191" s="2"/>
      <c r="M191" s="2"/>
    </row>
    <row r="192" spans="1:13" x14ac:dyDescent="0.25">
      <c r="A192" s="2"/>
      <c r="D192" s="2"/>
      <c r="G192" s="2"/>
      <c r="J192" s="2"/>
      <c r="M192" s="2"/>
    </row>
    <row r="193" spans="1:13" x14ac:dyDescent="0.25">
      <c r="A193" s="2"/>
      <c r="D193" s="2"/>
      <c r="G193" s="2"/>
      <c r="J193" s="2"/>
      <c r="M193" s="2"/>
    </row>
    <row r="194" spans="1:13" x14ac:dyDescent="0.25">
      <c r="A194" s="2"/>
      <c r="D194" s="2"/>
      <c r="G194" s="2"/>
      <c r="J194" s="2"/>
      <c r="M194" s="2"/>
    </row>
    <row r="195" spans="1:13" x14ac:dyDescent="0.25">
      <c r="A195" s="2"/>
      <c r="D195" s="2"/>
      <c r="G195" s="2"/>
      <c r="J195" s="2"/>
      <c r="M195" s="2"/>
    </row>
    <row r="196" spans="1:13" x14ac:dyDescent="0.25">
      <c r="A196" s="2"/>
      <c r="D196" s="2"/>
      <c r="G196" s="2"/>
      <c r="J196" s="2"/>
      <c r="M196" s="2"/>
    </row>
    <row r="197" spans="1:13" x14ac:dyDescent="0.25">
      <c r="A197" s="2"/>
      <c r="D197" s="2"/>
      <c r="G197" s="2"/>
      <c r="J197" s="2"/>
      <c r="M197" s="2"/>
    </row>
    <row r="198" spans="1:13" x14ac:dyDescent="0.25">
      <c r="A198" s="2"/>
      <c r="D198" s="2"/>
      <c r="G198" s="2"/>
      <c r="J198" s="2"/>
      <c r="M198" s="2"/>
    </row>
    <row r="199" spans="1:13" x14ac:dyDescent="0.25">
      <c r="A199" s="2"/>
      <c r="D199" s="2"/>
      <c r="G199" s="2"/>
      <c r="J199" s="2"/>
      <c r="M199" s="2"/>
    </row>
    <row r="200" spans="1:13" x14ac:dyDescent="0.25">
      <c r="A200" s="2"/>
      <c r="D200" s="2"/>
      <c r="G200" s="2"/>
      <c r="J200" s="2"/>
      <c r="M200" s="2"/>
    </row>
    <row r="201" spans="1:13" x14ac:dyDescent="0.25">
      <c r="A201" s="2"/>
      <c r="D201" s="2"/>
      <c r="G201" s="2"/>
      <c r="J201" s="2"/>
      <c r="M201" s="2"/>
    </row>
    <row r="202" spans="1:13" x14ac:dyDescent="0.25">
      <c r="A202" s="2"/>
      <c r="D202" s="2"/>
      <c r="G202" s="2"/>
      <c r="J202" s="2"/>
      <c r="M202" s="2"/>
    </row>
    <row r="203" spans="1:13" x14ac:dyDescent="0.25">
      <c r="A203" s="2"/>
      <c r="D203" s="2"/>
      <c r="G203" s="2"/>
      <c r="J203" s="2"/>
      <c r="M203" s="2"/>
    </row>
    <row r="204" spans="1:13" x14ac:dyDescent="0.25">
      <c r="A204" s="2"/>
      <c r="D204" s="2"/>
      <c r="G204" s="2"/>
      <c r="J204" s="2"/>
      <c r="M204" s="2"/>
    </row>
    <row r="205" spans="1:13" x14ac:dyDescent="0.25">
      <c r="A205" s="2"/>
      <c r="D205" s="2"/>
      <c r="G205" s="2"/>
      <c r="J205" s="2"/>
      <c r="M205" s="2"/>
    </row>
    <row r="206" spans="1:13" x14ac:dyDescent="0.25">
      <c r="A206" s="2"/>
      <c r="D206" s="2"/>
      <c r="G206" s="2"/>
      <c r="J206" s="2"/>
      <c r="M206" s="2"/>
    </row>
    <row r="207" spans="1:13" x14ac:dyDescent="0.25">
      <c r="A207" s="2"/>
      <c r="D207" s="2"/>
      <c r="G207" s="2"/>
      <c r="J207" s="2"/>
      <c r="M207" s="2"/>
    </row>
    <row r="208" spans="1:13" x14ac:dyDescent="0.25">
      <c r="A208" s="2"/>
      <c r="D208" s="2"/>
      <c r="G208" s="2"/>
      <c r="J208" s="2"/>
      <c r="M208" s="2"/>
    </row>
    <row r="209" spans="1:13" x14ac:dyDescent="0.25">
      <c r="A209" s="2"/>
      <c r="D209" s="2"/>
      <c r="G209" s="2"/>
      <c r="J209" s="2"/>
      <c r="M209" s="2"/>
    </row>
    <row r="210" spans="1:13" x14ac:dyDescent="0.25">
      <c r="A210" s="2"/>
      <c r="D210" s="2"/>
      <c r="G210" s="2"/>
      <c r="J210" s="2"/>
      <c r="M210" s="2"/>
    </row>
    <row r="211" spans="1:13" x14ac:dyDescent="0.25">
      <c r="A211" s="2"/>
      <c r="D211" s="2"/>
      <c r="G211" s="2"/>
      <c r="J211" s="2"/>
      <c r="M211" s="2"/>
    </row>
    <row r="212" spans="1:13" x14ac:dyDescent="0.25">
      <c r="A212" s="2"/>
      <c r="D212" s="2"/>
      <c r="G212" s="2"/>
      <c r="J212" s="2"/>
      <c r="M212" s="2"/>
    </row>
    <row r="213" spans="1:13" x14ac:dyDescent="0.25">
      <c r="A213" s="2"/>
      <c r="D213" s="2"/>
      <c r="G213" s="2"/>
      <c r="J213" s="2"/>
      <c r="M213" s="2"/>
    </row>
    <row r="214" spans="1:13" x14ac:dyDescent="0.25">
      <c r="A214" s="2"/>
      <c r="D214" s="2"/>
      <c r="G214" s="2"/>
      <c r="J214" s="2"/>
      <c r="M214" s="2"/>
    </row>
    <row r="215" spans="1:13" x14ac:dyDescent="0.25">
      <c r="A215" s="2"/>
      <c r="D215" s="2"/>
      <c r="G215" s="2"/>
      <c r="J215" s="2"/>
      <c r="M215" s="2"/>
    </row>
    <row r="216" spans="1:13" x14ac:dyDescent="0.25">
      <c r="A216" s="2"/>
      <c r="D216" s="2"/>
      <c r="G216" s="2"/>
      <c r="J216" s="2"/>
      <c r="M216" s="2"/>
    </row>
    <row r="217" spans="1:13" x14ac:dyDescent="0.25">
      <c r="A217" s="2"/>
      <c r="D217" s="2"/>
      <c r="G217" s="2"/>
      <c r="J217" s="2"/>
      <c r="M217" s="2"/>
    </row>
    <row r="218" spans="1:13" x14ac:dyDescent="0.25">
      <c r="A218" s="2"/>
      <c r="D218" s="2"/>
      <c r="G218" s="2"/>
      <c r="J218" s="2"/>
      <c r="M218" s="2"/>
    </row>
    <row r="219" spans="1:13" x14ac:dyDescent="0.25">
      <c r="A219" s="2"/>
      <c r="D219" s="2"/>
      <c r="G219" s="2"/>
      <c r="J219" s="2"/>
      <c r="M219" s="2"/>
    </row>
    <row r="220" spans="1:13" x14ac:dyDescent="0.25">
      <c r="A220" s="2"/>
      <c r="D220" s="2"/>
      <c r="G220" s="2"/>
      <c r="J220" s="2"/>
      <c r="M220" s="2"/>
    </row>
    <row r="221" spans="1:13" x14ac:dyDescent="0.25">
      <c r="A221" s="2"/>
      <c r="D221" s="2"/>
      <c r="G221" s="2"/>
      <c r="J221" s="2"/>
      <c r="M221" s="2"/>
    </row>
    <row r="222" spans="1:13" x14ac:dyDescent="0.25">
      <c r="A222" s="2"/>
      <c r="D222" s="2"/>
      <c r="G222" s="2"/>
      <c r="J222" s="2"/>
      <c r="M222" s="2"/>
    </row>
    <row r="223" spans="1:13" x14ac:dyDescent="0.25">
      <c r="A223" s="2"/>
      <c r="D223" s="2"/>
      <c r="G223" s="2"/>
      <c r="J223" s="2"/>
      <c r="M223" s="2"/>
    </row>
    <row r="224" spans="1:13" x14ac:dyDescent="0.25">
      <c r="A224" s="2"/>
      <c r="D224" s="2"/>
      <c r="G224" s="2"/>
      <c r="J224" s="2"/>
      <c r="M224" s="2"/>
    </row>
    <row r="225" spans="1:13" x14ac:dyDescent="0.25">
      <c r="A225" s="2"/>
      <c r="D225" s="2"/>
      <c r="G225" s="2"/>
      <c r="J225" s="2"/>
      <c r="M225" s="2"/>
    </row>
    <row r="226" spans="1:13" x14ac:dyDescent="0.25">
      <c r="A226" s="2"/>
      <c r="D226" s="2"/>
      <c r="G226" s="2"/>
      <c r="J226" s="2"/>
      <c r="M226" s="2"/>
    </row>
    <row r="227" spans="1:13" x14ac:dyDescent="0.25">
      <c r="A227" s="2"/>
      <c r="D227" s="2"/>
      <c r="G227" s="2"/>
      <c r="J227" s="2"/>
      <c r="M227" s="2"/>
    </row>
    <row r="228" spans="1:13" x14ac:dyDescent="0.25">
      <c r="A228" s="2"/>
      <c r="D228" s="2"/>
      <c r="G228" s="2"/>
      <c r="J228" s="2"/>
      <c r="M228" s="2"/>
    </row>
    <row r="229" spans="1:13" x14ac:dyDescent="0.25">
      <c r="A229" s="2"/>
      <c r="D229" s="2"/>
      <c r="G229" s="2"/>
      <c r="J229" s="2"/>
      <c r="M229" s="2"/>
    </row>
    <row r="230" spans="1:13" x14ac:dyDescent="0.25">
      <c r="A230" s="2"/>
      <c r="D230" s="2"/>
      <c r="G230" s="2"/>
      <c r="J230" s="2"/>
      <c r="M230" s="2"/>
    </row>
    <row r="231" spans="1:13" x14ac:dyDescent="0.25">
      <c r="A231" s="2"/>
      <c r="D231" s="2"/>
      <c r="G231" s="2"/>
      <c r="J231" s="2"/>
      <c r="M231" s="2"/>
    </row>
    <row r="232" spans="1:13" x14ac:dyDescent="0.25">
      <c r="A232" s="2"/>
      <c r="D232" s="2"/>
      <c r="G232" s="2"/>
      <c r="J232" s="2"/>
      <c r="M232" s="2"/>
    </row>
    <row r="233" spans="1:13" x14ac:dyDescent="0.25">
      <c r="A233" s="2"/>
      <c r="D233" s="2"/>
      <c r="G233" s="2"/>
      <c r="J233" s="2"/>
      <c r="M233" s="2"/>
    </row>
    <row r="234" spans="1:13" x14ac:dyDescent="0.25">
      <c r="A234" s="2"/>
      <c r="D234" s="2"/>
      <c r="G234" s="2"/>
      <c r="J234" s="2"/>
      <c r="M234" s="2"/>
    </row>
    <row r="235" spans="1:13" x14ac:dyDescent="0.25">
      <c r="A235" s="2"/>
      <c r="D235" s="2"/>
      <c r="G235" s="2"/>
      <c r="J235" s="2"/>
      <c r="M235" s="2"/>
    </row>
    <row r="236" spans="1:13" x14ac:dyDescent="0.25">
      <c r="A236" s="2"/>
      <c r="D236" s="2"/>
      <c r="G236" s="2"/>
      <c r="J236" s="2"/>
      <c r="M236" s="2"/>
    </row>
    <row r="237" spans="1:13" x14ac:dyDescent="0.25">
      <c r="A237" s="2"/>
      <c r="D237" s="2"/>
      <c r="G237" s="2"/>
      <c r="J237" s="2"/>
      <c r="M237" s="2"/>
    </row>
    <row r="238" spans="1:13" x14ac:dyDescent="0.25">
      <c r="A238" s="2"/>
      <c r="D238" s="2"/>
      <c r="G238" s="2"/>
      <c r="J238" s="2"/>
      <c r="M238" s="2"/>
    </row>
    <row r="239" spans="1:13" x14ac:dyDescent="0.25">
      <c r="A239" s="2"/>
      <c r="D239" s="2"/>
      <c r="G239" s="2"/>
      <c r="J239" s="2"/>
      <c r="M239" s="2"/>
    </row>
    <row r="240" spans="1:13" x14ac:dyDescent="0.25">
      <c r="A240" s="2"/>
      <c r="D240" s="2"/>
      <c r="G240" s="2"/>
      <c r="J240" s="2"/>
      <c r="M240" s="2"/>
    </row>
    <row r="241" spans="1:13" x14ac:dyDescent="0.25">
      <c r="A241" s="2"/>
      <c r="D241" s="2"/>
      <c r="G241" s="2"/>
      <c r="J241" s="2"/>
      <c r="M241" s="2"/>
    </row>
    <row r="242" spans="1:13" x14ac:dyDescent="0.25">
      <c r="A242" s="2"/>
      <c r="D242" s="2"/>
      <c r="G242" s="2"/>
      <c r="J242" s="2"/>
      <c r="M242" s="2"/>
    </row>
    <row r="243" spans="1:13" x14ac:dyDescent="0.25">
      <c r="A243" s="2"/>
      <c r="D243" s="2"/>
      <c r="G243" s="2"/>
      <c r="J243" s="2"/>
      <c r="M243" s="2"/>
    </row>
    <row r="244" spans="1:13" x14ac:dyDescent="0.25">
      <c r="A244" s="2"/>
      <c r="D244" s="2"/>
      <c r="G244" s="2"/>
      <c r="J244" s="2"/>
      <c r="M244" s="2"/>
    </row>
    <row r="245" spans="1:13" x14ac:dyDescent="0.25">
      <c r="A245" s="2"/>
      <c r="D245" s="2"/>
      <c r="G245" s="2"/>
      <c r="J245" s="2"/>
      <c r="M245" s="2"/>
    </row>
    <row r="246" spans="1:13" x14ac:dyDescent="0.25">
      <c r="A246" s="2"/>
      <c r="D246" s="2"/>
      <c r="G246" s="2"/>
      <c r="J246" s="2"/>
      <c r="M246" s="2"/>
    </row>
    <row r="247" spans="1:13" x14ac:dyDescent="0.25">
      <c r="A247" s="2"/>
      <c r="D247" s="2"/>
      <c r="G247" s="2"/>
      <c r="J247" s="2"/>
      <c r="M247" s="2"/>
    </row>
    <row r="248" spans="1:13" x14ac:dyDescent="0.25">
      <c r="A248" s="2"/>
      <c r="D248" s="2"/>
      <c r="G248" s="2"/>
      <c r="J248" s="2"/>
      <c r="M248" s="2"/>
    </row>
    <row r="249" spans="1:13" x14ac:dyDescent="0.25">
      <c r="A249" s="2"/>
      <c r="D249" s="2"/>
      <c r="G249" s="2"/>
      <c r="J249" s="2"/>
      <c r="M249" s="2"/>
    </row>
    <row r="250" spans="1:13" x14ac:dyDescent="0.25">
      <c r="A250" s="2"/>
      <c r="D250" s="2"/>
      <c r="G250" s="2"/>
      <c r="J250" s="2"/>
      <c r="M250" s="2"/>
    </row>
    <row r="251" spans="1:13" x14ac:dyDescent="0.25">
      <c r="A251" s="2"/>
      <c r="D251" s="2"/>
      <c r="G251" s="2"/>
      <c r="J251" s="2"/>
      <c r="M251" s="2"/>
    </row>
    <row r="252" spans="1:13" x14ac:dyDescent="0.25">
      <c r="A252" s="2"/>
      <c r="D252" s="2"/>
      <c r="G252" s="2"/>
      <c r="J252" s="2"/>
      <c r="M252" s="2"/>
    </row>
    <row r="253" spans="1:13" x14ac:dyDescent="0.25">
      <c r="A253" s="2"/>
      <c r="D253" s="2"/>
      <c r="G253" s="2"/>
      <c r="J253" s="2"/>
      <c r="M253" s="2"/>
    </row>
    <row r="254" spans="1:13" x14ac:dyDescent="0.25">
      <c r="A254" s="2"/>
      <c r="D254" s="2"/>
      <c r="G254" s="2"/>
      <c r="J254" s="2"/>
      <c r="M254" s="2"/>
    </row>
    <row r="255" spans="1:13" x14ac:dyDescent="0.25">
      <c r="A255" s="2"/>
      <c r="D255" s="2"/>
      <c r="G255" s="2"/>
      <c r="J255" s="2"/>
      <c r="M255" s="2"/>
    </row>
    <row r="256" spans="1:13" x14ac:dyDescent="0.25">
      <c r="A256" s="2"/>
      <c r="D256" s="2"/>
      <c r="G256" s="2"/>
      <c r="J256" s="2"/>
      <c r="M256" s="2"/>
    </row>
    <row r="257" spans="1:13" x14ac:dyDescent="0.25">
      <c r="A257" s="2"/>
      <c r="D257" s="2"/>
      <c r="G257" s="2"/>
      <c r="J257" s="2"/>
      <c r="M257" s="2"/>
    </row>
    <row r="258" spans="1:13" x14ac:dyDescent="0.25">
      <c r="A258" s="2"/>
      <c r="D258" s="2"/>
      <c r="G258" s="2"/>
      <c r="J258" s="2"/>
      <c r="M258" s="2"/>
    </row>
    <row r="259" spans="1:13" x14ac:dyDescent="0.25">
      <c r="A259" s="2"/>
      <c r="D259" s="2"/>
      <c r="G259" s="2"/>
      <c r="J259" s="2"/>
      <c r="M259" s="2"/>
    </row>
    <row r="260" spans="1:13" x14ac:dyDescent="0.25">
      <c r="A260" s="2"/>
      <c r="D260" s="2"/>
      <c r="G260" s="2"/>
      <c r="J260" s="2"/>
      <c r="M260" s="2"/>
    </row>
    <row r="261" spans="1:13" x14ac:dyDescent="0.25">
      <c r="A261" s="2"/>
      <c r="D261" s="2"/>
      <c r="G261" s="2"/>
      <c r="J261" s="2"/>
      <c r="M261" s="2"/>
    </row>
    <row r="262" spans="1:13" x14ac:dyDescent="0.25">
      <c r="A262" s="2"/>
      <c r="D262" s="2"/>
      <c r="G262" s="2"/>
      <c r="J262" s="2"/>
      <c r="M262" s="2"/>
    </row>
    <row r="263" spans="1:13" x14ac:dyDescent="0.25">
      <c r="A263" s="2"/>
      <c r="D263" s="2"/>
      <c r="G263" s="2"/>
      <c r="J263" s="2"/>
      <c r="M263" s="2"/>
    </row>
    <row r="264" spans="1:13" x14ac:dyDescent="0.25">
      <c r="A264" s="2"/>
      <c r="D264" s="2"/>
      <c r="G264" s="2"/>
      <c r="J264" s="2"/>
      <c r="M264" s="2"/>
    </row>
    <row r="265" spans="1:13" x14ac:dyDescent="0.25">
      <c r="A265" s="2"/>
      <c r="D265" s="2"/>
      <c r="G265" s="2"/>
      <c r="J265" s="2"/>
      <c r="M265" s="2"/>
    </row>
    <row r="266" spans="1:13" x14ac:dyDescent="0.25">
      <c r="A266" s="2"/>
      <c r="D266" s="2"/>
      <c r="G266" s="2"/>
      <c r="J266" s="2"/>
      <c r="M266" s="2"/>
    </row>
    <row r="267" spans="1:13" x14ac:dyDescent="0.25">
      <c r="A267" s="2"/>
      <c r="D267" s="2"/>
      <c r="G267" s="2"/>
      <c r="J267" s="2"/>
      <c r="M267" s="2"/>
    </row>
    <row r="268" spans="1:13" x14ac:dyDescent="0.25">
      <c r="A268" s="2"/>
      <c r="D268" s="2"/>
      <c r="G268" s="2"/>
      <c r="J268" s="2"/>
      <c r="M268" s="2"/>
    </row>
    <row r="269" spans="1:13" x14ac:dyDescent="0.25">
      <c r="A269" s="2"/>
      <c r="D269" s="2"/>
      <c r="G269" s="2"/>
      <c r="J269" s="2"/>
      <c r="M269" s="2"/>
    </row>
    <row r="270" spans="1:13" x14ac:dyDescent="0.25">
      <c r="A270" s="2"/>
      <c r="D270" s="2"/>
      <c r="G270" s="2"/>
      <c r="J270" s="2"/>
      <c r="M270" s="2"/>
    </row>
    <row r="271" spans="1:13" x14ac:dyDescent="0.25">
      <c r="A271" s="2"/>
      <c r="D271" s="2"/>
      <c r="G271" s="2"/>
      <c r="J271" s="2"/>
      <c r="M271" s="2"/>
    </row>
    <row r="272" spans="1:13" x14ac:dyDescent="0.25">
      <c r="A272" s="2"/>
      <c r="D272" s="2"/>
      <c r="G272" s="2"/>
      <c r="J272" s="2"/>
      <c r="M272" s="2"/>
    </row>
    <row r="273" spans="1:13" x14ac:dyDescent="0.25">
      <c r="A273" s="2"/>
      <c r="D273" s="2"/>
      <c r="G273" s="2"/>
      <c r="J273" s="2"/>
      <c r="M273" s="2"/>
    </row>
    <row r="274" spans="1:13" x14ac:dyDescent="0.25">
      <c r="A274" s="2"/>
      <c r="D274" s="2"/>
      <c r="G274" s="2"/>
      <c r="J274" s="2"/>
      <c r="M274" s="2"/>
    </row>
    <row r="275" spans="1:13" x14ac:dyDescent="0.25">
      <c r="A275" s="2"/>
      <c r="D275" s="2"/>
      <c r="G275" s="2"/>
      <c r="J275" s="2"/>
      <c r="M275" s="2"/>
    </row>
    <row r="276" spans="1:13" x14ac:dyDescent="0.25">
      <c r="A276" s="2"/>
      <c r="D276" s="2"/>
      <c r="G276" s="2"/>
      <c r="J276" s="2"/>
      <c r="M276" s="2"/>
    </row>
    <row r="277" spans="1:13" x14ac:dyDescent="0.25">
      <c r="A277" s="2"/>
      <c r="D277" s="2"/>
      <c r="G277" s="2"/>
      <c r="J277" s="2"/>
      <c r="M277" s="2"/>
    </row>
    <row r="278" spans="1:13" x14ac:dyDescent="0.25">
      <c r="A278" s="2"/>
      <c r="D278" s="2"/>
      <c r="G278" s="2"/>
      <c r="J278" s="2"/>
      <c r="M278" s="2"/>
    </row>
    <row r="279" spans="1:13" x14ac:dyDescent="0.25">
      <c r="A279" s="2"/>
      <c r="D279" s="2"/>
      <c r="G279" s="2"/>
      <c r="J279" s="2"/>
      <c r="M279" s="2"/>
    </row>
    <row r="280" spans="1:13" x14ac:dyDescent="0.25">
      <c r="A280" s="2"/>
      <c r="D280" s="2"/>
      <c r="G280" s="2"/>
      <c r="J280" s="2"/>
      <c r="M280" s="2"/>
    </row>
    <row r="281" spans="1:13" x14ac:dyDescent="0.25">
      <c r="A281" s="2"/>
      <c r="D281" s="2"/>
      <c r="G281" s="2"/>
      <c r="J281" s="2"/>
      <c r="M281" s="2"/>
    </row>
    <row r="282" spans="1:13" x14ac:dyDescent="0.25">
      <c r="A282" s="2"/>
      <c r="D282" s="2"/>
      <c r="G282" s="2"/>
      <c r="J282" s="2"/>
      <c r="M282" s="2"/>
    </row>
    <row r="283" spans="1:13" x14ac:dyDescent="0.25">
      <c r="A283" s="2"/>
      <c r="D283" s="2"/>
      <c r="G283" s="2"/>
      <c r="J283" s="2"/>
      <c r="M283" s="2"/>
    </row>
    <row r="284" spans="1:13" x14ac:dyDescent="0.25">
      <c r="A284" s="2"/>
      <c r="D284" s="2"/>
      <c r="G284" s="2"/>
      <c r="J284" s="2"/>
      <c r="M284" s="2"/>
    </row>
    <row r="285" spans="1:13" x14ac:dyDescent="0.25">
      <c r="A285" s="2"/>
      <c r="D285" s="2"/>
      <c r="G285" s="2"/>
      <c r="J285" s="2"/>
      <c r="M285" s="2"/>
    </row>
    <row r="286" spans="1:13" x14ac:dyDescent="0.25">
      <c r="A286" s="2"/>
      <c r="D286" s="2"/>
      <c r="G286" s="2"/>
      <c r="J286" s="2"/>
      <c r="M286" s="2"/>
    </row>
    <row r="287" spans="1:13" x14ac:dyDescent="0.25">
      <c r="A287" s="2"/>
      <c r="D287" s="2"/>
      <c r="G287" s="2"/>
      <c r="J287" s="2"/>
      <c r="M287" s="2"/>
    </row>
    <row r="288" spans="1:13" x14ac:dyDescent="0.25">
      <c r="A288" s="2"/>
      <c r="D288" s="2"/>
      <c r="G288" s="2"/>
      <c r="J288" s="2"/>
      <c r="M288" s="2"/>
    </row>
    <row r="289" spans="1:13" x14ac:dyDescent="0.25">
      <c r="A289" s="2"/>
      <c r="D289" s="2"/>
      <c r="G289" s="2"/>
      <c r="J289" s="2"/>
      <c r="M289" s="2"/>
    </row>
    <row r="290" spans="1:13" x14ac:dyDescent="0.25">
      <c r="A290" s="2"/>
      <c r="D290" s="2"/>
      <c r="G290" s="2"/>
      <c r="J290" s="2"/>
      <c r="M290" s="2"/>
    </row>
    <row r="291" spans="1:13" x14ac:dyDescent="0.25">
      <c r="A291" s="2"/>
      <c r="D291" s="2"/>
      <c r="G291" s="2"/>
      <c r="J291" s="2"/>
      <c r="M291" s="2"/>
    </row>
    <row r="292" spans="1:13" x14ac:dyDescent="0.25">
      <c r="A292" s="2"/>
      <c r="D292" s="2"/>
      <c r="G292" s="2"/>
      <c r="J292" s="2"/>
      <c r="M292" s="2"/>
    </row>
    <row r="293" spans="1:13" x14ac:dyDescent="0.25">
      <c r="A293" s="2"/>
      <c r="D293" s="2"/>
      <c r="G293" s="2"/>
      <c r="J293" s="2"/>
      <c r="M293" s="2"/>
    </row>
    <row r="294" spans="1:13" x14ac:dyDescent="0.25">
      <c r="A294" s="2"/>
      <c r="D294" s="2"/>
      <c r="G294" s="2"/>
      <c r="J294" s="2"/>
      <c r="M294" s="2"/>
    </row>
    <row r="295" spans="1:13" x14ac:dyDescent="0.25">
      <c r="A295" s="2"/>
      <c r="D295" s="2"/>
      <c r="G295" s="2"/>
      <c r="J295" s="2"/>
      <c r="M295" s="2"/>
    </row>
    <row r="296" spans="1:13" x14ac:dyDescent="0.25">
      <c r="A296" s="2"/>
      <c r="D296" s="2"/>
      <c r="G296" s="2"/>
      <c r="J296" s="2"/>
      <c r="M296" s="2"/>
    </row>
    <row r="297" spans="1:13" x14ac:dyDescent="0.25">
      <c r="A297" s="2"/>
      <c r="D297" s="2"/>
      <c r="G297" s="2"/>
      <c r="J297" s="2"/>
      <c r="M297" s="2"/>
    </row>
    <row r="298" spans="1:13" x14ac:dyDescent="0.25">
      <c r="A298" s="2"/>
      <c r="D298" s="2"/>
      <c r="G298" s="2"/>
      <c r="J298" s="2"/>
      <c r="M298" s="2"/>
    </row>
    <row r="299" spans="1:13" x14ac:dyDescent="0.25">
      <c r="A299" s="2"/>
      <c r="D299" s="2"/>
      <c r="G299" s="2"/>
      <c r="J299" s="2"/>
      <c r="M299" s="2"/>
    </row>
    <row r="300" spans="1:13" x14ac:dyDescent="0.25">
      <c r="A300" s="2"/>
      <c r="D300" s="2"/>
      <c r="G300" s="2"/>
      <c r="J300" s="2"/>
      <c r="M300" s="2"/>
    </row>
    <row r="301" spans="1:13" x14ac:dyDescent="0.25">
      <c r="A301" s="2"/>
      <c r="D301" s="2"/>
      <c r="G301" s="2"/>
      <c r="J301" s="2"/>
      <c r="M301" s="2"/>
    </row>
    <row r="302" spans="1:13" x14ac:dyDescent="0.25">
      <c r="A302" s="2"/>
      <c r="D302" s="2"/>
      <c r="G302" s="2"/>
      <c r="J302" s="2"/>
      <c r="M302" s="2"/>
    </row>
    <row r="303" spans="1:13" x14ac:dyDescent="0.25">
      <c r="A303" s="2"/>
      <c r="D303" s="2"/>
      <c r="G303" s="2"/>
      <c r="J303" s="2"/>
      <c r="M303" s="2"/>
    </row>
    <row r="304" spans="1:13" x14ac:dyDescent="0.25">
      <c r="A304" s="2"/>
      <c r="D304" s="2"/>
      <c r="G304" s="2"/>
      <c r="J304" s="2"/>
      <c r="M304" s="2"/>
    </row>
    <row r="305" spans="1:13" x14ac:dyDescent="0.25">
      <c r="A305" s="2"/>
      <c r="D305" s="2"/>
      <c r="G305" s="2"/>
      <c r="J305" s="2"/>
      <c r="M305" s="2"/>
    </row>
    <row r="306" spans="1:13" x14ac:dyDescent="0.25">
      <c r="A306" s="2"/>
      <c r="D306" s="2"/>
      <c r="G306" s="2"/>
      <c r="J306" s="2"/>
      <c r="M306" s="2"/>
    </row>
    <row r="307" spans="1:13" x14ac:dyDescent="0.25">
      <c r="A307" s="2"/>
      <c r="D307" s="2"/>
      <c r="G307" s="2"/>
      <c r="J307" s="2"/>
      <c r="M307" s="2"/>
    </row>
    <row r="308" spans="1:13" x14ac:dyDescent="0.25">
      <c r="A308" s="2"/>
      <c r="D308" s="2"/>
      <c r="G308" s="2"/>
      <c r="J308" s="2"/>
      <c r="M308" s="2"/>
    </row>
    <row r="309" spans="1:13" x14ac:dyDescent="0.25">
      <c r="A309" s="2"/>
      <c r="D309" s="2"/>
      <c r="G309" s="2"/>
      <c r="J309" s="2"/>
      <c r="M309" s="2"/>
    </row>
    <row r="310" spans="1:13" x14ac:dyDescent="0.25">
      <c r="A310" s="2"/>
      <c r="D310" s="2"/>
      <c r="G310" s="2"/>
      <c r="J310" s="2"/>
      <c r="M310" s="2"/>
    </row>
    <row r="311" spans="1:13" x14ac:dyDescent="0.25">
      <c r="A311" s="2"/>
      <c r="D311" s="2"/>
      <c r="G311" s="2"/>
      <c r="J311" s="2"/>
      <c r="M311" s="2"/>
    </row>
    <row r="312" spans="1:13" x14ac:dyDescent="0.25">
      <c r="A312" s="2"/>
      <c r="D312" s="2"/>
      <c r="G312" s="2"/>
      <c r="J312" s="2"/>
      <c r="M312" s="2"/>
    </row>
    <row r="313" spans="1:13" x14ac:dyDescent="0.25">
      <c r="A313" s="2"/>
      <c r="D313" s="2"/>
      <c r="G313" s="2"/>
      <c r="J313" s="2"/>
      <c r="M313" s="2"/>
    </row>
    <row r="314" spans="1:13" x14ac:dyDescent="0.25">
      <c r="A314" s="2"/>
      <c r="D314" s="2"/>
      <c r="G314" s="2"/>
      <c r="J314" s="2"/>
      <c r="M314" s="2"/>
    </row>
    <row r="315" spans="1:13" x14ac:dyDescent="0.25">
      <c r="A315" s="2"/>
      <c r="D315" s="2"/>
      <c r="G315" s="2"/>
      <c r="J315" s="2"/>
      <c r="M315" s="2"/>
    </row>
    <row r="316" spans="1:13" x14ac:dyDescent="0.25">
      <c r="A316" s="2"/>
      <c r="D316" s="2"/>
      <c r="G316" s="2"/>
      <c r="J316" s="2"/>
      <c r="M316" s="2"/>
    </row>
    <row r="317" spans="1:13" x14ac:dyDescent="0.25">
      <c r="A317" s="2"/>
      <c r="D317" s="2"/>
      <c r="G317" s="2"/>
      <c r="J317" s="2"/>
      <c r="M317" s="2"/>
    </row>
    <row r="318" spans="1:13" x14ac:dyDescent="0.25">
      <c r="A318" s="2"/>
      <c r="D318" s="2"/>
      <c r="G318" s="2"/>
      <c r="J318" s="2"/>
      <c r="M318" s="2"/>
    </row>
    <row r="319" spans="1:13" x14ac:dyDescent="0.25">
      <c r="A319" s="2"/>
      <c r="D319" s="2"/>
      <c r="G319" s="2"/>
      <c r="J319" s="2"/>
      <c r="M319" s="2"/>
    </row>
    <row r="320" spans="1:13" x14ac:dyDescent="0.25">
      <c r="A320" s="2"/>
      <c r="D320" s="2"/>
      <c r="G320" s="2"/>
      <c r="J320" s="2"/>
      <c r="M320" s="2"/>
    </row>
    <row r="321" spans="1:13" x14ac:dyDescent="0.25">
      <c r="A321" s="2"/>
      <c r="D321" s="2"/>
      <c r="G321" s="2"/>
      <c r="J321" s="2"/>
      <c r="M321" s="2"/>
    </row>
    <row r="322" spans="1:13" x14ac:dyDescent="0.25">
      <c r="A322" s="2"/>
      <c r="D322" s="2"/>
      <c r="G322" s="2"/>
      <c r="J322" s="2"/>
      <c r="M322" s="2"/>
    </row>
    <row r="323" spans="1:13" x14ac:dyDescent="0.25">
      <c r="A323" s="2"/>
      <c r="D323" s="2"/>
      <c r="G323" s="2"/>
      <c r="J323" s="2"/>
      <c r="M323" s="2"/>
    </row>
    <row r="324" spans="1:13" x14ac:dyDescent="0.25">
      <c r="A324" s="2"/>
      <c r="D324" s="2"/>
      <c r="G324" s="2"/>
      <c r="J324" s="2"/>
      <c r="M324" s="2"/>
    </row>
    <row r="325" spans="1:13" x14ac:dyDescent="0.25">
      <c r="A325" s="2"/>
      <c r="D325" s="2"/>
      <c r="G325" s="2"/>
      <c r="J325" s="2"/>
      <c r="M325" s="2"/>
    </row>
    <row r="326" spans="1:13" x14ac:dyDescent="0.25">
      <c r="A326" s="2"/>
      <c r="D326" s="2"/>
      <c r="G326" s="2"/>
      <c r="J326" s="2"/>
      <c r="M326" s="2"/>
    </row>
    <row r="327" spans="1:13" x14ac:dyDescent="0.25">
      <c r="A327" s="2"/>
      <c r="D327" s="2"/>
      <c r="G327" s="2"/>
      <c r="J327" s="2"/>
      <c r="M327" s="2"/>
    </row>
    <row r="328" spans="1:13" x14ac:dyDescent="0.25">
      <c r="A328" s="2"/>
      <c r="D328" s="2"/>
      <c r="G328" s="2"/>
      <c r="J328" s="2"/>
      <c r="M328" s="2"/>
    </row>
    <row r="329" spans="1:13" x14ac:dyDescent="0.25">
      <c r="A329" s="2"/>
      <c r="D329" s="2"/>
      <c r="G329" s="2"/>
      <c r="J329" s="2"/>
      <c r="M329" s="2"/>
    </row>
    <row r="330" spans="1:13" x14ac:dyDescent="0.25">
      <c r="A330" s="2"/>
      <c r="D330" s="2"/>
      <c r="G330" s="2"/>
      <c r="J330" s="2"/>
      <c r="M330" s="2"/>
    </row>
    <row r="331" spans="1:13" x14ac:dyDescent="0.25">
      <c r="A331" s="2"/>
      <c r="D331" s="2"/>
      <c r="G331" s="2"/>
      <c r="J331" s="2"/>
      <c r="M331" s="2"/>
    </row>
    <row r="332" spans="1:13" x14ac:dyDescent="0.25">
      <c r="A332" s="2"/>
      <c r="D332" s="2"/>
      <c r="G332" s="2"/>
      <c r="J332" s="2"/>
      <c r="M332" s="2"/>
    </row>
    <row r="333" spans="1:13" x14ac:dyDescent="0.25">
      <c r="A333" s="2"/>
      <c r="D333" s="2"/>
      <c r="G333" s="2"/>
      <c r="J333" s="2"/>
      <c r="M333" s="2"/>
    </row>
    <row r="334" spans="1:13" x14ac:dyDescent="0.25">
      <c r="A334" s="2"/>
      <c r="D334" s="2"/>
      <c r="G334" s="2"/>
      <c r="J334" s="2"/>
      <c r="M334" s="2"/>
    </row>
    <row r="335" spans="1:13" x14ac:dyDescent="0.25">
      <c r="A335" s="2"/>
      <c r="D335" s="2"/>
      <c r="G335" s="2"/>
      <c r="J335" s="2"/>
      <c r="M335" s="2"/>
    </row>
    <row r="336" spans="1:13" x14ac:dyDescent="0.25">
      <c r="A336" s="2"/>
      <c r="D336" s="2"/>
      <c r="G336" s="2"/>
      <c r="J336" s="2"/>
      <c r="M336" s="2"/>
    </row>
    <row r="337" spans="1:13" x14ac:dyDescent="0.25">
      <c r="A337" s="2"/>
      <c r="D337" s="2"/>
      <c r="G337" s="2"/>
      <c r="J337" s="2"/>
      <c r="M337" s="2"/>
    </row>
    <row r="338" spans="1:13" x14ac:dyDescent="0.25">
      <c r="A338" s="2"/>
      <c r="D338" s="2"/>
      <c r="G338" s="2"/>
      <c r="J338" s="2"/>
      <c r="M338" s="2"/>
    </row>
    <row r="339" spans="1:13" x14ac:dyDescent="0.25">
      <c r="A339" s="2"/>
      <c r="D339" s="2"/>
      <c r="G339" s="2"/>
      <c r="J339" s="2"/>
      <c r="M339" s="2"/>
    </row>
    <row r="340" spans="1:13" x14ac:dyDescent="0.25">
      <c r="A340" s="2"/>
      <c r="D340" s="2"/>
      <c r="G340" s="2"/>
      <c r="J340" s="2"/>
      <c r="M340" s="2"/>
    </row>
    <row r="341" spans="1:13" x14ac:dyDescent="0.25">
      <c r="A341" s="2"/>
      <c r="D341" s="2"/>
      <c r="G341" s="2"/>
      <c r="J341" s="2"/>
      <c r="M341" s="2"/>
    </row>
    <row r="342" spans="1:13" x14ac:dyDescent="0.25">
      <c r="A342" s="2"/>
      <c r="D342" s="2"/>
      <c r="G342" s="2"/>
      <c r="J342" s="2"/>
      <c r="M342" s="2"/>
    </row>
    <row r="343" spans="1:13" x14ac:dyDescent="0.25">
      <c r="A343" s="2"/>
      <c r="D343" s="2"/>
      <c r="G343" s="2"/>
      <c r="J343" s="2"/>
      <c r="M343" s="2"/>
    </row>
    <row r="344" spans="1:13" x14ac:dyDescent="0.25">
      <c r="A344" s="2"/>
      <c r="D344" s="2"/>
      <c r="G344" s="2"/>
      <c r="J344" s="2"/>
      <c r="M344" s="2"/>
    </row>
    <row r="345" spans="1:13" x14ac:dyDescent="0.25">
      <c r="A345" s="2"/>
      <c r="D345" s="2"/>
      <c r="G345" s="2"/>
      <c r="J345" s="2"/>
      <c r="M345" s="2"/>
    </row>
    <row r="346" spans="1:13" x14ac:dyDescent="0.25">
      <c r="A346" s="2"/>
      <c r="D346" s="2"/>
      <c r="G346" s="2"/>
      <c r="J346" s="2"/>
      <c r="M346" s="2"/>
    </row>
    <row r="347" spans="1:13" x14ac:dyDescent="0.25">
      <c r="A347" s="2"/>
      <c r="D347" s="2"/>
      <c r="G347" s="2"/>
      <c r="J347" s="2"/>
      <c r="M347" s="2"/>
    </row>
    <row r="348" spans="1:13" x14ac:dyDescent="0.25">
      <c r="A348" s="2"/>
      <c r="D348" s="2"/>
      <c r="G348" s="2"/>
      <c r="J348" s="2"/>
      <c r="M348" s="2"/>
    </row>
    <row r="349" spans="1:13" x14ac:dyDescent="0.25">
      <c r="A349" s="2"/>
      <c r="D349" s="2"/>
      <c r="G349" s="2"/>
      <c r="J349" s="2"/>
      <c r="M349" s="2"/>
    </row>
    <row r="350" spans="1:13" x14ac:dyDescent="0.25">
      <c r="A350" s="2"/>
      <c r="D350" s="2"/>
      <c r="G350" s="2"/>
      <c r="J350" s="2"/>
      <c r="M350" s="2"/>
    </row>
    <row r="351" spans="1:13" x14ac:dyDescent="0.25">
      <c r="A351" s="2"/>
      <c r="D351" s="2"/>
      <c r="G351" s="2"/>
      <c r="J351" s="2"/>
      <c r="M351" s="2"/>
    </row>
    <row r="352" spans="1:13" x14ac:dyDescent="0.25">
      <c r="A352" s="2"/>
      <c r="D352" s="2"/>
      <c r="G352" s="2"/>
      <c r="J352" s="2"/>
      <c r="M352" s="2"/>
    </row>
    <row r="353" spans="1:13" x14ac:dyDescent="0.25">
      <c r="A353" s="2"/>
      <c r="D353" s="2"/>
      <c r="G353" s="2"/>
      <c r="J353" s="2"/>
      <c r="M353" s="2"/>
    </row>
    <row r="354" spans="1:13" x14ac:dyDescent="0.25">
      <c r="A354" s="2"/>
      <c r="D354" s="2"/>
      <c r="G354" s="2"/>
      <c r="J354" s="2"/>
      <c r="M354" s="2"/>
    </row>
    <row r="355" spans="1:13" x14ac:dyDescent="0.25">
      <c r="A355" s="2"/>
      <c r="D355" s="2"/>
      <c r="G355" s="2"/>
      <c r="J355" s="2"/>
      <c r="M355" s="2"/>
    </row>
    <row r="356" spans="1:13" x14ac:dyDescent="0.25">
      <c r="A356" s="2"/>
      <c r="D356" s="2"/>
      <c r="G356" s="2"/>
      <c r="J356" s="2"/>
      <c r="M356" s="2"/>
    </row>
    <row r="357" spans="1:13" x14ac:dyDescent="0.25">
      <c r="A357" s="2"/>
      <c r="D357" s="2"/>
      <c r="G357" s="2"/>
      <c r="J357" s="2"/>
      <c r="M357" s="2"/>
    </row>
    <row r="358" spans="1:13" x14ac:dyDescent="0.25">
      <c r="A358" s="2"/>
      <c r="D358" s="2"/>
      <c r="G358" s="2"/>
      <c r="J358" s="2"/>
      <c r="M358" s="2"/>
    </row>
    <row r="359" spans="1:13" x14ac:dyDescent="0.25">
      <c r="A359" s="2"/>
      <c r="D359" s="2"/>
      <c r="G359" s="2"/>
      <c r="J359" s="2"/>
      <c r="M359" s="2"/>
    </row>
    <row r="360" spans="1:13" x14ac:dyDescent="0.25">
      <c r="A360" s="2"/>
      <c r="D360" s="2"/>
      <c r="G360" s="2"/>
      <c r="J360" s="2"/>
      <c r="M360" s="2"/>
    </row>
    <row r="361" spans="1:13" x14ac:dyDescent="0.25">
      <c r="A361" s="2"/>
      <c r="D361" s="2"/>
      <c r="G361" s="2"/>
      <c r="J361" s="2"/>
      <c r="M361" s="2"/>
    </row>
    <row r="362" spans="1:13" x14ac:dyDescent="0.25">
      <c r="A362" s="2"/>
      <c r="D362" s="2"/>
      <c r="G362" s="2"/>
      <c r="J362" s="2"/>
      <c r="M362" s="2"/>
    </row>
    <row r="363" spans="1:13" x14ac:dyDescent="0.25">
      <c r="A363" s="2"/>
      <c r="D363" s="2"/>
      <c r="G363" s="2"/>
      <c r="J363" s="2"/>
      <c r="M363" s="2"/>
    </row>
    <row r="364" spans="1:13" x14ac:dyDescent="0.25">
      <c r="A364" s="2"/>
      <c r="D364" s="2"/>
      <c r="G364" s="2"/>
      <c r="J364" s="2"/>
      <c r="M364" s="2"/>
    </row>
    <row r="365" spans="1:13" x14ac:dyDescent="0.25">
      <c r="A365" s="2"/>
      <c r="D365" s="2"/>
      <c r="G365" s="2"/>
      <c r="J365" s="2"/>
      <c r="M365" s="2"/>
    </row>
    <row r="366" spans="1:13" x14ac:dyDescent="0.25">
      <c r="A366" s="2"/>
      <c r="D366" s="2"/>
      <c r="G366" s="2"/>
      <c r="J366" s="2"/>
      <c r="M366" s="2"/>
    </row>
    <row r="367" spans="1:13" x14ac:dyDescent="0.25">
      <c r="A367" s="2"/>
      <c r="D367" s="2"/>
      <c r="G367" s="2"/>
      <c r="J367" s="2"/>
      <c r="M367" s="2"/>
    </row>
    <row r="368" spans="1:13" x14ac:dyDescent="0.25">
      <c r="A368" s="2"/>
      <c r="D368" s="2"/>
      <c r="G368" s="2"/>
      <c r="J368" s="2"/>
      <c r="M368" s="2"/>
    </row>
    <row r="369" spans="1:13" x14ac:dyDescent="0.25">
      <c r="A369" s="2"/>
      <c r="D369" s="2"/>
      <c r="G369" s="2"/>
      <c r="J369" s="2"/>
      <c r="M369" s="2"/>
    </row>
    <row r="370" spans="1:13" x14ac:dyDescent="0.25">
      <c r="A370" s="2"/>
      <c r="D370" s="2"/>
      <c r="G370" s="2"/>
      <c r="J370" s="2"/>
      <c r="M370" s="2"/>
    </row>
    <row r="371" spans="1:13" x14ac:dyDescent="0.25">
      <c r="A371" s="2"/>
      <c r="D371" s="2"/>
      <c r="G371" s="2"/>
      <c r="J371" s="2"/>
      <c r="M371" s="2"/>
    </row>
    <row r="372" spans="1:13" x14ac:dyDescent="0.25">
      <c r="A372" s="2"/>
      <c r="D372" s="2"/>
      <c r="G372" s="2"/>
      <c r="J372" s="2"/>
      <c r="M372" s="2"/>
    </row>
    <row r="373" spans="1:13" x14ac:dyDescent="0.25">
      <c r="A373" s="2"/>
      <c r="D373" s="2"/>
      <c r="G373" s="2"/>
      <c r="J373" s="2"/>
      <c r="M373" s="2"/>
    </row>
    <row r="374" spans="1:13" x14ac:dyDescent="0.25">
      <c r="A374" s="2"/>
      <c r="D374" s="2"/>
      <c r="G374" s="2"/>
      <c r="J374" s="2"/>
      <c r="M374" s="2"/>
    </row>
    <row r="375" spans="1:13" x14ac:dyDescent="0.25">
      <c r="A375" s="2"/>
      <c r="D375" s="2"/>
      <c r="G375" s="2"/>
      <c r="J375" s="2"/>
      <c r="M375" s="2"/>
    </row>
    <row r="376" spans="1:13" x14ac:dyDescent="0.25">
      <c r="A376" s="2"/>
      <c r="D376" s="2"/>
      <c r="G376" s="2"/>
      <c r="J376" s="2"/>
      <c r="M376" s="2"/>
    </row>
    <row r="377" spans="1:13" x14ac:dyDescent="0.25">
      <c r="A377" s="2"/>
      <c r="D377" s="2"/>
      <c r="G377" s="2"/>
      <c r="J377" s="2"/>
      <c r="M377" s="2"/>
    </row>
    <row r="378" spans="1:13" x14ac:dyDescent="0.25">
      <c r="A378" s="2"/>
      <c r="D378" s="2"/>
      <c r="G378" s="2"/>
      <c r="J378" s="2"/>
      <c r="M378" s="2"/>
    </row>
    <row r="379" spans="1:13" x14ac:dyDescent="0.25">
      <c r="A379" s="2"/>
      <c r="D379" s="2"/>
      <c r="G379" s="2"/>
      <c r="J379" s="2"/>
      <c r="M379" s="2"/>
    </row>
    <row r="380" spans="1:13" x14ac:dyDescent="0.25">
      <c r="A380" s="2"/>
      <c r="D380" s="2"/>
      <c r="G380" s="2"/>
      <c r="J380" s="2"/>
      <c r="M380" s="2"/>
    </row>
    <row r="381" spans="1:13" x14ac:dyDescent="0.25">
      <c r="A381" s="2"/>
      <c r="D381" s="2"/>
      <c r="G381" s="2"/>
      <c r="J381" s="2"/>
      <c r="M381" s="2"/>
    </row>
    <row r="382" spans="1:13" x14ac:dyDescent="0.25">
      <c r="A382" s="2"/>
      <c r="D382" s="2"/>
      <c r="G382" s="2"/>
      <c r="J382" s="2"/>
      <c r="M382" s="2"/>
    </row>
    <row r="383" spans="1:13" x14ac:dyDescent="0.25">
      <c r="A383" s="2"/>
      <c r="D383" s="2"/>
      <c r="G383" s="2"/>
      <c r="J383" s="2"/>
      <c r="M383" s="2"/>
    </row>
    <row r="384" spans="1:13" x14ac:dyDescent="0.25">
      <c r="A384" s="2"/>
      <c r="D384" s="2"/>
      <c r="G384" s="2"/>
      <c r="J384" s="2"/>
      <c r="M384" s="2"/>
    </row>
    <row r="385" spans="1:13" x14ac:dyDescent="0.25">
      <c r="A385" s="2"/>
      <c r="D385" s="2"/>
      <c r="G385" s="2"/>
      <c r="J385" s="2"/>
      <c r="M385" s="2"/>
    </row>
    <row r="386" spans="1:13" x14ac:dyDescent="0.25">
      <c r="A386" s="2"/>
      <c r="D386" s="2"/>
      <c r="G386" s="2"/>
      <c r="J386" s="2"/>
      <c r="M386" s="2"/>
    </row>
    <row r="387" spans="1:13" x14ac:dyDescent="0.25">
      <c r="A387" s="2"/>
      <c r="D387" s="2"/>
      <c r="G387" s="2"/>
      <c r="J387" s="2"/>
      <c r="M387" s="2"/>
    </row>
    <row r="388" spans="1:13" x14ac:dyDescent="0.25">
      <c r="A388" s="2"/>
      <c r="D388" s="2"/>
      <c r="G388" s="2"/>
      <c r="J388" s="2"/>
      <c r="M388" s="2"/>
    </row>
    <row r="389" spans="1:13" x14ac:dyDescent="0.25">
      <c r="A389" s="2"/>
      <c r="D389" s="2"/>
      <c r="G389" s="2"/>
      <c r="J389" s="2"/>
      <c r="M389" s="2"/>
    </row>
    <row r="390" spans="1:13" x14ac:dyDescent="0.25">
      <c r="A390" s="2"/>
      <c r="D390" s="2"/>
      <c r="G390" s="2"/>
      <c r="J390" s="2"/>
      <c r="M390" s="2"/>
    </row>
    <row r="391" spans="1:13" x14ac:dyDescent="0.25">
      <c r="A391" s="2"/>
      <c r="D391" s="2"/>
      <c r="G391" s="2"/>
      <c r="J391" s="2"/>
      <c r="M391" s="2"/>
    </row>
    <row r="392" spans="1:13" x14ac:dyDescent="0.25">
      <c r="A392" s="2"/>
      <c r="D392" s="2"/>
      <c r="G392" s="2"/>
      <c r="J392" s="2"/>
      <c r="M392" s="2"/>
    </row>
    <row r="393" spans="1:13" x14ac:dyDescent="0.25">
      <c r="A393" s="2"/>
      <c r="D393" s="2"/>
      <c r="G393" s="2"/>
      <c r="J393" s="2"/>
      <c r="M393" s="2"/>
    </row>
    <row r="394" spans="1:13" x14ac:dyDescent="0.25">
      <c r="A394" s="2"/>
      <c r="D394" s="2"/>
      <c r="G394" s="2"/>
      <c r="J394" s="2"/>
      <c r="M394" s="2"/>
    </row>
    <row r="395" spans="1:13" x14ac:dyDescent="0.25">
      <c r="A395" s="2"/>
      <c r="D395" s="2"/>
      <c r="G395" s="2"/>
      <c r="J395" s="2"/>
      <c r="M395" s="2"/>
    </row>
    <row r="396" spans="1:13" x14ac:dyDescent="0.25">
      <c r="A396" s="2"/>
      <c r="D396" s="2"/>
      <c r="G396" s="2"/>
      <c r="J396" s="2"/>
      <c r="M396" s="2"/>
    </row>
    <row r="397" spans="1:13" x14ac:dyDescent="0.25">
      <c r="A397" s="2"/>
      <c r="D397" s="2"/>
      <c r="G397" s="2"/>
      <c r="J397" s="2"/>
      <c r="M397" s="2"/>
    </row>
    <row r="398" spans="1:13" x14ac:dyDescent="0.25">
      <c r="A398" s="2"/>
      <c r="D398" s="2"/>
      <c r="G398" s="2"/>
      <c r="J398" s="2"/>
      <c r="M398" s="2"/>
    </row>
    <row r="399" spans="1:13" x14ac:dyDescent="0.25">
      <c r="A399" s="2"/>
      <c r="D399" s="2"/>
      <c r="G399" s="2"/>
      <c r="J399" s="2"/>
      <c r="M399" s="2"/>
    </row>
    <row r="400" spans="1:13" x14ac:dyDescent="0.25">
      <c r="A400" s="2"/>
      <c r="D400" s="2"/>
      <c r="G400" s="2"/>
      <c r="J400" s="2"/>
      <c r="M400" s="2"/>
    </row>
    <row r="401" spans="1:13" x14ac:dyDescent="0.25">
      <c r="A401" s="2"/>
      <c r="D401" s="2"/>
      <c r="G401" s="2"/>
      <c r="J401" s="2"/>
      <c r="M401" s="2"/>
    </row>
    <row r="402" spans="1:13" x14ac:dyDescent="0.25">
      <c r="A402" s="2"/>
      <c r="D402" s="2"/>
      <c r="G402" s="2"/>
      <c r="J402" s="2"/>
      <c r="M402" s="2"/>
    </row>
    <row r="403" spans="1:13" x14ac:dyDescent="0.25">
      <c r="A403" s="2"/>
      <c r="D403" s="2"/>
      <c r="G403" s="2"/>
      <c r="J403" s="2"/>
      <c r="M403" s="2"/>
    </row>
    <row r="404" spans="1:13" x14ac:dyDescent="0.25">
      <c r="A404" s="2"/>
      <c r="D404" s="2"/>
      <c r="G404" s="2"/>
      <c r="J404" s="2"/>
      <c r="M404" s="2"/>
    </row>
    <row r="405" spans="1:13" x14ac:dyDescent="0.25">
      <c r="A405" s="2"/>
      <c r="D405" s="2"/>
      <c r="G405" s="2"/>
      <c r="J405" s="2"/>
      <c r="M405" s="2"/>
    </row>
    <row r="406" spans="1:13" x14ac:dyDescent="0.25">
      <c r="A406" s="2"/>
      <c r="D406" s="2"/>
      <c r="G406" s="2"/>
      <c r="J406" s="2"/>
      <c r="M406" s="2"/>
    </row>
    <row r="407" spans="1:13" x14ac:dyDescent="0.25">
      <c r="A407" s="2"/>
      <c r="D407" s="2"/>
      <c r="G407" s="2"/>
      <c r="J407" s="2"/>
      <c r="M407" s="2"/>
    </row>
    <row r="408" spans="1:13" x14ac:dyDescent="0.25">
      <c r="A408" s="2"/>
      <c r="D408" s="2"/>
      <c r="G408" s="2"/>
      <c r="J408" s="2"/>
      <c r="M408" s="2"/>
    </row>
    <row r="409" spans="1:13" x14ac:dyDescent="0.25">
      <c r="A409" s="2"/>
      <c r="D409" s="2"/>
      <c r="G409" s="2"/>
      <c r="J409" s="2"/>
      <c r="M409" s="2"/>
    </row>
    <row r="410" spans="1:13" x14ac:dyDescent="0.25">
      <c r="A410" s="2"/>
      <c r="D410" s="2"/>
      <c r="G410" s="2"/>
      <c r="J410" s="2"/>
      <c r="M410" s="2"/>
    </row>
    <row r="411" spans="1:13" x14ac:dyDescent="0.25">
      <c r="A411" s="2"/>
      <c r="D411" s="2"/>
      <c r="G411" s="2"/>
      <c r="J411" s="2"/>
      <c r="M411" s="2"/>
    </row>
    <row r="412" spans="1:13" x14ac:dyDescent="0.25">
      <c r="A412" s="2"/>
      <c r="D412" s="2"/>
      <c r="G412" s="2"/>
      <c r="J412" s="2"/>
      <c r="M412" s="2"/>
    </row>
    <row r="413" spans="1:13" x14ac:dyDescent="0.25">
      <c r="A413" s="2"/>
      <c r="D413" s="2"/>
      <c r="G413" s="2"/>
      <c r="J413" s="2"/>
      <c r="M413" s="2"/>
    </row>
    <row r="414" spans="1:13" x14ac:dyDescent="0.25">
      <c r="A414" s="2"/>
      <c r="D414" s="2"/>
      <c r="G414" s="2"/>
      <c r="J414" s="2"/>
      <c r="M414" s="2"/>
    </row>
    <row r="415" spans="1:13" x14ac:dyDescent="0.25">
      <c r="A415" s="2"/>
      <c r="D415" s="2"/>
      <c r="G415" s="2"/>
      <c r="J415" s="2"/>
      <c r="M415" s="2"/>
    </row>
    <row r="416" spans="1:13" x14ac:dyDescent="0.25">
      <c r="A416" s="2"/>
      <c r="D416" s="2"/>
      <c r="G416" s="2"/>
      <c r="J416" s="2"/>
      <c r="M416" s="2"/>
    </row>
    <row r="417" spans="1:13" x14ac:dyDescent="0.25">
      <c r="A417" s="2"/>
      <c r="D417" s="2"/>
      <c r="G417" s="2"/>
      <c r="J417" s="2"/>
      <c r="M417" s="2"/>
    </row>
    <row r="418" spans="1:13" x14ac:dyDescent="0.25">
      <c r="A418" s="2"/>
      <c r="D418" s="2"/>
      <c r="G418" s="2"/>
      <c r="J418" s="2"/>
      <c r="M418" s="2"/>
    </row>
    <row r="419" spans="1:13" x14ac:dyDescent="0.25">
      <c r="A419" s="2"/>
      <c r="D419" s="2"/>
      <c r="G419" s="2"/>
      <c r="J419" s="2"/>
      <c r="M419" s="2"/>
    </row>
    <row r="420" spans="1:13" x14ac:dyDescent="0.25">
      <c r="A420" s="2"/>
      <c r="D420" s="2"/>
      <c r="G420" s="2"/>
      <c r="J420" s="2"/>
      <c r="M420" s="2"/>
    </row>
    <row r="421" spans="1:13" x14ac:dyDescent="0.25">
      <c r="A421" s="2"/>
      <c r="D421" s="2"/>
      <c r="G421" s="2"/>
      <c r="J421" s="2"/>
      <c r="M421" s="2"/>
    </row>
    <row r="422" spans="1:13" x14ac:dyDescent="0.25">
      <c r="A422" s="2"/>
      <c r="D422" s="2"/>
      <c r="G422" s="2"/>
      <c r="J422" s="2"/>
      <c r="M422" s="2"/>
    </row>
    <row r="423" spans="1:13" x14ac:dyDescent="0.25">
      <c r="A423" s="2"/>
      <c r="D423" s="2"/>
      <c r="G423" s="2"/>
      <c r="J423" s="2"/>
      <c r="M423" s="2"/>
    </row>
    <row r="424" spans="1:13" x14ac:dyDescent="0.25">
      <c r="A424" s="2"/>
      <c r="D424" s="2"/>
      <c r="G424" s="2"/>
      <c r="J424" s="2"/>
      <c r="M424" s="2"/>
    </row>
    <row r="425" spans="1:13" x14ac:dyDescent="0.25">
      <c r="A425" s="2"/>
      <c r="D425" s="2"/>
      <c r="G425" s="2"/>
      <c r="J425" s="2"/>
      <c r="M425" s="2"/>
    </row>
    <row r="426" spans="1:13" x14ac:dyDescent="0.25">
      <c r="A426" s="2"/>
      <c r="D426" s="2"/>
      <c r="G426" s="2"/>
      <c r="J426" s="2"/>
      <c r="M426" s="2"/>
    </row>
    <row r="427" spans="1:13" x14ac:dyDescent="0.25">
      <c r="A427" s="2"/>
      <c r="D427" s="2"/>
      <c r="G427" s="2"/>
      <c r="J427" s="2"/>
      <c r="M427" s="2"/>
    </row>
    <row r="428" spans="1:13" x14ac:dyDescent="0.25">
      <c r="A428" s="2"/>
      <c r="D428" s="2"/>
      <c r="G428" s="2"/>
      <c r="J428" s="2"/>
      <c r="M428" s="2"/>
    </row>
    <row r="429" spans="1:13" x14ac:dyDescent="0.25">
      <c r="A429" s="2"/>
      <c r="D429" s="2"/>
      <c r="G429" s="2"/>
      <c r="J429" s="2"/>
      <c r="M429" s="2"/>
    </row>
    <row r="430" spans="1:13" x14ac:dyDescent="0.25">
      <c r="A430" s="2"/>
      <c r="D430" s="2"/>
      <c r="G430" s="2"/>
      <c r="J430" s="2"/>
      <c r="M430" s="2"/>
    </row>
    <row r="431" spans="1:13" x14ac:dyDescent="0.25">
      <c r="A431" s="2"/>
      <c r="D431" s="2"/>
      <c r="G431" s="2"/>
      <c r="J431" s="2"/>
      <c r="M431" s="2"/>
    </row>
    <row r="432" spans="1:13" x14ac:dyDescent="0.25">
      <c r="A432" s="2"/>
      <c r="D432" s="2"/>
      <c r="G432" s="2"/>
      <c r="J432" s="2"/>
      <c r="M432" s="2"/>
    </row>
    <row r="433" spans="1:13" x14ac:dyDescent="0.25">
      <c r="A433" s="2"/>
      <c r="D433" s="2"/>
      <c r="G433" s="2"/>
      <c r="J433" s="2"/>
      <c r="M433" s="2"/>
    </row>
    <row r="434" spans="1:13" x14ac:dyDescent="0.25">
      <c r="A434" s="2"/>
      <c r="D434" s="2"/>
      <c r="G434" s="2"/>
      <c r="J434" s="2"/>
      <c r="M434" s="2"/>
    </row>
    <row r="435" spans="1:13" x14ac:dyDescent="0.25">
      <c r="A435" s="2"/>
      <c r="D435" s="2"/>
      <c r="G435" s="2"/>
      <c r="J435" s="2"/>
      <c r="M435" s="2"/>
    </row>
    <row r="436" spans="1:13" x14ac:dyDescent="0.25">
      <c r="A436" s="2"/>
      <c r="D436" s="2"/>
      <c r="G436" s="2"/>
      <c r="J436" s="2"/>
      <c r="M436" s="2"/>
    </row>
    <row r="437" spans="1:13" x14ac:dyDescent="0.25">
      <c r="A437" s="2"/>
      <c r="D437" s="2"/>
      <c r="G437" s="2"/>
      <c r="J437" s="2"/>
      <c r="M437" s="2"/>
    </row>
    <row r="438" spans="1:13" x14ac:dyDescent="0.25">
      <c r="A438" s="2"/>
      <c r="D438" s="2"/>
      <c r="G438" s="2"/>
      <c r="J438" s="2"/>
      <c r="M438" s="2"/>
    </row>
    <row r="439" spans="1:13" x14ac:dyDescent="0.25">
      <c r="A439" s="2"/>
      <c r="D439" s="2"/>
      <c r="G439" s="2"/>
      <c r="J439" s="2"/>
      <c r="M439" s="2"/>
    </row>
    <row r="440" spans="1:13" x14ac:dyDescent="0.25">
      <c r="A440" s="2"/>
      <c r="D440" s="2"/>
      <c r="G440" s="2"/>
      <c r="J440" s="2"/>
      <c r="M440" s="2"/>
    </row>
    <row r="441" spans="1:13" x14ac:dyDescent="0.25">
      <c r="A441" s="2"/>
      <c r="D441" s="2"/>
      <c r="G441" s="2"/>
      <c r="J441" s="2"/>
      <c r="M441" s="2"/>
    </row>
    <row r="442" spans="1:13" x14ac:dyDescent="0.25">
      <c r="A442" s="2"/>
      <c r="D442" s="2"/>
      <c r="G442" s="2"/>
      <c r="J442" s="2"/>
      <c r="M442" s="2"/>
    </row>
    <row r="443" spans="1:13" x14ac:dyDescent="0.25">
      <c r="A443" s="2"/>
      <c r="D443" s="2"/>
      <c r="G443" s="2"/>
      <c r="J443" s="2"/>
      <c r="M443" s="2"/>
    </row>
    <row r="444" spans="1:13" x14ac:dyDescent="0.25">
      <c r="A444" s="2"/>
      <c r="D444" s="2"/>
      <c r="G444" s="2"/>
      <c r="J444" s="2"/>
      <c r="M444" s="2"/>
    </row>
    <row r="445" spans="1:13" x14ac:dyDescent="0.25">
      <c r="A445" s="2"/>
      <c r="D445" s="2"/>
      <c r="G445" s="2"/>
      <c r="J445" s="2"/>
      <c r="M445" s="2"/>
    </row>
    <row r="446" spans="1:13" x14ac:dyDescent="0.25">
      <c r="A446" s="2"/>
      <c r="D446" s="2"/>
      <c r="G446" s="2"/>
      <c r="J446" s="2"/>
      <c r="M446" s="2"/>
    </row>
    <row r="447" spans="1:13" x14ac:dyDescent="0.25">
      <c r="A447" s="2"/>
      <c r="D447" s="2"/>
      <c r="G447" s="2"/>
      <c r="J447" s="2"/>
      <c r="M447" s="2"/>
    </row>
    <row r="448" spans="1:13" x14ac:dyDescent="0.25">
      <c r="A448" s="2"/>
      <c r="D448" s="2"/>
      <c r="G448" s="2"/>
      <c r="J448" s="2"/>
      <c r="M448" s="2"/>
    </row>
    <row r="449" spans="1:13" x14ac:dyDescent="0.25">
      <c r="A449" s="2"/>
      <c r="D449" s="2"/>
      <c r="G449" s="2"/>
      <c r="J449" s="2"/>
      <c r="M449" s="2"/>
    </row>
    <row r="450" spans="1:13" x14ac:dyDescent="0.25">
      <c r="A450" s="2"/>
      <c r="D450" s="2"/>
      <c r="G450" s="2"/>
      <c r="J450" s="2"/>
      <c r="M450" s="2"/>
    </row>
    <row r="451" spans="1:13" x14ac:dyDescent="0.25">
      <c r="A451" s="2"/>
      <c r="D451" s="2"/>
      <c r="G451" s="2"/>
      <c r="J451" s="2"/>
      <c r="M451" s="2"/>
    </row>
    <row r="452" spans="1:13" x14ac:dyDescent="0.25">
      <c r="A452" s="2"/>
      <c r="D452" s="2"/>
      <c r="G452" s="2"/>
      <c r="J452" s="2"/>
      <c r="M452" s="2"/>
    </row>
    <row r="453" spans="1:13" x14ac:dyDescent="0.25">
      <c r="A453" s="2"/>
      <c r="D453" s="2"/>
      <c r="G453" s="2"/>
      <c r="J453" s="2"/>
      <c r="M453" s="2"/>
    </row>
    <row r="454" spans="1:13" x14ac:dyDescent="0.25">
      <c r="A454" s="2"/>
      <c r="D454" s="2"/>
      <c r="G454" s="2"/>
      <c r="J454" s="2"/>
      <c r="M454" s="2"/>
    </row>
    <row r="455" spans="1:13" x14ac:dyDescent="0.25">
      <c r="A455" s="2"/>
      <c r="D455" s="2"/>
      <c r="G455" s="2"/>
      <c r="J455" s="2"/>
      <c r="M455" s="2"/>
    </row>
    <row r="456" spans="1:13" x14ac:dyDescent="0.25">
      <c r="A456" s="2"/>
      <c r="D456" s="2"/>
      <c r="G456" s="2"/>
      <c r="J456" s="2"/>
      <c r="M456" s="2"/>
    </row>
    <row r="457" spans="1:13" x14ac:dyDescent="0.25">
      <c r="A457" s="2"/>
      <c r="D457" s="2"/>
      <c r="G457" s="2"/>
      <c r="J457" s="2"/>
      <c r="M457" s="2"/>
    </row>
    <row r="458" spans="1:13" x14ac:dyDescent="0.25">
      <c r="A458" s="2"/>
      <c r="D458" s="2"/>
      <c r="G458" s="2"/>
      <c r="J458" s="2"/>
      <c r="M458" s="2"/>
    </row>
    <row r="459" spans="1:13" x14ac:dyDescent="0.25">
      <c r="A459" s="2"/>
      <c r="D459" s="2"/>
      <c r="G459" s="2"/>
      <c r="J459" s="2"/>
      <c r="M459" s="2"/>
    </row>
    <row r="460" spans="1:13" x14ac:dyDescent="0.25">
      <c r="A460" s="2"/>
      <c r="D460" s="2"/>
      <c r="G460" s="2"/>
      <c r="J460" s="2"/>
      <c r="M460" s="2"/>
    </row>
    <row r="461" spans="1:13" x14ac:dyDescent="0.25">
      <c r="A461" s="2"/>
      <c r="D461" s="2"/>
      <c r="G461" s="2"/>
      <c r="J461" s="2"/>
      <c r="M461" s="2"/>
    </row>
    <row r="462" spans="1:13" x14ac:dyDescent="0.25">
      <c r="A462" s="2"/>
      <c r="D462" s="2"/>
      <c r="G462" s="2"/>
      <c r="J462" s="2"/>
      <c r="M462" s="2"/>
    </row>
    <row r="463" spans="1:13" x14ac:dyDescent="0.25">
      <c r="A463" s="2"/>
      <c r="D463" s="2"/>
      <c r="G463" s="2"/>
      <c r="J463" s="2"/>
      <c r="M463" s="2"/>
    </row>
    <row r="464" spans="1:13" x14ac:dyDescent="0.25">
      <c r="A464" s="2"/>
      <c r="D464" s="2"/>
      <c r="G464" s="2"/>
      <c r="J464" s="2"/>
      <c r="M464" s="2"/>
    </row>
    <row r="465" spans="1:13" x14ac:dyDescent="0.25">
      <c r="A465" s="2"/>
      <c r="D465" s="2"/>
      <c r="G465" s="2"/>
      <c r="J465" s="2"/>
      <c r="M465" s="2"/>
    </row>
    <row r="466" spans="1:13" x14ac:dyDescent="0.25">
      <c r="A466" s="2"/>
      <c r="D466" s="2"/>
      <c r="G466" s="2"/>
      <c r="J466" s="2"/>
      <c r="M466" s="2"/>
    </row>
    <row r="467" spans="1:13" x14ac:dyDescent="0.25">
      <c r="A467" s="2"/>
      <c r="D467" s="2"/>
      <c r="G467" s="2"/>
      <c r="J467" s="2"/>
      <c r="M467" s="2"/>
    </row>
    <row r="468" spans="1:13" x14ac:dyDescent="0.25">
      <c r="A468" s="2"/>
      <c r="D468" s="2"/>
      <c r="G468" s="2"/>
      <c r="J468" s="2"/>
      <c r="M468" s="2"/>
    </row>
    <row r="469" spans="1:13" x14ac:dyDescent="0.25">
      <c r="A469" s="2"/>
      <c r="D469" s="2"/>
      <c r="G469" s="2"/>
      <c r="J469" s="2"/>
      <c r="M469" s="2"/>
    </row>
    <row r="470" spans="1:13" x14ac:dyDescent="0.25">
      <c r="A470" s="2"/>
      <c r="D470" s="2"/>
      <c r="G470" s="2"/>
      <c r="J470" s="2"/>
      <c r="M470" s="2"/>
    </row>
    <row r="471" spans="1:13" x14ac:dyDescent="0.25">
      <c r="A471" s="2"/>
      <c r="D471" s="2"/>
      <c r="G471" s="2"/>
      <c r="J471" s="2"/>
      <c r="M471" s="2"/>
    </row>
    <row r="472" spans="1:13" x14ac:dyDescent="0.25">
      <c r="A472" s="2"/>
      <c r="D472" s="2"/>
      <c r="G472" s="2"/>
      <c r="J472" s="2"/>
      <c r="M472" s="2"/>
    </row>
    <row r="473" spans="1:13" x14ac:dyDescent="0.25">
      <c r="A473" s="2"/>
      <c r="D473" s="2"/>
      <c r="G473" s="2"/>
      <c r="J473" s="2"/>
      <c r="M473" s="2"/>
    </row>
    <row r="474" spans="1:13" x14ac:dyDescent="0.25">
      <c r="A474" s="2"/>
      <c r="D474" s="2"/>
      <c r="G474" s="2"/>
      <c r="J474" s="2"/>
      <c r="M474" s="2"/>
    </row>
    <row r="475" spans="1:13" x14ac:dyDescent="0.25">
      <c r="A475" s="2"/>
      <c r="D475" s="2"/>
      <c r="G475" s="2"/>
      <c r="J475" s="2"/>
      <c r="M475" s="2"/>
    </row>
    <row r="476" spans="1:13" x14ac:dyDescent="0.25">
      <c r="A476" s="2"/>
      <c r="D476" s="2"/>
      <c r="G476" s="2"/>
      <c r="J476" s="2"/>
      <c r="M476" s="2"/>
    </row>
    <row r="477" spans="1:13" x14ac:dyDescent="0.25">
      <c r="A477" s="2"/>
      <c r="D477" s="2"/>
      <c r="G477" s="2"/>
      <c r="J477" s="2"/>
      <c r="M477" s="2"/>
    </row>
    <row r="478" spans="1:13" x14ac:dyDescent="0.25">
      <c r="A478" s="2"/>
      <c r="D478" s="2"/>
      <c r="G478" s="2"/>
      <c r="J478" s="2"/>
      <c r="M478" s="2"/>
    </row>
    <row r="479" spans="1:13" x14ac:dyDescent="0.25">
      <c r="A479" s="2"/>
      <c r="D479" s="2"/>
      <c r="G479" s="2"/>
      <c r="J479" s="2"/>
      <c r="M479" s="2"/>
    </row>
    <row r="480" spans="1:13" x14ac:dyDescent="0.25">
      <c r="A480" s="2"/>
      <c r="D480" s="2"/>
      <c r="G480" s="2"/>
      <c r="J480" s="2"/>
      <c r="M480" s="2"/>
    </row>
    <row r="481" spans="1:13" x14ac:dyDescent="0.25">
      <c r="A481" s="2"/>
      <c r="D481" s="2"/>
      <c r="G481" s="2"/>
      <c r="J481" s="2"/>
      <c r="M481" s="2"/>
    </row>
    <row r="482" spans="1:13" x14ac:dyDescent="0.25">
      <c r="A482" s="2"/>
      <c r="D482" s="2"/>
      <c r="G482" s="2"/>
      <c r="J482" s="2"/>
      <c r="M482" s="2"/>
    </row>
    <row r="483" spans="1:13" x14ac:dyDescent="0.25">
      <c r="A483" s="2"/>
      <c r="D483" s="2"/>
      <c r="G483" s="2"/>
      <c r="J483" s="2"/>
      <c r="M483" s="2"/>
    </row>
    <row r="484" spans="1:13" x14ac:dyDescent="0.25">
      <c r="A484" s="2"/>
      <c r="D484" s="2"/>
      <c r="G484" s="2"/>
      <c r="J484" s="2"/>
      <c r="M484" s="2"/>
    </row>
    <row r="485" spans="1:13" x14ac:dyDescent="0.25">
      <c r="A485" s="2"/>
      <c r="D485" s="2"/>
      <c r="G485" s="2"/>
      <c r="J485" s="2"/>
      <c r="M485" s="2"/>
    </row>
    <row r="486" spans="1:13" x14ac:dyDescent="0.25">
      <c r="A486" s="2"/>
      <c r="D486" s="2"/>
      <c r="G486" s="2"/>
      <c r="J486" s="2"/>
      <c r="M486" s="2"/>
    </row>
    <row r="487" spans="1:13" x14ac:dyDescent="0.25">
      <c r="A487" s="2"/>
      <c r="D487" s="2"/>
      <c r="G487" s="2"/>
      <c r="J487" s="2"/>
      <c r="M487" s="2"/>
    </row>
    <row r="488" spans="1:13" x14ac:dyDescent="0.25">
      <c r="A488" s="2"/>
      <c r="D488" s="2"/>
      <c r="G488" s="2"/>
      <c r="J488" s="2"/>
      <c r="M488" s="2"/>
    </row>
    <row r="489" spans="1:13" x14ac:dyDescent="0.25">
      <c r="A489" s="2"/>
      <c r="D489" s="2"/>
      <c r="G489" s="2"/>
      <c r="J489" s="2"/>
      <c r="M489" s="2"/>
    </row>
    <row r="490" spans="1:13" x14ac:dyDescent="0.25">
      <c r="A490" s="2"/>
      <c r="D490" s="2"/>
      <c r="G490" s="2"/>
      <c r="J490" s="2"/>
      <c r="M490" s="2"/>
    </row>
    <row r="491" spans="1:13" x14ac:dyDescent="0.25">
      <c r="A491" s="2"/>
      <c r="D491" s="2"/>
      <c r="G491" s="2"/>
      <c r="J491" s="2"/>
      <c r="M491" s="2"/>
    </row>
    <row r="492" spans="1:13" x14ac:dyDescent="0.25">
      <c r="A492" s="2"/>
      <c r="D492" s="2"/>
      <c r="G492" s="2"/>
      <c r="J492" s="2"/>
      <c r="M492" s="2"/>
    </row>
    <row r="493" spans="1:13" x14ac:dyDescent="0.25">
      <c r="A493" s="2"/>
      <c r="D493" s="2"/>
      <c r="G493" s="2"/>
      <c r="J493" s="2"/>
      <c r="M493" s="2"/>
    </row>
    <row r="494" spans="1:13" x14ac:dyDescent="0.25">
      <c r="A494" s="2"/>
      <c r="D494" s="2"/>
      <c r="G494" s="2"/>
      <c r="J494" s="2"/>
      <c r="M494" s="2"/>
    </row>
    <row r="495" spans="1:13" x14ac:dyDescent="0.25">
      <c r="A495" s="2"/>
      <c r="D495" s="2"/>
      <c r="G495" s="2"/>
      <c r="J495" s="2"/>
      <c r="M495" s="2"/>
    </row>
    <row r="496" spans="1:13" x14ac:dyDescent="0.25">
      <c r="A496" s="2"/>
      <c r="D496" s="2"/>
      <c r="G496" s="2"/>
      <c r="J496" s="2"/>
      <c r="M496" s="2"/>
    </row>
    <row r="497" spans="1:13" x14ac:dyDescent="0.25">
      <c r="A497" s="2"/>
      <c r="D497" s="2"/>
      <c r="G497" s="2"/>
      <c r="J497" s="2"/>
      <c r="M497" s="2"/>
    </row>
    <row r="498" spans="1:13" x14ac:dyDescent="0.25">
      <c r="A498" s="2"/>
      <c r="D498" s="2"/>
      <c r="G498" s="2"/>
      <c r="J498" s="2"/>
      <c r="M498" s="2"/>
    </row>
    <row r="499" spans="1:13" x14ac:dyDescent="0.25">
      <c r="A499" s="2"/>
      <c r="D499" s="2"/>
      <c r="G499" s="2"/>
      <c r="J499" s="2"/>
      <c r="M499" s="2"/>
    </row>
    <row r="500" spans="1:13" x14ac:dyDescent="0.25">
      <c r="A500" s="2"/>
      <c r="D500" s="2"/>
      <c r="G500" s="2"/>
      <c r="J500" s="2"/>
      <c r="M500" s="2"/>
    </row>
    <row r="501" spans="1:13" x14ac:dyDescent="0.25">
      <c r="A501" s="2"/>
      <c r="D501" s="2"/>
      <c r="G501" s="2"/>
      <c r="J501" s="2"/>
      <c r="M501" s="2"/>
    </row>
    <row r="502" spans="1:13" x14ac:dyDescent="0.25">
      <c r="A502" s="2"/>
      <c r="D502" s="2"/>
      <c r="G502" s="2"/>
      <c r="J502" s="2"/>
      <c r="M502" s="2"/>
    </row>
    <row r="503" spans="1:13" x14ac:dyDescent="0.25">
      <c r="A503" s="2"/>
      <c r="D503" s="2"/>
      <c r="G503" s="2"/>
      <c r="J503" s="2"/>
      <c r="M503" s="2"/>
    </row>
    <row r="504" spans="1:13" x14ac:dyDescent="0.25">
      <c r="A504" s="2"/>
      <c r="D504" s="2"/>
      <c r="G504" s="2"/>
      <c r="J504" s="2"/>
      <c r="M504" s="2"/>
    </row>
    <row r="505" spans="1:13" x14ac:dyDescent="0.25">
      <c r="A505" s="2"/>
      <c r="D505" s="2"/>
      <c r="G505" s="2"/>
      <c r="J505" s="2"/>
      <c r="M505" s="2"/>
    </row>
    <row r="506" spans="1:13" x14ac:dyDescent="0.25">
      <c r="A506" s="2"/>
      <c r="D506" s="2"/>
      <c r="G506" s="2"/>
      <c r="J506" s="2"/>
      <c r="M506" s="2"/>
    </row>
    <row r="507" spans="1:13" x14ac:dyDescent="0.25">
      <c r="A507" s="2"/>
      <c r="D507" s="2"/>
      <c r="G507" s="2"/>
      <c r="J507" s="2"/>
      <c r="M507" s="2"/>
    </row>
    <row r="508" spans="1:13" x14ac:dyDescent="0.25">
      <c r="A508" s="2"/>
      <c r="D508" s="2"/>
      <c r="G508" s="2"/>
      <c r="J508" s="2"/>
      <c r="M508" s="2"/>
    </row>
    <row r="509" spans="1:13" x14ac:dyDescent="0.25">
      <c r="A509" s="2"/>
      <c r="D509" s="2"/>
      <c r="G509" s="2"/>
      <c r="J509" s="2"/>
      <c r="M509" s="2"/>
    </row>
    <row r="510" spans="1:13" x14ac:dyDescent="0.25">
      <c r="A510" s="2"/>
      <c r="D510" s="2"/>
      <c r="G510" s="2"/>
      <c r="J510" s="2"/>
      <c r="M510" s="2"/>
    </row>
    <row r="511" spans="1:13" x14ac:dyDescent="0.25">
      <c r="A511" s="2"/>
      <c r="D511" s="2"/>
      <c r="G511" s="2"/>
      <c r="J511" s="2"/>
      <c r="M511" s="2"/>
    </row>
    <row r="512" spans="1:13" x14ac:dyDescent="0.25">
      <c r="A512" s="2"/>
      <c r="D512" s="2"/>
      <c r="G512" s="2"/>
      <c r="J512" s="2"/>
      <c r="M512" s="2"/>
    </row>
    <row r="513" spans="1:13" x14ac:dyDescent="0.25">
      <c r="A513" s="2"/>
      <c r="D513" s="2"/>
      <c r="G513" s="2"/>
      <c r="J513" s="2"/>
      <c r="M513" s="2"/>
    </row>
    <row r="514" spans="1:13" x14ac:dyDescent="0.25">
      <c r="A514" s="2"/>
      <c r="D514" s="2"/>
      <c r="G514" s="2"/>
      <c r="J514" s="2"/>
      <c r="M514" s="2"/>
    </row>
    <row r="515" spans="1:13" x14ac:dyDescent="0.25">
      <c r="A515" s="2"/>
      <c r="D515" s="2"/>
      <c r="G515" s="2"/>
      <c r="J515" s="2"/>
      <c r="M515" s="2"/>
    </row>
    <row r="516" spans="1:13" x14ac:dyDescent="0.25">
      <c r="A516" s="2"/>
      <c r="D516" s="2"/>
      <c r="G516" s="2"/>
      <c r="J516" s="2"/>
      <c r="M516" s="2"/>
    </row>
    <row r="517" spans="1:13" x14ac:dyDescent="0.25">
      <c r="A517" s="2"/>
      <c r="D517" s="2"/>
      <c r="G517" s="2"/>
      <c r="J517" s="2"/>
      <c r="M517" s="2"/>
    </row>
    <row r="518" spans="1:13" x14ac:dyDescent="0.25">
      <c r="A518" s="2"/>
      <c r="D518" s="2"/>
      <c r="G518" s="2"/>
      <c r="J518" s="2"/>
      <c r="M518" s="2"/>
    </row>
    <row r="519" spans="1:13" x14ac:dyDescent="0.25">
      <c r="A519" s="2"/>
      <c r="D519" s="2"/>
      <c r="G519" s="2"/>
      <c r="J519" s="2"/>
      <c r="M519" s="2"/>
    </row>
    <row r="520" spans="1:13" x14ac:dyDescent="0.25">
      <c r="A520" s="2"/>
      <c r="D520" s="2"/>
      <c r="G520" s="2"/>
      <c r="J520" s="2"/>
      <c r="M520" s="2"/>
    </row>
    <row r="521" spans="1:13" x14ac:dyDescent="0.25">
      <c r="A521" s="2"/>
      <c r="D521" s="2"/>
      <c r="G521" s="2"/>
      <c r="J521" s="2"/>
      <c r="M521" s="2"/>
    </row>
    <row r="522" spans="1:13" x14ac:dyDescent="0.25">
      <c r="A522" s="2"/>
      <c r="D522" s="2"/>
      <c r="G522" s="2"/>
      <c r="J522" s="2"/>
      <c r="M522" s="2"/>
    </row>
    <row r="523" spans="1:13" x14ac:dyDescent="0.25">
      <c r="A523" s="2"/>
      <c r="D523" s="2"/>
      <c r="G523" s="2"/>
      <c r="J523" s="2"/>
      <c r="M523" s="2"/>
    </row>
    <row r="524" spans="1:13" x14ac:dyDescent="0.25">
      <c r="A524" s="2"/>
      <c r="D524" s="2"/>
      <c r="G524" s="2"/>
      <c r="J524" s="2"/>
      <c r="M524" s="2"/>
    </row>
    <row r="525" spans="1:13" x14ac:dyDescent="0.25">
      <c r="A525" s="2"/>
      <c r="D525" s="2"/>
      <c r="G525" s="2"/>
      <c r="J525" s="2"/>
      <c r="M525" s="2"/>
    </row>
    <row r="526" spans="1:13" x14ac:dyDescent="0.25">
      <c r="A526" s="2"/>
      <c r="D526" s="2"/>
      <c r="G526" s="2"/>
      <c r="J526" s="2"/>
      <c r="M526" s="2"/>
    </row>
    <row r="527" spans="1:13" x14ac:dyDescent="0.25">
      <c r="A527" s="2"/>
      <c r="D527" s="2"/>
      <c r="G527" s="2"/>
      <c r="J527" s="2"/>
      <c r="M527" s="2"/>
    </row>
    <row r="528" spans="1:13" x14ac:dyDescent="0.25">
      <c r="A528" s="2"/>
      <c r="D528" s="2"/>
      <c r="G528" s="2"/>
      <c r="J528" s="2"/>
      <c r="M528" s="2"/>
    </row>
    <row r="529" spans="1:13" x14ac:dyDescent="0.25">
      <c r="A529" s="2"/>
      <c r="D529" s="2"/>
      <c r="G529" s="2"/>
      <c r="J529" s="2"/>
      <c r="M529" s="2"/>
    </row>
    <row r="530" spans="1:13" x14ac:dyDescent="0.25">
      <c r="A530" s="2"/>
      <c r="D530" s="2"/>
      <c r="G530" s="2"/>
      <c r="J530" s="2"/>
      <c r="M530" s="2"/>
    </row>
    <row r="531" spans="1:13" x14ac:dyDescent="0.25">
      <c r="A531" s="2"/>
      <c r="D531" s="2"/>
      <c r="G531" s="2"/>
      <c r="J531" s="2"/>
      <c r="M531" s="2"/>
    </row>
    <row r="532" spans="1:13" x14ac:dyDescent="0.25">
      <c r="A532" s="2"/>
      <c r="D532" s="2"/>
      <c r="G532" s="2"/>
      <c r="J532" s="2"/>
      <c r="M532" s="2"/>
    </row>
    <row r="533" spans="1:13" x14ac:dyDescent="0.25">
      <c r="A533" s="2"/>
      <c r="D533" s="2"/>
      <c r="G533" s="2"/>
      <c r="J533" s="2"/>
      <c r="M533" s="2"/>
    </row>
    <row r="534" spans="1:13" x14ac:dyDescent="0.25">
      <c r="A534" s="2"/>
      <c r="D534" s="2"/>
      <c r="G534" s="2"/>
      <c r="J534" s="2"/>
      <c r="M534" s="2"/>
    </row>
    <row r="535" spans="1:13" x14ac:dyDescent="0.25">
      <c r="A535" s="2"/>
      <c r="D535" s="2"/>
      <c r="G535" s="2"/>
      <c r="J535" s="2"/>
      <c r="M535" s="2"/>
    </row>
    <row r="536" spans="1:13" x14ac:dyDescent="0.25">
      <c r="A536" s="2"/>
      <c r="D536" s="2"/>
      <c r="G536" s="2"/>
      <c r="J536" s="2"/>
      <c r="M536" s="2"/>
    </row>
    <row r="537" spans="1:13" x14ac:dyDescent="0.25">
      <c r="A537" s="2"/>
      <c r="D537" s="2"/>
      <c r="G537" s="2"/>
      <c r="J537" s="2"/>
      <c r="M537" s="2"/>
    </row>
    <row r="538" spans="1:13" x14ac:dyDescent="0.25">
      <c r="A538" s="2"/>
      <c r="D538" s="2"/>
      <c r="G538" s="2"/>
      <c r="J538" s="2"/>
      <c r="M538" s="2"/>
    </row>
    <row r="539" spans="1:13" x14ac:dyDescent="0.25">
      <c r="A539" s="2"/>
      <c r="D539" s="2"/>
      <c r="G539" s="2"/>
      <c r="J539" s="2"/>
      <c r="M539" s="2"/>
    </row>
    <row r="540" spans="1:13" x14ac:dyDescent="0.25">
      <c r="A540" s="2"/>
      <c r="D540" s="2"/>
      <c r="G540" s="2"/>
      <c r="J540" s="2"/>
      <c r="M540" s="2"/>
    </row>
    <row r="541" spans="1:13" x14ac:dyDescent="0.25">
      <c r="A541" s="2"/>
      <c r="D541" s="2"/>
      <c r="G541" s="2"/>
      <c r="J541" s="2"/>
      <c r="M541" s="2"/>
    </row>
    <row r="542" spans="1:13" x14ac:dyDescent="0.25">
      <c r="A542" s="2"/>
      <c r="D542" s="2"/>
      <c r="G542" s="2"/>
      <c r="J542" s="2"/>
      <c r="M542" s="2"/>
    </row>
    <row r="543" spans="1:13" x14ac:dyDescent="0.25">
      <c r="A543" s="2"/>
      <c r="D543" s="2"/>
      <c r="G543" s="2"/>
      <c r="J543" s="2"/>
      <c r="M543" s="2"/>
    </row>
    <row r="544" spans="1:13" x14ac:dyDescent="0.25">
      <c r="A544" s="2"/>
      <c r="D544" s="2"/>
      <c r="G544" s="2"/>
      <c r="J544" s="2"/>
      <c r="M544" s="2"/>
    </row>
    <row r="545" spans="1:13" x14ac:dyDescent="0.25">
      <c r="A545" s="2"/>
      <c r="D545" s="2"/>
      <c r="G545" s="2"/>
      <c r="J545" s="2"/>
      <c r="M545" s="2"/>
    </row>
    <row r="546" spans="1:13" x14ac:dyDescent="0.25">
      <c r="A546" s="2"/>
      <c r="D546" s="2"/>
      <c r="G546" s="2"/>
      <c r="J546" s="2"/>
      <c r="M546" s="2"/>
    </row>
    <row r="547" spans="1:13" x14ac:dyDescent="0.25">
      <c r="A547" s="2"/>
      <c r="D547" s="2"/>
      <c r="G547" s="2"/>
      <c r="J547" s="2"/>
      <c r="M547" s="2"/>
    </row>
    <row r="548" spans="1:13" x14ac:dyDescent="0.25">
      <c r="A548" s="2"/>
      <c r="D548" s="2"/>
      <c r="G548" s="2"/>
      <c r="J548" s="2"/>
      <c r="M548" s="2"/>
    </row>
    <row r="549" spans="1:13" x14ac:dyDescent="0.25">
      <c r="A549" s="2"/>
      <c r="D549" s="2"/>
      <c r="G549" s="2"/>
      <c r="J549" s="2"/>
      <c r="M549" s="2"/>
    </row>
    <row r="550" spans="1:13" x14ac:dyDescent="0.25">
      <c r="A550" s="2"/>
      <c r="D550" s="2"/>
      <c r="G550" s="2"/>
      <c r="J550" s="2"/>
      <c r="M550" s="2"/>
    </row>
    <row r="551" spans="1:13" x14ac:dyDescent="0.25">
      <c r="A551" s="2"/>
      <c r="D551" s="2"/>
      <c r="G551" s="2"/>
      <c r="J551" s="2"/>
      <c r="M551" s="2"/>
    </row>
    <row r="552" spans="1:13" x14ac:dyDescent="0.25">
      <c r="A552" s="2"/>
      <c r="D552" s="2"/>
      <c r="G552" s="2"/>
      <c r="J552" s="2"/>
      <c r="M552" s="2"/>
    </row>
    <row r="553" spans="1:13" x14ac:dyDescent="0.25">
      <c r="A553" s="2"/>
      <c r="D553" s="2"/>
      <c r="G553" s="2"/>
      <c r="J553" s="2"/>
      <c r="M553" s="2"/>
    </row>
    <row r="554" spans="1:13" x14ac:dyDescent="0.25">
      <c r="A554" s="2"/>
      <c r="D554" s="2"/>
      <c r="G554" s="2"/>
      <c r="J554" s="2"/>
      <c r="M554" s="2"/>
    </row>
    <row r="555" spans="1:13" x14ac:dyDescent="0.25">
      <c r="A555" s="2"/>
      <c r="D555" s="2"/>
      <c r="G555" s="2"/>
      <c r="J555" s="2"/>
      <c r="M555" s="2"/>
    </row>
    <row r="556" spans="1:13" x14ac:dyDescent="0.25">
      <c r="A556" s="2"/>
      <c r="D556" s="2"/>
      <c r="G556" s="2"/>
      <c r="J556" s="2"/>
      <c r="M556" s="2"/>
    </row>
    <row r="557" spans="1:13" x14ac:dyDescent="0.25">
      <c r="A557" s="2"/>
      <c r="D557" s="2"/>
      <c r="G557" s="2"/>
      <c r="J557" s="2"/>
      <c r="M557" s="2"/>
    </row>
    <row r="558" spans="1:13" x14ac:dyDescent="0.25">
      <c r="A558" s="2"/>
      <c r="D558" s="2"/>
      <c r="G558" s="2"/>
      <c r="J558" s="2"/>
      <c r="M558" s="2"/>
    </row>
    <row r="559" spans="1:13" x14ac:dyDescent="0.25">
      <c r="A559" s="2"/>
      <c r="D559" s="2"/>
      <c r="G559" s="2"/>
      <c r="J559" s="2"/>
      <c r="M559" s="2"/>
    </row>
    <row r="560" spans="1:13" x14ac:dyDescent="0.25">
      <c r="A560" s="2"/>
      <c r="D560" s="2"/>
      <c r="G560" s="2"/>
      <c r="J560" s="2"/>
      <c r="M560" s="2"/>
    </row>
    <row r="561" spans="1:13" x14ac:dyDescent="0.25">
      <c r="A561" s="2"/>
      <c r="D561" s="2"/>
      <c r="G561" s="2"/>
      <c r="J561" s="2"/>
      <c r="M561" s="2"/>
    </row>
    <row r="562" spans="1:13" x14ac:dyDescent="0.25">
      <c r="A562" s="2"/>
      <c r="D562" s="2"/>
      <c r="G562" s="2"/>
      <c r="J562" s="2"/>
      <c r="M562" s="2"/>
    </row>
    <row r="563" spans="1:13" x14ac:dyDescent="0.25">
      <c r="A563" s="2"/>
      <c r="D563" s="2"/>
      <c r="G563" s="2"/>
      <c r="J563" s="2"/>
      <c r="M563" s="2"/>
    </row>
    <row r="564" spans="1:13" x14ac:dyDescent="0.25">
      <c r="A564" s="2"/>
      <c r="D564" s="2"/>
      <c r="G564" s="2"/>
      <c r="J564" s="2"/>
      <c r="M564" s="2"/>
    </row>
    <row r="565" spans="1:13" x14ac:dyDescent="0.25">
      <c r="A565" s="2"/>
      <c r="D565" s="2"/>
      <c r="G565" s="2"/>
      <c r="J565" s="2"/>
      <c r="M565" s="2"/>
    </row>
    <row r="566" spans="1:13" x14ac:dyDescent="0.25">
      <c r="A566" s="2"/>
      <c r="D566" s="2"/>
      <c r="G566" s="2"/>
      <c r="J566" s="2"/>
      <c r="M566" s="2"/>
    </row>
    <row r="567" spans="1:13" x14ac:dyDescent="0.25">
      <c r="A567" s="2"/>
      <c r="D567" s="2"/>
      <c r="G567" s="2"/>
      <c r="J567" s="2"/>
      <c r="M567" s="2"/>
    </row>
    <row r="568" spans="1:13" x14ac:dyDescent="0.25">
      <c r="A568" s="2"/>
      <c r="D568" s="2"/>
      <c r="G568" s="2"/>
      <c r="J568" s="2"/>
      <c r="M568" s="2"/>
    </row>
    <row r="569" spans="1:13" x14ac:dyDescent="0.25">
      <c r="A569" s="2"/>
      <c r="D569" s="2"/>
      <c r="G569" s="2"/>
      <c r="J569" s="2"/>
      <c r="M569" s="2"/>
    </row>
    <row r="570" spans="1:13" x14ac:dyDescent="0.25">
      <c r="A570" s="2"/>
      <c r="D570" s="2"/>
      <c r="G570" s="2"/>
      <c r="J570" s="2"/>
      <c r="M570" s="2"/>
    </row>
    <row r="571" spans="1:13" x14ac:dyDescent="0.25">
      <c r="A571" s="2"/>
      <c r="D571" s="2"/>
      <c r="G571" s="2"/>
      <c r="J571" s="2"/>
      <c r="M571" s="2"/>
    </row>
    <row r="572" spans="1:13" x14ac:dyDescent="0.25">
      <c r="A572" s="2"/>
      <c r="D572" s="2"/>
      <c r="G572" s="2"/>
      <c r="J572" s="2"/>
      <c r="M572" s="2"/>
    </row>
    <row r="573" spans="1:13" x14ac:dyDescent="0.25">
      <c r="A573" s="2"/>
      <c r="D573" s="2"/>
      <c r="G573" s="2"/>
      <c r="J573" s="2"/>
      <c r="M573" s="2"/>
    </row>
    <row r="574" spans="1:13" x14ac:dyDescent="0.25">
      <c r="A574" s="2"/>
      <c r="D574" s="2"/>
      <c r="G574" s="2"/>
      <c r="J574" s="2"/>
      <c r="M574" s="2"/>
    </row>
    <row r="575" spans="1:13" x14ac:dyDescent="0.25">
      <c r="A575" s="2"/>
      <c r="D575" s="2"/>
      <c r="G575" s="2"/>
      <c r="J575" s="2"/>
      <c r="M575" s="2"/>
    </row>
    <row r="576" spans="1:13" x14ac:dyDescent="0.25">
      <c r="A576" s="2"/>
      <c r="D576" s="2"/>
      <c r="G576" s="2"/>
      <c r="J576" s="2"/>
      <c r="M576" s="2"/>
    </row>
    <row r="577" spans="1:13" x14ac:dyDescent="0.25">
      <c r="A577" s="2"/>
      <c r="D577" s="2"/>
      <c r="G577" s="2"/>
      <c r="J577" s="2"/>
      <c r="M577" s="2"/>
    </row>
    <row r="578" spans="1:13" x14ac:dyDescent="0.25">
      <c r="A578" s="2"/>
      <c r="D578" s="2"/>
      <c r="G578" s="2"/>
      <c r="J578" s="2"/>
      <c r="M578" s="2"/>
    </row>
    <row r="579" spans="1:13" x14ac:dyDescent="0.25">
      <c r="A579" s="2"/>
      <c r="D579" s="2"/>
      <c r="G579" s="2"/>
      <c r="J579" s="2"/>
      <c r="M579" s="2"/>
    </row>
    <row r="580" spans="1:13" x14ac:dyDescent="0.25">
      <c r="A580" s="2"/>
      <c r="D580" s="2"/>
      <c r="G580" s="2"/>
      <c r="J580" s="2"/>
      <c r="M580" s="2"/>
    </row>
    <row r="581" spans="1:13" x14ac:dyDescent="0.25">
      <c r="A581" s="2"/>
      <c r="D581" s="2"/>
      <c r="G581" s="2"/>
      <c r="J581" s="2"/>
      <c r="M581" s="2"/>
    </row>
    <row r="582" spans="1:13" x14ac:dyDescent="0.25">
      <c r="A582" s="2"/>
      <c r="D582" s="2"/>
      <c r="G582" s="2"/>
      <c r="J582" s="2"/>
      <c r="M582" s="2"/>
    </row>
    <row r="583" spans="1:13" x14ac:dyDescent="0.25">
      <c r="A583" s="2"/>
      <c r="D583" s="2"/>
      <c r="G583" s="2"/>
      <c r="J583" s="2"/>
      <c r="M583" s="2"/>
    </row>
    <row r="584" spans="1:13" x14ac:dyDescent="0.25">
      <c r="A584" s="2"/>
      <c r="D584" s="2"/>
      <c r="G584" s="2"/>
      <c r="J584" s="2"/>
      <c r="M584" s="2"/>
    </row>
    <row r="585" spans="1:13" x14ac:dyDescent="0.25">
      <c r="A585" s="2"/>
      <c r="D585" s="2"/>
      <c r="G585" s="2"/>
      <c r="J585" s="2"/>
      <c r="M585" s="2"/>
    </row>
    <row r="586" spans="1:13" x14ac:dyDescent="0.25">
      <c r="A586" s="2"/>
      <c r="D586" s="2"/>
      <c r="G586" s="2"/>
      <c r="J586" s="2"/>
      <c r="M586" s="2"/>
    </row>
    <row r="587" spans="1:13" x14ac:dyDescent="0.25">
      <c r="A587" s="2"/>
      <c r="D587" s="2"/>
      <c r="G587" s="2"/>
      <c r="J587" s="2"/>
      <c r="M587" s="2"/>
    </row>
    <row r="588" spans="1:13" x14ac:dyDescent="0.25">
      <c r="A588" s="2"/>
      <c r="D588" s="2"/>
      <c r="G588" s="2"/>
      <c r="J588" s="2"/>
      <c r="M588" s="2"/>
    </row>
    <row r="589" spans="1:13" x14ac:dyDescent="0.25">
      <c r="A589" s="2"/>
      <c r="D589" s="2"/>
      <c r="G589" s="2"/>
      <c r="J589" s="2"/>
      <c r="M589" s="2"/>
    </row>
    <row r="590" spans="1:13" x14ac:dyDescent="0.25">
      <c r="A590" s="2"/>
      <c r="D590" s="2"/>
      <c r="G590" s="2"/>
      <c r="J590" s="2"/>
      <c r="M590" s="2"/>
    </row>
    <row r="591" spans="1:13" x14ac:dyDescent="0.25">
      <c r="A591" s="2"/>
      <c r="D591" s="2"/>
      <c r="G591" s="2"/>
      <c r="J591" s="2"/>
      <c r="M591" s="2"/>
    </row>
    <row r="592" spans="1:13" x14ac:dyDescent="0.25">
      <c r="A592" s="2"/>
      <c r="D592" s="2"/>
      <c r="G592" s="2"/>
      <c r="J592" s="2"/>
      <c r="M592" s="2"/>
    </row>
    <row r="593" spans="1:13" x14ac:dyDescent="0.25">
      <c r="A593" s="2"/>
      <c r="D593" s="2"/>
      <c r="G593" s="2"/>
      <c r="J593" s="2"/>
      <c r="M593" s="2"/>
    </row>
    <row r="594" spans="1:13" x14ac:dyDescent="0.25">
      <c r="A594" s="2"/>
      <c r="D594" s="2"/>
      <c r="G594" s="2"/>
      <c r="J594" s="2"/>
      <c r="M594" s="2"/>
    </row>
    <row r="595" spans="1:13" x14ac:dyDescent="0.25">
      <c r="A595" s="2"/>
      <c r="D595" s="2"/>
      <c r="G595" s="2"/>
      <c r="J595" s="2"/>
      <c r="M595" s="2"/>
    </row>
    <row r="596" spans="1:13" x14ac:dyDescent="0.25">
      <c r="A596" s="2"/>
      <c r="D596" s="2"/>
      <c r="G596" s="2"/>
      <c r="J596" s="2"/>
      <c r="M596" s="2"/>
    </row>
    <row r="597" spans="1:13" x14ac:dyDescent="0.25">
      <c r="A597" s="2"/>
      <c r="D597" s="2"/>
      <c r="G597" s="2"/>
      <c r="J597" s="2"/>
      <c r="M597" s="2"/>
    </row>
    <row r="598" spans="1:13" x14ac:dyDescent="0.25">
      <c r="A598" s="2"/>
      <c r="D598" s="2"/>
      <c r="G598" s="2"/>
      <c r="J598" s="2"/>
      <c r="M598" s="2"/>
    </row>
    <row r="599" spans="1:13" x14ac:dyDescent="0.25">
      <c r="A599" s="2"/>
      <c r="D599" s="2"/>
      <c r="G599" s="2"/>
      <c r="J599" s="2"/>
      <c r="M599" s="2"/>
    </row>
    <row r="600" spans="1:13" x14ac:dyDescent="0.25">
      <c r="A600" s="2"/>
      <c r="D600" s="2"/>
      <c r="G600" s="2"/>
      <c r="J600" s="2"/>
      <c r="M600" s="2"/>
    </row>
    <row r="601" spans="1:13" x14ac:dyDescent="0.25">
      <c r="A601" s="2"/>
      <c r="D601" s="2"/>
      <c r="G601" s="2"/>
      <c r="J601" s="2"/>
      <c r="M601" s="2"/>
    </row>
    <row r="602" spans="1:13" x14ac:dyDescent="0.25">
      <c r="A602" s="2"/>
      <c r="D602" s="2"/>
      <c r="G602" s="2"/>
      <c r="J602" s="2"/>
      <c r="M602" s="2"/>
    </row>
    <row r="603" spans="1:13" x14ac:dyDescent="0.25">
      <c r="A603" s="2"/>
      <c r="D603" s="2"/>
      <c r="G603" s="2"/>
      <c r="J603" s="2"/>
      <c r="M603" s="2"/>
    </row>
    <row r="604" spans="1:13" x14ac:dyDescent="0.25">
      <c r="A604" s="2"/>
      <c r="D604" s="2"/>
      <c r="G604" s="2"/>
      <c r="J604" s="2"/>
      <c r="M604" s="2"/>
    </row>
    <row r="605" spans="1:13" x14ac:dyDescent="0.25">
      <c r="A605" s="2"/>
      <c r="D605" s="2"/>
      <c r="G605" s="2"/>
      <c r="J605" s="2"/>
      <c r="M605" s="2"/>
    </row>
    <row r="606" spans="1:13" x14ac:dyDescent="0.25">
      <c r="A606" s="2"/>
      <c r="D606" s="2"/>
      <c r="G606" s="2"/>
      <c r="J606" s="2"/>
      <c r="M606" s="2"/>
    </row>
    <row r="607" spans="1:13" x14ac:dyDescent="0.25">
      <c r="A607" s="2"/>
      <c r="D607" s="2"/>
      <c r="G607" s="2"/>
      <c r="J607" s="2"/>
      <c r="M607" s="2"/>
    </row>
    <row r="608" spans="1:13" x14ac:dyDescent="0.25">
      <c r="A608" s="2"/>
      <c r="D608" s="2"/>
      <c r="G608" s="2"/>
      <c r="J608" s="2"/>
      <c r="M608" s="2"/>
    </row>
    <row r="609" spans="1:13" x14ac:dyDescent="0.25">
      <c r="A609" s="2"/>
      <c r="D609" s="2"/>
      <c r="G609" s="2"/>
      <c r="J609" s="2"/>
      <c r="M609" s="2"/>
    </row>
    <row r="610" spans="1:13" x14ac:dyDescent="0.25">
      <c r="A610" s="2"/>
      <c r="D610" s="2"/>
      <c r="G610" s="2"/>
      <c r="J610" s="2"/>
      <c r="M610" s="2"/>
    </row>
    <row r="611" spans="1:13" x14ac:dyDescent="0.25">
      <c r="A611" s="2"/>
      <c r="D611" s="2"/>
      <c r="G611" s="2"/>
      <c r="J611" s="2"/>
      <c r="M611" s="2"/>
    </row>
    <row r="612" spans="1:13" x14ac:dyDescent="0.25">
      <c r="A612" s="2"/>
      <c r="D612" s="2"/>
      <c r="G612" s="2"/>
      <c r="J612" s="2"/>
      <c r="M612" s="2"/>
    </row>
    <row r="613" spans="1:13" x14ac:dyDescent="0.25">
      <c r="A613" s="2"/>
      <c r="D613" s="2"/>
      <c r="G613" s="2"/>
      <c r="J613" s="2"/>
      <c r="M613" s="2"/>
    </row>
    <row r="614" spans="1:13" x14ac:dyDescent="0.25">
      <c r="A614" s="2"/>
      <c r="D614" s="2"/>
      <c r="G614" s="2"/>
      <c r="J614" s="2"/>
      <c r="M614" s="2"/>
    </row>
    <row r="615" spans="1:13" x14ac:dyDescent="0.25">
      <c r="A615" s="2"/>
      <c r="D615" s="2"/>
      <c r="G615" s="2"/>
      <c r="J615" s="2"/>
      <c r="M615" s="2"/>
    </row>
    <row r="616" spans="1:13" x14ac:dyDescent="0.25">
      <c r="A616" s="2"/>
      <c r="D616" s="2"/>
      <c r="G616" s="2"/>
      <c r="J616" s="2"/>
      <c r="M616" s="2"/>
    </row>
    <row r="617" spans="1:13" x14ac:dyDescent="0.25">
      <c r="A617" s="2"/>
      <c r="D617" s="2"/>
      <c r="G617" s="2"/>
      <c r="J617" s="2"/>
      <c r="M617" s="2"/>
    </row>
    <row r="618" spans="1:13" x14ac:dyDescent="0.25">
      <c r="A618" s="2"/>
      <c r="D618" s="2"/>
      <c r="G618" s="2"/>
      <c r="J618" s="2"/>
      <c r="M618" s="2"/>
    </row>
    <row r="619" spans="1:13" x14ac:dyDescent="0.25">
      <c r="A619" s="2"/>
      <c r="D619" s="2"/>
      <c r="G619" s="2"/>
      <c r="J619" s="2"/>
      <c r="M619" s="2"/>
    </row>
    <row r="620" spans="1:13" x14ac:dyDescent="0.25">
      <c r="A620" s="2"/>
      <c r="D620" s="2"/>
      <c r="G620" s="2"/>
      <c r="J620" s="2"/>
      <c r="M620" s="2"/>
    </row>
    <row r="621" spans="1:13" x14ac:dyDescent="0.25">
      <c r="A621" s="2"/>
      <c r="D621" s="2"/>
      <c r="G621" s="2"/>
      <c r="J621" s="2"/>
      <c r="M621" s="2"/>
    </row>
    <row r="622" spans="1:13" x14ac:dyDescent="0.25">
      <c r="A622" s="2"/>
      <c r="D622" s="2"/>
      <c r="G622" s="2"/>
      <c r="J622" s="2"/>
      <c r="M622" s="2"/>
    </row>
    <row r="623" spans="1:13" x14ac:dyDescent="0.25">
      <c r="A623" s="2"/>
      <c r="D623" s="2"/>
      <c r="G623" s="2"/>
      <c r="J623" s="2"/>
      <c r="M623" s="2"/>
    </row>
    <row r="624" spans="1:13" x14ac:dyDescent="0.25">
      <c r="A624" s="2"/>
      <c r="D624" s="2"/>
      <c r="G624" s="2"/>
      <c r="J624" s="2"/>
      <c r="M624" s="2"/>
    </row>
    <row r="625" spans="1:13" x14ac:dyDescent="0.25">
      <c r="A625" s="2"/>
      <c r="D625" s="2"/>
      <c r="G625" s="2"/>
      <c r="J625" s="2"/>
      <c r="M625" s="2"/>
    </row>
    <row r="626" spans="1:13" x14ac:dyDescent="0.25">
      <c r="A626" s="2"/>
      <c r="D626" s="2"/>
      <c r="G626" s="2"/>
      <c r="J626" s="2"/>
      <c r="M626" s="2"/>
    </row>
    <row r="627" spans="1:13" x14ac:dyDescent="0.25">
      <c r="A627" s="2"/>
      <c r="D627" s="2"/>
      <c r="G627" s="2"/>
      <c r="J627" s="2"/>
      <c r="M627" s="2"/>
    </row>
    <row r="628" spans="1:13" x14ac:dyDescent="0.25">
      <c r="A628" s="2"/>
      <c r="D628" s="2"/>
      <c r="G628" s="2"/>
      <c r="J628" s="2"/>
      <c r="M628" s="2"/>
    </row>
    <row r="629" spans="1:13" x14ac:dyDescent="0.25">
      <c r="A629" s="2"/>
      <c r="D629" s="2"/>
      <c r="G629" s="2"/>
      <c r="J629" s="2"/>
      <c r="M629" s="2"/>
    </row>
    <row r="630" spans="1:13" x14ac:dyDescent="0.25">
      <c r="A630" s="2"/>
      <c r="D630" s="2"/>
      <c r="G630" s="2"/>
      <c r="J630" s="2"/>
      <c r="M630" s="2"/>
    </row>
    <row r="631" spans="1:13" x14ac:dyDescent="0.25">
      <c r="A631" s="2"/>
      <c r="D631" s="2"/>
      <c r="G631" s="2"/>
      <c r="J631" s="2"/>
      <c r="M631" s="2"/>
    </row>
    <row r="632" spans="1:13" x14ac:dyDescent="0.25">
      <c r="A632" s="2"/>
      <c r="D632" s="2"/>
      <c r="G632" s="2"/>
      <c r="J632" s="2"/>
      <c r="M632" s="2"/>
    </row>
    <row r="633" spans="1:13" x14ac:dyDescent="0.25">
      <c r="A633" s="2"/>
      <c r="D633" s="2"/>
      <c r="G633" s="2"/>
      <c r="J633" s="2"/>
      <c r="M633" s="2"/>
    </row>
    <row r="634" spans="1:13" x14ac:dyDescent="0.25">
      <c r="A634" s="2"/>
      <c r="D634" s="2"/>
      <c r="G634" s="2"/>
      <c r="J634" s="2"/>
      <c r="M634" s="2"/>
    </row>
    <row r="635" spans="1:13" x14ac:dyDescent="0.25">
      <c r="A635" s="2"/>
      <c r="D635" s="2"/>
      <c r="G635" s="2"/>
      <c r="J635" s="2"/>
      <c r="M635" s="2"/>
    </row>
    <row r="636" spans="1:13" x14ac:dyDescent="0.25">
      <c r="A636" s="2"/>
      <c r="D636" s="2"/>
      <c r="G636" s="2"/>
      <c r="J636" s="2"/>
      <c r="M636" s="2"/>
    </row>
    <row r="637" spans="1:13" x14ac:dyDescent="0.25">
      <c r="A637" s="2"/>
      <c r="D637" s="2"/>
      <c r="G637" s="2"/>
      <c r="J637" s="2"/>
      <c r="M637" s="2"/>
    </row>
    <row r="638" spans="1:13" x14ac:dyDescent="0.25">
      <c r="A638" s="2"/>
      <c r="D638" s="2"/>
      <c r="G638" s="2"/>
      <c r="J638" s="2"/>
      <c r="M638" s="2"/>
    </row>
    <row r="639" spans="1:13" x14ac:dyDescent="0.25">
      <c r="A639" s="2"/>
      <c r="D639" s="2"/>
      <c r="G639" s="2"/>
      <c r="J639" s="2"/>
      <c r="M639" s="2"/>
    </row>
    <row r="640" spans="1:13" x14ac:dyDescent="0.25">
      <c r="A640" s="2"/>
      <c r="D640" s="2"/>
      <c r="G640" s="2"/>
      <c r="J640" s="2"/>
      <c r="M640" s="2"/>
    </row>
    <row r="641" spans="1:13" x14ac:dyDescent="0.25">
      <c r="A641" s="2"/>
      <c r="D641" s="2"/>
      <c r="G641" s="2"/>
      <c r="J641" s="2"/>
      <c r="M641" s="2"/>
    </row>
    <row r="642" spans="1:13" x14ac:dyDescent="0.25">
      <c r="A642" s="2"/>
      <c r="D642" s="2"/>
      <c r="G642" s="2"/>
      <c r="J642" s="2"/>
      <c r="M642" s="2"/>
    </row>
    <row r="643" spans="1:13" x14ac:dyDescent="0.25">
      <c r="A643" s="2"/>
      <c r="D643" s="2"/>
      <c r="G643" s="2"/>
      <c r="J643" s="2"/>
      <c r="M643" s="2"/>
    </row>
    <row r="644" spans="1:13" x14ac:dyDescent="0.25">
      <c r="A644" s="2"/>
      <c r="D644" s="2"/>
      <c r="G644" s="2"/>
      <c r="J644" s="2"/>
      <c r="M644" s="2"/>
    </row>
    <row r="645" spans="1:13" x14ac:dyDescent="0.25">
      <c r="A645" s="2"/>
      <c r="D645" s="2"/>
      <c r="G645" s="2"/>
      <c r="J645" s="2"/>
      <c r="M645" s="2"/>
    </row>
    <row r="646" spans="1:13" x14ac:dyDescent="0.25">
      <c r="A646" s="2"/>
      <c r="D646" s="2"/>
      <c r="G646" s="2"/>
      <c r="J646" s="2"/>
      <c r="M646" s="2"/>
    </row>
    <row r="647" spans="1:13" x14ac:dyDescent="0.25">
      <c r="A647" s="2"/>
      <c r="D647" s="2"/>
      <c r="G647" s="2"/>
      <c r="J647" s="2"/>
      <c r="M647" s="2"/>
    </row>
    <row r="648" spans="1:13" x14ac:dyDescent="0.25">
      <c r="A648" s="2"/>
      <c r="D648" s="2"/>
      <c r="G648" s="2"/>
      <c r="J648" s="2"/>
      <c r="M648" s="2"/>
    </row>
    <row r="649" spans="1:13" x14ac:dyDescent="0.25">
      <c r="A649" s="2"/>
      <c r="D649" s="2"/>
      <c r="G649" s="2"/>
      <c r="J649" s="2"/>
      <c r="M649" s="2"/>
    </row>
    <row r="650" spans="1:13" x14ac:dyDescent="0.25">
      <c r="A650" s="2"/>
      <c r="D650" s="2"/>
      <c r="G650" s="2"/>
      <c r="J650" s="2"/>
      <c r="M650" s="2"/>
    </row>
    <row r="651" spans="1:13" x14ac:dyDescent="0.25">
      <c r="A651" s="2"/>
      <c r="D651" s="2"/>
      <c r="G651" s="2"/>
      <c r="J651" s="2"/>
      <c r="M651" s="2"/>
    </row>
    <row r="652" spans="1:13" x14ac:dyDescent="0.25">
      <c r="A652" s="2"/>
      <c r="D652" s="2"/>
      <c r="G652" s="2"/>
      <c r="J652" s="2"/>
      <c r="M652" s="2"/>
    </row>
    <row r="653" spans="1:13" x14ac:dyDescent="0.25">
      <c r="A653" s="2"/>
      <c r="D653" s="2"/>
      <c r="G653" s="2"/>
      <c r="J653" s="2"/>
      <c r="M653" s="2"/>
    </row>
    <row r="654" spans="1:13" x14ac:dyDescent="0.25">
      <c r="A654" s="2"/>
      <c r="D654" s="2"/>
      <c r="G654" s="2"/>
      <c r="J654" s="2"/>
      <c r="M654" s="2"/>
    </row>
    <row r="655" spans="1:13" x14ac:dyDescent="0.25">
      <c r="A655" s="2"/>
      <c r="D655" s="2"/>
      <c r="G655" s="2"/>
      <c r="J655" s="2"/>
      <c r="M655" s="2"/>
    </row>
    <row r="656" spans="1:13" x14ac:dyDescent="0.25">
      <c r="A656" s="2"/>
      <c r="D656" s="2"/>
      <c r="G656" s="2"/>
      <c r="J656" s="2"/>
      <c r="M656" s="2"/>
    </row>
    <row r="657" spans="1:13" x14ac:dyDescent="0.25">
      <c r="A657" s="2"/>
      <c r="D657" s="2"/>
      <c r="G657" s="2"/>
      <c r="J657" s="2"/>
      <c r="M657" s="2"/>
    </row>
    <row r="658" spans="1:13" x14ac:dyDescent="0.25">
      <c r="A658" s="2"/>
      <c r="D658" s="2"/>
      <c r="G658" s="2"/>
      <c r="J658" s="2"/>
      <c r="M658" s="2"/>
    </row>
    <row r="659" spans="1:13" x14ac:dyDescent="0.25">
      <c r="A659" s="2"/>
      <c r="D659" s="2"/>
      <c r="G659" s="2"/>
      <c r="J659" s="2"/>
      <c r="M659" s="2"/>
    </row>
    <row r="660" spans="1:13" x14ac:dyDescent="0.25">
      <c r="A660" s="2"/>
      <c r="D660" s="2"/>
      <c r="G660" s="2"/>
      <c r="J660" s="2"/>
      <c r="M660" s="2"/>
    </row>
    <row r="661" spans="1:13" x14ac:dyDescent="0.25">
      <c r="A661" s="2"/>
      <c r="D661" s="2"/>
      <c r="G661" s="2"/>
      <c r="J661" s="2"/>
      <c r="M661" s="2"/>
    </row>
    <row r="662" spans="1:13" x14ac:dyDescent="0.25">
      <c r="A662" s="2"/>
      <c r="D662" s="2"/>
      <c r="G662" s="2"/>
      <c r="J662" s="2"/>
      <c r="M662" s="2"/>
    </row>
    <row r="663" spans="1:13" x14ac:dyDescent="0.25">
      <c r="A663" s="2"/>
      <c r="D663" s="2"/>
      <c r="G663" s="2"/>
      <c r="J663" s="2"/>
      <c r="M663" s="2"/>
    </row>
    <row r="664" spans="1:13" x14ac:dyDescent="0.25">
      <c r="A664" s="2"/>
      <c r="D664" s="2"/>
      <c r="G664" s="2"/>
      <c r="J664" s="2"/>
      <c r="M664" s="2"/>
    </row>
    <row r="665" spans="1:13" x14ac:dyDescent="0.25">
      <c r="A665" s="2"/>
      <c r="D665" s="2"/>
      <c r="G665" s="2"/>
      <c r="J665" s="2"/>
      <c r="M665" s="2"/>
    </row>
    <row r="666" spans="1:13" x14ac:dyDescent="0.25">
      <c r="A666" s="2"/>
      <c r="D666" s="2"/>
      <c r="G666" s="2"/>
      <c r="J666" s="2"/>
      <c r="M666" s="2"/>
    </row>
    <row r="667" spans="1:13" x14ac:dyDescent="0.25">
      <c r="A667" s="2"/>
      <c r="D667" s="2"/>
      <c r="G667" s="2"/>
      <c r="J667" s="2"/>
      <c r="M667" s="2"/>
    </row>
    <row r="668" spans="1:13" x14ac:dyDescent="0.25">
      <c r="A668" s="2"/>
      <c r="D668" s="2"/>
      <c r="G668" s="2"/>
      <c r="J668" s="2"/>
      <c r="M668" s="2"/>
    </row>
    <row r="669" spans="1:13" x14ac:dyDescent="0.25">
      <c r="A669" s="2"/>
      <c r="D669" s="2"/>
      <c r="G669" s="2"/>
      <c r="J669" s="2"/>
      <c r="M669" s="2"/>
    </row>
    <row r="670" spans="1:13" x14ac:dyDescent="0.25">
      <c r="A670" s="2"/>
      <c r="D670" s="2"/>
      <c r="G670" s="2"/>
      <c r="J670" s="2"/>
      <c r="M670" s="2"/>
    </row>
    <row r="671" spans="1:13" x14ac:dyDescent="0.25">
      <c r="A671" s="2"/>
      <c r="D671" s="2"/>
      <c r="G671" s="2"/>
      <c r="J671" s="2"/>
      <c r="M671" s="2"/>
    </row>
    <row r="672" spans="1:13" x14ac:dyDescent="0.25">
      <c r="A672" s="2"/>
      <c r="D672" s="2"/>
      <c r="G672" s="2"/>
      <c r="J672" s="2"/>
      <c r="M672" s="2"/>
    </row>
    <row r="673" spans="1:13" x14ac:dyDescent="0.25">
      <c r="A673" s="2"/>
      <c r="D673" s="2"/>
      <c r="G673" s="2"/>
      <c r="J673" s="2"/>
      <c r="M673" s="2"/>
    </row>
    <row r="674" spans="1:13" x14ac:dyDescent="0.25">
      <c r="A674" s="2"/>
      <c r="D674" s="2"/>
      <c r="G674" s="2"/>
      <c r="J674" s="2"/>
      <c r="M674" s="2"/>
    </row>
    <row r="675" spans="1:13" x14ac:dyDescent="0.25">
      <c r="A675" s="2"/>
      <c r="D675" s="2"/>
      <c r="G675" s="2"/>
      <c r="J675" s="2"/>
      <c r="M675" s="2"/>
    </row>
    <row r="676" spans="1:13" x14ac:dyDescent="0.25">
      <c r="A676" s="2"/>
      <c r="D676" s="2"/>
      <c r="G676" s="2"/>
      <c r="J676" s="2"/>
      <c r="M676" s="2"/>
    </row>
    <row r="677" spans="1:13" x14ac:dyDescent="0.25">
      <c r="A677" s="2"/>
      <c r="D677" s="2"/>
      <c r="G677" s="2"/>
      <c r="J677" s="2"/>
      <c r="M677" s="2"/>
    </row>
    <row r="678" spans="1:13" x14ac:dyDescent="0.25">
      <c r="A678" s="2"/>
      <c r="D678" s="2"/>
      <c r="G678" s="2"/>
      <c r="J678" s="2"/>
      <c r="M678" s="2"/>
    </row>
    <row r="679" spans="1:13" x14ac:dyDescent="0.25">
      <c r="A679" s="2"/>
      <c r="D679" s="2"/>
      <c r="G679" s="2"/>
      <c r="J679" s="2"/>
      <c r="M679" s="2"/>
    </row>
    <row r="680" spans="1:13" x14ac:dyDescent="0.25">
      <c r="A680" s="2"/>
      <c r="D680" s="2"/>
      <c r="G680" s="2"/>
      <c r="J680" s="2"/>
      <c r="M680" s="2"/>
    </row>
    <row r="681" spans="1:13" x14ac:dyDescent="0.25">
      <c r="A681" s="2"/>
      <c r="D681" s="2"/>
      <c r="G681" s="2"/>
      <c r="J681" s="2"/>
      <c r="M681" s="2"/>
    </row>
    <row r="682" spans="1:13" x14ac:dyDescent="0.25">
      <c r="A682" s="2"/>
      <c r="D682" s="2"/>
      <c r="G682" s="2"/>
      <c r="J682" s="2"/>
      <c r="M682" s="2"/>
    </row>
    <row r="683" spans="1:13" x14ac:dyDescent="0.25">
      <c r="A683" s="2"/>
      <c r="D683" s="2"/>
      <c r="G683" s="2"/>
      <c r="J683" s="2"/>
      <c r="M683" s="2"/>
    </row>
    <row r="684" spans="1:13" x14ac:dyDescent="0.25">
      <c r="A684" s="2"/>
      <c r="D684" s="2"/>
      <c r="G684" s="2"/>
      <c r="J684" s="2"/>
      <c r="M684" s="2"/>
    </row>
    <row r="685" spans="1:13" x14ac:dyDescent="0.25">
      <c r="A685" s="2"/>
      <c r="D685" s="2"/>
      <c r="G685" s="2"/>
      <c r="J685" s="2"/>
      <c r="M685" s="2"/>
    </row>
    <row r="686" spans="1:13" x14ac:dyDescent="0.25">
      <c r="A686" s="2"/>
      <c r="D686" s="2"/>
      <c r="G686" s="2"/>
      <c r="J686" s="2"/>
      <c r="M686" s="2"/>
    </row>
    <row r="687" spans="1:13" x14ac:dyDescent="0.25">
      <c r="A687" s="2"/>
      <c r="D687" s="2"/>
      <c r="G687" s="2"/>
      <c r="J687" s="2"/>
      <c r="M687" s="2"/>
    </row>
    <row r="688" spans="1:13" x14ac:dyDescent="0.25">
      <c r="A688" s="2"/>
      <c r="D688" s="2"/>
      <c r="G688" s="2"/>
      <c r="J688" s="2"/>
      <c r="M688" s="2"/>
    </row>
    <row r="689" spans="1:13" x14ac:dyDescent="0.25">
      <c r="A689" s="2"/>
      <c r="D689" s="2"/>
      <c r="G689" s="2"/>
      <c r="J689" s="2"/>
      <c r="M689" s="2"/>
    </row>
    <row r="690" spans="1:13" x14ac:dyDescent="0.25">
      <c r="A690" s="2"/>
      <c r="D690" s="2"/>
      <c r="G690" s="2"/>
      <c r="J690" s="2"/>
      <c r="M690" s="2"/>
    </row>
    <row r="691" spans="1:13" x14ac:dyDescent="0.25">
      <c r="A691" s="2"/>
      <c r="D691" s="2"/>
      <c r="G691" s="2"/>
      <c r="J691" s="2"/>
      <c r="M691" s="2"/>
    </row>
    <row r="692" spans="1:13" x14ac:dyDescent="0.25">
      <c r="A692" s="2"/>
      <c r="D692" s="2"/>
      <c r="G692" s="2"/>
      <c r="J692" s="2"/>
      <c r="M692" s="2"/>
    </row>
    <row r="693" spans="1:13" x14ac:dyDescent="0.25">
      <c r="A693" s="2"/>
      <c r="D693" s="2"/>
      <c r="G693" s="2"/>
      <c r="J693" s="2"/>
      <c r="M693" s="2"/>
    </row>
    <row r="694" spans="1:13" x14ac:dyDescent="0.25">
      <c r="A694" s="2"/>
      <c r="D694" s="2"/>
      <c r="G694" s="2"/>
      <c r="J694" s="2"/>
      <c r="M694" s="2"/>
    </row>
    <row r="695" spans="1:13" x14ac:dyDescent="0.25">
      <c r="A695" s="2"/>
      <c r="D695" s="2"/>
      <c r="G695" s="2"/>
      <c r="J695" s="2"/>
      <c r="M695" s="2"/>
    </row>
    <row r="696" spans="1:13" x14ac:dyDescent="0.25">
      <c r="A696" s="2"/>
      <c r="D696" s="2"/>
      <c r="G696" s="2"/>
      <c r="J696" s="2"/>
      <c r="M696" s="2"/>
    </row>
    <row r="697" spans="1:13" x14ac:dyDescent="0.25">
      <c r="A697" s="2"/>
      <c r="D697" s="2"/>
      <c r="G697" s="2"/>
      <c r="J697" s="2"/>
      <c r="M697" s="2"/>
    </row>
    <row r="698" spans="1:13" x14ac:dyDescent="0.25">
      <c r="A698" s="2"/>
      <c r="D698" s="2"/>
      <c r="G698" s="2"/>
      <c r="J698" s="2"/>
      <c r="M698" s="2"/>
    </row>
    <row r="699" spans="1:13" x14ac:dyDescent="0.25">
      <c r="A699" s="2"/>
      <c r="D699" s="2"/>
      <c r="G699" s="2"/>
      <c r="J699" s="2"/>
      <c r="M699" s="2"/>
    </row>
    <row r="700" spans="1:13" x14ac:dyDescent="0.25">
      <c r="A700" s="2"/>
      <c r="D700" s="2"/>
      <c r="G700" s="2"/>
      <c r="J700" s="2"/>
      <c r="M700" s="2"/>
    </row>
    <row r="701" spans="1:13" x14ac:dyDescent="0.25">
      <c r="A701" s="2"/>
      <c r="D701" s="2"/>
      <c r="G701" s="2"/>
      <c r="J701" s="2"/>
      <c r="M701" s="2"/>
    </row>
    <row r="702" spans="1:13" x14ac:dyDescent="0.25">
      <c r="A702" s="2"/>
      <c r="D702" s="2"/>
      <c r="G702" s="2"/>
      <c r="J702" s="2"/>
      <c r="M702" s="2"/>
    </row>
    <row r="703" spans="1:13" x14ac:dyDescent="0.25">
      <c r="A703" s="2"/>
      <c r="D703" s="2"/>
      <c r="G703" s="2"/>
      <c r="J703" s="2"/>
      <c r="M703" s="2"/>
    </row>
    <row r="704" spans="1:13" x14ac:dyDescent="0.25">
      <c r="A704" s="2"/>
      <c r="D704" s="2"/>
      <c r="G704" s="2"/>
      <c r="J704" s="2"/>
      <c r="M704" s="2"/>
    </row>
    <row r="705" spans="1:13" x14ac:dyDescent="0.25">
      <c r="A705" s="2"/>
      <c r="D705" s="2"/>
      <c r="G705" s="2"/>
      <c r="J705" s="2"/>
      <c r="M705" s="2"/>
    </row>
    <row r="706" spans="1:13" x14ac:dyDescent="0.25">
      <c r="A706" s="2"/>
      <c r="D706" s="2"/>
      <c r="G706" s="2"/>
      <c r="J706" s="2"/>
      <c r="M706" s="2"/>
    </row>
    <row r="707" spans="1:13" x14ac:dyDescent="0.25">
      <c r="A707" s="2"/>
      <c r="D707" s="2"/>
      <c r="G707" s="2"/>
      <c r="J707" s="2"/>
      <c r="M707" s="2"/>
    </row>
    <row r="708" spans="1:13" x14ac:dyDescent="0.25">
      <c r="A708" s="2"/>
      <c r="D708" s="2"/>
      <c r="G708" s="2"/>
      <c r="J708" s="2"/>
      <c r="M708" s="2"/>
    </row>
    <row r="709" spans="1:13" x14ac:dyDescent="0.25">
      <c r="A709" s="2"/>
      <c r="D709" s="2"/>
      <c r="G709" s="2"/>
      <c r="J709" s="2"/>
      <c r="M709" s="2"/>
    </row>
    <row r="710" spans="1:13" x14ac:dyDescent="0.25">
      <c r="A710" s="2"/>
      <c r="D710" s="2"/>
      <c r="G710" s="2"/>
      <c r="J710" s="2"/>
      <c r="M710" s="2"/>
    </row>
    <row r="711" spans="1:13" x14ac:dyDescent="0.25">
      <c r="A711" s="2"/>
      <c r="D711" s="2"/>
      <c r="G711" s="2"/>
      <c r="J711" s="2"/>
      <c r="M711" s="2"/>
    </row>
    <row r="712" spans="1:13" x14ac:dyDescent="0.25">
      <c r="A712" s="2"/>
      <c r="D712" s="2"/>
      <c r="G712" s="2"/>
      <c r="J712" s="2"/>
      <c r="M712" s="2"/>
    </row>
    <row r="713" spans="1:13" x14ac:dyDescent="0.25">
      <c r="A713" s="2"/>
      <c r="D713" s="2"/>
      <c r="G713" s="2"/>
      <c r="J713" s="2"/>
      <c r="M713" s="2"/>
    </row>
    <row r="714" spans="1:13" x14ac:dyDescent="0.25">
      <c r="A714" s="2"/>
      <c r="D714" s="2"/>
      <c r="G714" s="2"/>
      <c r="J714" s="2"/>
      <c r="M714" s="2"/>
    </row>
    <row r="715" spans="1:13" x14ac:dyDescent="0.25">
      <c r="A715" s="2"/>
      <c r="D715" s="2"/>
      <c r="G715" s="2"/>
      <c r="J715" s="2"/>
      <c r="M715" s="2"/>
    </row>
    <row r="716" spans="1:13" x14ac:dyDescent="0.25">
      <c r="A716" s="2"/>
      <c r="D716" s="2"/>
      <c r="G716" s="2"/>
      <c r="J716" s="2"/>
      <c r="M716" s="2"/>
    </row>
    <row r="717" spans="1:13" x14ac:dyDescent="0.25">
      <c r="A717" s="2"/>
      <c r="D717" s="2"/>
      <c r="G717" s="2"/>
      <c r="J717" s="2"/>
      <c r="M717" s="2"/>
    </row>
    <row r="718" spans="1:13" x14ac:dyDescent="0.25">
      <c r="A718" s="2"/>
      <c r="D718" s="2"/>
      <c r="G718" s="2"/>
      <c r="J718" s="2"/>
      <c r="M718" s="2"/>
    </row>
    <row r="719" spans="1:13" x14ac:dyDescent="0.25">
      <c r="A719" s="2"/>
      <c r="D719" s="2"/>
      <c r="G719" s="2"/>
      <c r="J719" s="2"/>
      <c r="M719" s="2"/>
    </row>
    <row r="720" spans="1:13" x14ac:dyDescent="0.25">
      <c r="A720" s="2"/>
      <c r="D720" s="2"/>
      <c r="G720" s="2"/>
      <c r="J720" s="2"/>
      <c r="M720" s="2"/>
    </row>
    <row r="721" spans="1:13" x14ac:dyDescent="0.25">
      <c r="A721" s="2"/>
      <c r="D721" s="2"/>
      <c r="G721" s="2"/>
      <c r="J721" s="2"/>
      <c r="M721" s="2"/>
    </row>
    <row r="722" spans="1:13" x14ac:dyDescent="0.25">
      <c r="A722" s="2"/>
      <c r="D722" s="2"/>
      <c r="G722" s="2"/>
      <c r="J722" s="2"/>
      <c r="M722" s="2"/>
    </row>
    <row r="723" spans="1:13" x14ac:dyDescent="0.25">
      <c r="A723" s="2"/>
      <c r="D723" s="2"/>
      <c r="G723" s="2"/>
      <c r="J723" s="2"/>
      <c r="M723" s="2"/>
    </row>
    <row r="724" spans="1:13" x14ac:dyDescent="0.25">
      <c r="A724" s="2"/>
      <c r="D724" s="2"/>
      <c r="G724" s="2"/>
      <c r="J724" s="2"/>
      <c r="M724" s="2"/>
    </row>
    <row r="725" spans="1:13" x14ac:dyDescent="0.25">
      <c r="A725" s="2"/>
      <c r="D725" s="2"/>
      <c r="G725" s="2"/>
      <c r="J725" s="2"/>
      <c r="M725" s="2"/>
    </row>
    <row r="726" spans="1:13" x14ac:dyDescent="0.25">
      <c r="A726" s="2"/>
      <c r="D726" s="2"/>
      <c r="G726" s="2"/>
      <c r="J726" s="2"/>
      <c r="M726" s="2"/>
    </row>
    <row r="727" spans="1:13" x14ac:dyDescent="0.25">
      <c r="A727" s="2"/>
      <c r="D727" s="2"/>
      <c r="G727" s="2"/>
      <c r="J727" s="2"/>
      <c r="M727" s="2"/>
    </row>
    <row r="728" spans="1:13" x14ac:dyDescent="0.25">
      <c r="A728" s="2"/>
      <c r="D728" s="2"/>
      <c r="G728" s="2"/>
      <c r="J728" s="2"/>
      <c r="M728" s="2"/>
    </row>
    <row r="729" spans="1:13" x14ac:dyDescent="0.25">
      <c r="A729" s="2"/>
      <c r="D729" s="2"/>
      <c r="G729" s="2"/>
      <c r="J729" s="2"/>
      <c r="M729" s="2"/>
    </row>
    <row r="730" spans="1:13" x14ac:dyDescent="0.25">
      <c r="A730" s="2"/>
      <c r="D730" s="2"/>
      <c r="G730" s="2"/>
      <c r="J730" s="2"/>
      <c r="M730" s="2"/>
    </row>
    <row r="731" spans="1:13" x14ac:dyDescent="0.25">
      <c r="A731" s="2"/>
      <c r="D731" s="2"/>
      <c r="G731" s="2"/>
      <c r="J731" s="2"/>
      <c r="M731" s="2"/>
    </row>
    <row r="732" spans="1:13" x14ac:dyDescent="0.25">
      <c r="A732" s="2"/>
      <c r="D732" s="2"/>
      <c r="G732" s="2"/>
      <c r="J732" s="2"/>
      <c r="M732" s="2"/>
    </row>
    <row r="733" spans="1:13" x14ac:dyDescent="0.25">
      <c r="A733" s="2"/>
      <c r="D733" s="2"/>
      <c r="G733" s="2"/>
      <c r="J733" s="2"/>
      <c r="M733" s="2"/>
    </row>
    <row r="734" spans="1:13" x14ac:dyDescent="0.25">
      <c r="A734" s="2"/>
      <c r="D734" s="2"/>
      <c r="G734" s="2"/>
      <c r="J734" s="2"/>
      <c r="M734" s="2"/>
    </row>
    <row r="735" spans="1:13" x14ac:dyDescent="0.25">
      <c r="A735" s="2"/>
      <c r="D735" s="2"/>
      <c r="G735" s="2"/>
      <c r="J735" s="2"/>
      <c r="M735" s="2"/>
    </row>
    <row r="736" spans="1:13" x14ac:dyDescent="0.25">
      <c r="A736" s="2"/>
      <c r="D736" s="2"/>
      <c r="G736" s="2"/>
      <c r="J736" s="2"/>
      <c r="M736" s="2"/>
    </row>
    <row r="737" spans="1:13" x14ac:dyDescent="0.25">
      <c r="A737" s="2"/>
      <c r="D737" s="2"/>
      <c r="G737" s="2"/>
      <c r="J737" s="2"/>
      <c r="M737" s="2"/>
    </row>
    <row r="738" spans="1:13" x14ac:dyDescent="0.25">
      <c r="A738" s="2"/>
      <c r="D738" s="2"/>
      <c r="G738" s="2"/>
      <c r="J738" s="2"/>
      <c r="M738" s="2"/>
    </row>
    <row r="739" spans="1:13" x14ac:dyDescent="0.25">
      <c r="A739" s="2"/>
      <c r="D739" s="2"/>
      <c r="G739" s="2"/>
      <c r="J739" s="2"/>
      <c r="M739" s="2"/>
    </row>
    <row r="740" spans="1:13" x14ac:dyDescent="0.25">
      <c r="A740" s="2"/>
      <c r="D740" s="2"/>
      <c r="G740" s="2"/>
      <c r="J740" s="2"/>
      <c r="M740" s="2"/>
    </row>
    <row r="741" spans="1:13" x14ac:dyDescent="0.25">
      <c r="A741" s="2"/>
      <c r="D741" s="2"/>
      <c r="G741" s="2"/>
      <c r="J741" s="2"/>
      <c r="M741" s="2"/>
    </row>
    <row r="742" spans="1:13" x14ac:dyDescent="0.25">
      <c r="A742" s="2"/>
      <c r="D742" s="2"/>
      <c r="G742" s="2"/>
      <c r="J742" s="2"/>
      <c r="M742" s="2"/>
    </row>
    <row r="743" spans="1:13" x14ac:dyDescent="0.25">
      <c r="A743" s="2"/>
      <c r="D743" s="2"/>
      <c r="G743" s="2"/>
      <c r="J743" s="2"/>
      <c r="M743" s="2"/>
    </row>
    <row r="744" spans="1:13" x14ac:dyDescent="0.25">
      <c r="A744" s="2"/>
      <c r="D744" s="2"/>
      <c r="G744" s="2"/>
      <c r="J744" s="2"/>
      <c r="M744" s="2"/>
    </row>
    <row r="745" spans="1:13" x14ac:dyDescent="0.25">
      <c r="A745" s="2"/>
      <c r="D745" s="2"/>
      <c r="G745" s="2"/>
      <c r="J745" s="2"/>
      <c r="M745" s="2"/>
    </row>
    <row r="746" spans="1:13" x14ac:dyDescent="0.25">
      <c r="A746" s="2"/>
      <c r="D746" s="2"/>
      <c r="G746" s="2"/>
      <c r="J746" s="2"/>
      <c r="M746" s="2"/>
    </row>
    <row r="747" spans="1:13" x14ac:dyDescent="0.25">
      <c r="A747" s="2"/>
      <c r="D747" s="2"/>
      <c r="G747" s="2"/>
      <c r="J747" s="2"/>
      <c r="M747" s="2"/>
    </row>
    <row r="748" spans="1:13" x14ac:dyDescent="0.25">
      <c r="A748" s="2"/>
      <c r="D748" s="2"/>
      <c r="G748" s="2"/>
      <c r="J748" s="2"/>
      <c r="M748" s="2"/>
    </row>
    <row r="749" spans="1:13" x14ac:dyDescent="0.25">
      <c r="A749" s="2"/>
      <c r="D749" s="2"/>
      <c r="G749" s="2"/>
      <c r="J749" s="2"/>
      <c r="M749" s="2"/>
    </row>
    <row r="750" spans="1:13" x14ac:dyDescent="0.25">
      <c r="A750" s="2"/>
      <c r="D750" s="2"/>
      <c r="G750" s="2"/>
      <c r="J750" s="2"/>
      <c r="M750" s="2"/>
    </row>
    <row r="751" spans="1:13" x14ac:dyDescent="0.25">
      <c r="A751" s="2"/>
      <c r="D751" s="2"/>
      <c r="G751" s="2"/>
      <c r="J751" s="2"/>
      <c r="M751" s="2"/>
    </row>
    <row r="752" spans="1:13" x14ac:dyDescent="0.25">
      <c r="A752" s="2"/>
      <c r="D752" s="2"/>
      <c r="G752" s="2"/>
      <c r="J752" s="2"/>
      <c r="M752" s="2"/>
    </row>
    <row r="753" spans="1:13" x14ac:dyDescent="0.25">
      <c r="A753" s="2"/>
      <c r="D753" s="2"/>
      <c r="G753" s="2"/>
      <c r="J753" s="2"/>
      <c r="M753" s="2"/>
    </row>
    <row r="754" spans="1:13" x14ac:dyDescent="0.25">
      <c r="A754" s="2"/>
      <c r="D754" s="2"/>
      <c r="G754" s="2"/>
      <c r="J754" s="2"/>
      <c r="M754" s="2"/>
    </row>
    <row r="755" spans="1:13" x14ac:dyDescent="0.25">
      <c r="A755" s="2"/>
      <c r="D755" s="2"/>
      <c r="G755" s="2"/>
      <c r="J755" s="2"/>
      <c r="M755" s="2"/>
    </row>
    <row r="756" spans="1:13" x14ac:dyDescent="0.25">
      <c r="A756" s="2"/>
      <c r="D756" s="2"/>
      <c r="G756" s="2"/>
      <c r="J756" s="2"/>
      <c r="M756" s="2"/>
    </row>
    <row r="757" spans="1:13" x14ac:dyDescent="0.25">
      <c r="A757" s="2"/>
      <c r="D757" s="2"/>
      <c r="G757" s="2"/>
      <c r="J757" s="2"/>
      <c r="M757" s="2"/>
    </row>
    <row r="758" spans="1:13" x14ac:dyDescent="0.25">
      <c r="A758" s="2"/>
      <c r="D758" s="2"/>
      <c r="G758" s="2"/>
      <c r="J758" s="2"/>
      <c r="M758" s="2"/>
    </row>
    <row r="759" spans="1:13" x14ac:dyDescent="0.25">
      <c r="A759" s="2"/>
      <c r="D759" s="2"/>
      <c r="G759" s="2"/>
      <c r="J759" s="2"/>
      <c r="M759" s="2"/>
    </row>
    <row r="760" spans="1:13" x14ac:dyDescent="0.25">
      <c r="A760" s="2"/>
      <c r="D760" s="2"/>
      <c r="G760" s="2"/>
      <c r="J760" s="2"/>
      <c r="M760" s="2"/>
    </row>
    <row r="761" spans="1:13" x14ac:dyDescent="0.25">
      <c r="A761" s="2"/>
      <c r="D761" s="2"/>
      <c r="G761" s="2"/>
      <c r="J761" s="2"/>
      <c r="M761" s="2"/>
    </row>
    <row r="762" spans="1:13" x14ac:dyDescent="0.25">
      <c r="A762" s="2"/>
      <c r="D762" s="2"/>
      <c r="G762" s="2"/>
      <c r="J762" s="2"/>
      <c r="M762" s="2"/>
    </row>
    <row r="763" spans="1:13" x14ac:dyDescent="0.25">
      <c r="A763" s="2"/>
      <c r="D763" s="2"/>
      <c r="G763" s="2"/>
      <c r="J763" s="2"/>
      <c r="M763" s="2"/>
    </row>
    <row r="764" spans="1:13" x14ac:dyDescent="0.25">
      <c r="A764" s="2"/>
      <c r="D764" s="2"/>
      <c r="G764" s="2"/>
      <c r="J764" s="2"/>
      <c r="M764" s="2"/>
    </row>
    <row r="765" spans="1:13" x14ac:dyDescent="0.25">
      <c r="A765" s="2"/>
      <c r="D765" s="2"/>
      <c r="G765" s="2"/>
      <c r="J765" s="2"/>
      <c r="M765" s="2"/>
    </row>
    <row r="766" spans="1:13" x14ac:dyDescent="0.25">
      <c r="A766" s="2"/>
      <c r="D766" s="2"/>
      <c r="G766" s="2"/>
      <c r="J766" s="2"/>
      <c r="M766" s="2"/>
    </row>
    <row r="767" spans="1:13" x14ac:dyDescent="0.25">
      <c r="A767" s="2"/>
      <c r="D767" s="2"/>
      <c r="G767" s="2"/>
      <c r="J767" s="2"/>
      <c r="M767" s="2"/>
    </row>
    <row r="768" spans="1:13" x14ac:dyDescent="0.25">
      <c r="A768" s="2"/>
      <c r="D768" s="2"/>
      <c r="G768" s="2"/>
      <c r="J768" s="2"/>
      <c r="M768" s="2"/>
    </row>
    <row r="769" spans="1:13" x14ac:dyDescent="0.25">
      <c r="A769" s="2"/>
      <c r="D769" s="2"/>
      <c r="G769" s="2"/>
      <c r="J769" s="2"/>
      <c r="M769" s="2"/>
    </row>
    <row r="770" spans="1:13" x14ac:dyDescent="0.25">
      <c r="A770" s="2"/>
      <c r="D770" s="2"/>
      <c r="G770" s="2"/>
      <c r="J770" s="2"/>
      <c r="M770" s="2"/>
    </row>
    <row r="771" spans="1:13" x14ac:dyDescent="0.25">
      <c r="A771" s="2"/>
      <c r="D771" s="2"/>
      <c r="G771" s="2"/>
      <c r="J771" s="2"/>
      <c r="M771" s="2"/>
    </row>
    <row r="772" spans="1:13" x14ac:dyDescent="0.25">
      <c r="A772" s="2"/>
      <c r="D772" s="2"/>
      <c r="G772" s="2"/>
      <c r="J772" s="2"/>
      <c r="M772" s="2"/>
    </row>
    <row r="773" spans="1:13" x14ac:dyDescent="0.25">
      <c r="A773" s="2"/>
      <c r="D773" s="2"/>
      <c r="G773" s="2"/>
      <c r="J773" s="2"/>
      <c r="M773" s="2"/>
    </row>
    <row r="774" spans="1:13" x14ac:dyDescent="0.25">
      <c r="A774" s="2"/>
      <c r="D774" s="2"/>
      <c r="G774" s="2"/>
      <c r="J774" s="2"/>
      <c r="M774" s="2"/>
    </row>
    <row r="775" spans="1:13" x14ac:dyDescent="0.25">
      <c r="A775" s="2"/>
      <c r="D775" s="2"/>
      <c r="G775" s="2"/>
      <c r="J775" s="2"/>
      <c r="M775" s="2"/>
    </row>
    <row r="776" spans="1:13" x14ac:dyDescent="0.25">
      <c r="A776" s="2"/>
      <c r="D776" s="2"/>
      <c r="G776" s="2"/>
      <c r="J776" s="2"/>
      <c r="M776" s="2"/>
    </row>
    <row r="777" spans="1:13" x14ac:dyDescent="0.25">
      <c r="A777" s="2"/>
      <c r="D777" s="2"/>
      <c r="G777" s="2"/>
      <c r="J777" s="2"/>
      <c r="M777" s="2"/>
    </row>
    <row r="778" spans="1:13" x14ac:dyDescent="0.25">
      <c r="A778" s="2"/>
      <c r="D778" s="2"/>
      <c r="G778" s="2"/>
      <c r="J778" s="2"/>
      <c r="M778" s="2"/>
    </row>
    <row r="779" spans="1:13" x14ac:dyDescent="0.25">
      <c r="A779" s="2"/>
      <c r="D779" s="2"/>
      <c r="G779" s="2"/>
      <c r="J779" s="2"/>
      <c r="M779" s="2"/>
    </row>
    <row r="780" spans="1:13" x14ac:dyDescent="0.25">
      <c r="A780" s="2"/>
      <c r="D780" s="2"/>
      <c r="G780" s="2"/>
      <c r="J780" s="2"/>
      <c r="M780" s="2"/>
    </row>
    <row r="781" spans="1:13" x14ac:dyDescent="0.25">
      <c r="A781" s="2"/>
      <c r="D781" s="2"/>
      <c r="G781" s="2"/>
      <c r="J781" s="2"/>
      <c r="M781" s="2"/>
    </row>
    <row r="782" spans="1:13" x14ac:dyDescent="0.25">
      <c r="A782" s="2"/>
      <c r="D782" s="2"/>
      <c r="G782" s="2"/>
      <c r="J782" s="2"/>
      <c r="M782" s="2"/>
    </row>
    <row r="783" spans="1:13" x14ac:dyDescent="0.25">
      <c r="A783" s="2"/>
      <c r="D783" s="2"/>
      <c r="G783" s="2"/>
      <c r="J783" s="2"/>
      <c r="M783" s="2"/>
    </row>
    <row r="784" spans="1:13" x14ac:dyDescent="0.25">
      <c r="A784" s="2"/>
      <c r="D784" s="2"/>
      <c r="G784" s="2"/>
      <c r="J784" s="2"/>
      <c r="M784" s="2"/>
    </row>
    <row r="785" spans="1:13" x14ac:dyDescent="0.25">
      <c r="A785" s="2"/>
      <c r="D785" s="2"/>
      <c r="G785" s="2"/>
      <c r="J785" s="2"/>
      <c r="M785" s="2"/>
    </row>
    <row r="786" spans="1:13" x14ac:dyDescent="0.25">
      <c r="A786" s="2"/>
      <c r="D786" s="2"/>
      <c r="G786" s="2"/>
      <c r="J786" s="2"/>
      <c r="M786" s="2"/>
    </row>
    <row r="787" spans="1:13" x14ac:dyDescent="0.25">
      <c r="A787" s="2"/>
      <c r="D787" s="2"/>
      <c r="G787" s="2"/>
      <c r="J787" s="2"/>
      <c r="M787" s="2"/>
    </row>
    <row r="788" spans="1:13" x14ac:dyDescent="0.25">
      <c r="A788" s="2"/>
      <c r="D788" s="2"/>
      <c r="G788" s="2"/>
      <c r="J788" s="2"/>
      <c r="M788" s="2"/>
    </row>
    <row r="789" spans="1:13" x14ac:dyDescent="0.25">
      <c r="A789" s="2"/>
      <c r="D789" s="2"/>
      <c r="G789" s="2"/>
      <c r="J789" s="2"/>
      <c r="M789" s="2"/>
    </row>
    <row r="790" spans="1:13" x14ac:dyDescent="0.25">
      <c r="A790" s="2"/>
      <c r="D790" s="2"/>
      <c r="G790" s="2"/>
      <c r="J790" s="2"/>
      <c r="M790" s="2"/>
    </row>
    <row r="791" spans="1:13" x14ac:dyDescent="0.25">
      <c r="A791" s="2"/>
      <c r="D791" s="2"/>
      <c r="G791" s="2"/>
      <c r="J791" s="2"/>
      <c r="M791" s="2"/>
    </row>
    <row r="792" spans="1:13" x14ac:dyDescent="0.25">
      <c r="A792" s="2"/>
      <c r="D792" s="2"/>
      <c r="G792" s="2"/>
      <c r="J792" s="2"/>
      <c r="M792" s="2"/>
    </row>
    <row r="793" spans="1:13" x14ac:dyDescent="0.25">
      <c r="A793" s="2"/>
      <c r="D793" s="2"/>
      <c r="G793" s="2"/>
      <c r="J793" s="2"/>
      <c r="M793" s="2"/>
    </row>
    <row r="794" spans="1:13" x14ac:dyDescent="0.25">
      <c r="A794" s="2"/>
      <c r="D794" s="2"/>
      <c r="G794" s="2"/>
      <c r="J794" s="2"/>
      <c r="M794" s="2"/>
    </row>
    <row r="795" spans="1:13" x14ac:dyDescent="0.25">
      <c r="A795" s="2"/>
      <c r="D795" s="2"/>
      <c r="G795" s="2"/>
      <c r="J795" s="2"/>
      <c r="M795" s="2"/>
    </row>
    <row r="796" spans="1:13" x14ac:dyDescent="0.25">
      <c r="A796" s="2"/>
      <c r="D796" s="2"/>
      <c r="G796" s="2"/>
      <c r="J796" s="2"/>
      <c r="M796" s="2"/>
    </row>
    <row r="797" spans="1:13" x14ac:dyDescent="0.25">
      <c r="A797" s="2"/>
      <c r="D797" s="2"/>
      <c r="G797" s="2"/>
      <c r="J797" s="2"/>
      <c r="M797" s="2"/>
    </row>
    <row r="798" spans="1:13" x14ac:dyDescent="0.25">
      <c r="A798" s="2"/>
      <c r="D798" s="2"/>
      <c r="G798" s="2"/>
      <c r="J798" s="2"/>
      <c r="M798" s="2"/>
    </row>
    <row r="799" spans="1:13" x14ac:dyDescent="0.25">
      <c r="A799" s="2"/>
      <c r="D799" s="2"/>
      <c r="G799" s="2"/>
      <c r="J799" s="2"/>
      <c r="M799" s="2"/>
    </row>
    <row r="800" spans="1:13" x14ac:dyDescent="0.25">
      <c r="A800" s="2"/>
      <c r="D800" s="2"/>
      <c r="G800" s="2"/>
      <c r="J800" s="2"/>
      <c r="M800" s="2"/>
    </row>
    <row r="801" spans="1:13" x14ac:dyDescent="0.25">
      <c r="A801" s="2"/>
      <c r="D801" s="2"/>
      <c r="G801" s="2"/>
      <c r="J801" s="2"/>
      <c r="M801" s="2"/>
    </row>
    <row r="802" spans="1:13" x14ac:dyDescent="0.25">
      <c r="A802" s="2"/>
      <c r="D802" s="2"/>
      <c r="G802" s="2"/>
      <c r="J802" s="2"/>
      <c r="M802" s="2"/>
    </row>
    <row r="803" spans="1:13" x14ac:dyDescent="0.25">
      <c r="A803" s="2"/>
      <c r="D803" s="2"/>
      <c r="G803" s="2"/>
      <c r="J803" s="2"/>
      <c r="M803" s="2"/>
    </row>
    <row r="804" spans="1:13" x14ac:dyDescent="0.25">
      <c r="A804" s="2"/>
      <c r="D804" s="2"/>
      <c r="G804" s="2"/>
      <c r="J804" s="2"/>
      <c r="M804" s="2"/>
    </row>
    <row r="805" spans="1:13" x14ac:dyDescent="0.25">
      <c r="A805" s="2"/>
      <c r="D805" s="2"/>
      <c r="G805" s="2"/>
      <c r="J805" s="2"/>
      <c r="M805" s="2"/>
    </row>
    <row r="806" spans="1:13" x14ac:dyDescent="0.25">
      <c r="A806" s="2"/>
      <c r="D806" s="2"/>
      <c r="G806" s="2"/>
      <c r="J806" s="2"/>
      <c r="M806" s="2"/>
    </row>
    <row r="807" spans="1:13" x14ac:dyDescent="0.25">
      <c r="A807" s="2"/>
      <c r="D807" s="2"/>
      <c r="G807" s="2"/>
      <c r="J807" s="2"/>
      <c r="M807" s="2"/>
    </row>
    <row r="808" spans="1:13" x14ac:dyDescent="0.25">
      <c r="A808" s="2"/>
      <c r="D808" s="2"/>
      <c r="G808" s="2"/>
      <c r="J808" s="2"/>
      <c r="M808" s="2"/>
    </row>
    <row r="809" spans="1:13" x14ac:dyDescent="0.25">
      <c r="A809" s="2"/>
      <c r="D809" s="2"/>
      <c r="G809" s="2"/>
      <c r="J809" s="2"/>
      <c r="M809" s="2"/>
    </row>
    <row r="810" spans="1:13" x14ac:dyDescent="0.25">
      <c r="A810" s="2"/>
      <c r="D810" s="2"/>
      <c r="G810" s="2"/>
      <c r="J810" s="2"/>
      <c r="M810" s="2"/>
    </row>
    <row r="811" spans="1:13" x14ac:dyDescent="0.25">
      <c r="A811" s="2"/>
      <c r="D811" s="2"/>
      <c r="G811" s="2"/>
      <c r="J811" s="2"/>
      <c r="M811" s="2"/>
    </row>
    <row r="812" spans="1:13" x14ac:dyDescent="0.25">
      <c r="A812" s="2"/>
      <c r="D812" s="2"/>
      <c r="G812" s="2"/>
      <c r="J812" s="2"/>
      <c r="M812" s="2"/>
    </row>
    <row r="813" spans="1:13" x14ac:dyDescent="0.25">
      <c r="A813" s="2"/>
      <c r="D813" s="2"/>
      <c r="G813" s="2"/>
      <c r="J813" s="2"/>
      <c r="M813" s="2"/>
    </row>
    <row r="814" spans="1:13" x14ac:dyDescent="0.25">
      <c r="A814" s="2"/>
      <c r="D814" s="2"/>
      <c r="G814" s="2"/>
      <c r="J814" s="2"/>
      <c r="M814" s="2"/>
    </row>
    <row r="815" spans="1:13" x14ac:dyDescent="0.25">
      <c r="A815" s="2"/>
      <c r="D815" s="2"/>
      <c r="G815" s="2"/>
      <c r="J815" s="2"/>
      <c r="M815" s="2"/>
    </row>
    <row r="816" spans="1:13" x14ac:dyDescent="0.25">
      <c r="A816" s="2"/>
      <c r="D816" s="2"/>
      <c r="G816" s="2"/>
      <c r="J816" s="2"/>
      <c r="M816" s="2"/>
    </row>
    <row r="817" spans="1:13" x14ac:dyDescent="0.25">
      <c r="A817" s="2"/>
      <c r="D817" s="2"/>
      <c r="G817" s="2"/>
      <c r="J817" s="2"/>
      <c r="M817" s="2"/>
    </row>
    <row r="818" spans="1:13" x14ac:dyDescent="0.25">
      <c r="A818" s="2"/>
      <c r="D818" s="2"/>
      <c r="G818" s="2"/>
      <c r="J818" s="2"/>
      <c r="M818" s="2"/>
    </row>
    <row r="819" spans="1:13" x14ac:dyDescent="0.25">
      <c r="A819" s="2"/>
      <c r="D819" s="2"/>
      <c r="G819" s="2"/>
      <c r="J819" s="2"/>
      <c r="M819" s="2"/>
    </row>
    <row r="820" spans="1:13" x14ac:dyDescent="0.25">
      <c r="A820" s="2"/>
      <c r="D820" s="2"/>
      <c r="G820" s="2"/>
      <c r="J820" s="2"/>
      <c r="M820" s="2"/>
    </row>
    <row r="821" spans="1:13" x14ac:dyDescent="0.25">
      <c r="A821" s="2"/>
      <c r="D821" s="2"/>
      <c r="G821" s="2"/>
      <c r="J821" s="2"/>
      <c r="M821" s="2"/>
    </row>
    <row r="822" spans="1:13" x14ac:dyDescent="0.25">
      <c r="A822" s="2"/>
      <c r="D822" s="2"/>
      <c r="G822" s="2"/>
      <c r="J822" s="2"/>
      <c r="M822" s="2"/>
    </row>
    <row r="823" spans="1:13" x14ac:dyDescent="0.25">
      <c r="A823" s="2"/>
      <c r="D823" s="2"/>
      <c r="G823" s="2"/>
      <c r="J823" s="2"/>
      <c r="M823" s="2"/>
    </row>
    <row r="824" spans="1:13" x14ac:dyDescent="0.25">
      <c r="A824" s="2"/>
      <c r="D824" s="2"/>
      <c r="G824" s="2"/>
      <c r="J824" s="2"/>
      <c r="M824" s="2"/>
    </row>
    <row r="825" spans="1:13" x14ac:dyDescent="0.25">
      <c r="A825" s="2"/>
      <c r="D825" s="2"/>
      <c r="G825" s="2"/>
      <c r="J825" s="2"/>
      <c r="M825" s="2"/>
    </row>
    <row r="826" spans="1:13" x14ac:dyDescent="0.25">
      <c r="A826" s="2"/>
      <c r="D826" s="2"/>
      <c r="G826" s="2"/>
      <c r="J826" s="2"/>
      <c r="M826" s="2"/>
    </row>
    <row r="827" spans="1:13" x14ac:dyDescent="0.25">
      <c r="A827" s="2"/>
      <c r="D827" s="2"/>
      <c r="G827" s="2"/>
      <c r="J827" s="2"/>
      <c r="M827" s="2"/>
    </row>
    <row r="828" spans="1:13" x14ac:dyDescent="0.25">
      <c r="A828" s="2"/>
      <c r="D828" s="2"/>
      <c r="G828" s="2"/>
      <c r="J828" s="2"/>
      <c r="M828" s="2"/>
    </row>
    <row r="829" spans="1:13" x14ac:dyDescent="0.25">
      <c r="A829" s="2"/>
      <c r="D829" s="2"/>
      <c r="G829" s="2"/>
      <c r="J829" s="2"/>
      <c r="M829" s="2"/>
    </row>
    <row r="830" spans="1:13" x14ac:dyDescent="0.25">
      <c r="A830" s="2"/>
      <c r="D830" s="2"/>
      <c r="G830" s="2"/>
      <c r="J830" s="2"/>
      <c r="M830" s="2"/>
    </row>
    <row r="831" spans="1:13" x14ac:dyDescent="0.25">
      <c r="A831" s="2"/>
      <c r="D831" s="2"/>
      <c r="G831" s="2"/>
      <c r="J831" s="2"/>
      <c r="M831" s="2"/>
    </row>
    <row r="832" spans="1:13" x14ac:dyDescent="0.25">
      <c r="A832" s="2"/>
      <c r="D832" s="2"/>
      <c r="G832" s="2"/>
      <c r="J832" s="2"/>
      <c r="M832" s="2"/>
    </row>
    <row r="833" spans="1:13" x14ac:dyDescent="0.25">
      <c r="A833" s="2"/>
      <c r="D833" s="2"/>
      <c r="G833" s="2"/>
      <c r="J833" s="2"/>
      <c r="M833" s="2"/>
    </row>
    <row r="834" spans="1:13" x14ac:dyDescent="0.25">
      <c r="A834" s="2"/>
      <c r="D834" s="2"/>
      <c r="G834" s="2"/>
      <c r="J834" s="2"/>
      <c r="M834" s="2"/>
    </row>
    <row r="835" spans="1:13" x14ac:dyDescent="0.25">
      <c r="A835" s="2"/>
      <c r="D835" s="2"/>
      <c r="G835" s="2"/>
      <c r="J835" s="2"/>
      <c r="M835" s="2"/>
    </row>
    <row r="836" spans="1:13" x14ac:dyDescent="0.25">
      <c r="A836" s="2"/>
      <c r="D836" s="2"/>
      <c r="G836" s="2"/>
      <c r="J836" s="2"/>
      <c r="M836" s="2"/>
    </row>
    <row r="837" spans="1:13" x14ac:dyDescent="0.25">
      <c r="A837" s="2"/>
      <c r="D837" s="2"/>
      <c r="G837" s="2"/>
      <c r="J837" s="2"/>
      <c r="M837" s="2"/>
    </row>
    <row r="838" spans="1:13" x14ac:dyDescent="0.25">
      <c r="A838" s="2"/>
      <c r="D838" s="2"/>
      <c r="G838" s="2"/>
      <c r="J838" s="2"/>
      <c r="M838" s="2"/>
    </row>
    <row r="839" spans="1:13" x14ac:dyDescent="0.25">
      <c r="A839" s="2"/>
      <c r="D839" s="2"/>
      <c r="G839" s="2"/>
      <c r="J839" s="2"/>
      <c r="M839" s="2"/>
    </row>
    <row r="840" spans="1:13" x14ac:dyDescent="0.25">
      <c r="A840" s="2"/>
      <c r="D840" s="2"/>
      <c r="G840" s="2"/>
      <c r="J840" s="2"/>
      <c r="M840" s="2"/>
    </row>
    <row r="841" spans="1:13" x14ac:dyDescent="0.25">
      <c r="A841" s="2"/>
      <c r="D841" s="2"/>
      <c r="G841" s="2"/>
      <c r="J841" s="2"/>
      <c r="M841" s="2"/>
    </row>
    <row r="842" spans="1:13" x14ac:dyDescent="0.25">
      <c r="A842" s="2"/>
      <c r="D842" s="2"/>
      <c r="G842" s="2"/>
      <c r="J842" s="2"/>
      <c r="M842" s="2"/>
    </row>
    <row r="843" spans="1:13" x14ac:dyDescent="0.25">
      <c r="A843" s="2"/>
      <c r="D843" s="2"/>
      <c r="G843" s="2"/>
      <c r="J843" s="2"/>
      <c r="M843" s="2"/>
    </row>
    <row r="844" spans="1:13" x14ac:dyDescent="0.25">
      <c r="A844" s="2"/>
      <c r="D844" s="2"/>
      <c r="G844" s="2"/>
      <c r="J844" s="2"/>
      <c r="M844" s="2"/>
    </row>
    <row r="845" spans="1:13" x14ac:dyDescent="0.25">
      <c r="A845" s="2"/>
      <c r="D845" s="2"/>
      <c r="G845" s="2"/>
      <c r="J845" s="2"/>
      <c r="M845" s="2"/>
    </row>
    <row r="846" spans="1:13" x14ac:dyDescent="0.25">
      <c r="A846" s="2"/>
      <c r="D846" s="2"/>
      <c r="G846" s="2"/>
      <c r="J846" s="2"/>
      <c r="M846" s="2"/>
    </row>
    <row r="847" spans="1:13" x14ac:dyDescent="0.25">
      <c r="A847" s="2"/>
      <c r="D847" s="2"/>
      <c r="G847" s="2"/>
      <c r="J847" s="2"/>
      <c r="M847" s="2"/>
    </row>
    <row r="848" spans="1:13" x14ac:dyDescent="0.25">
      <c r="A848" s="2"/>
      <c r="D848" s="2"/>
      <c r="G848" s="2"/>
      <c r="J848" s="2"/>
      <c r="M848" s="2"/>
    </row>
    <row r="849" spans="1:13" x14ac:dyDescent="0.25">
      <c r="A849" s="2"/>
      <c r="D849" s="2"/>
      <c r="G849" s="2"/>
      <c r="J849" s="2"/>
      <c r="M849" s="2"/>
    </row>
    <row r="850" spans="1:13" x14ac:dyDescent="0.25">
      <c r="A850" s="2"/>
      <c r="D850" s="2"/>
      <c r="G850" s="2"/>
      <c r="J850" s="2"/>
      <c r="M850" s="2"/>
    </row>
    <row r="851" spans="1:13" x14ac:dyDescent="0.25">
      <c r="A851" s="2"/>
      <c r="D851" s="2"/>
      <c r="G851" s="2"/>
      <c r="J851" s="2"/>
      <c r="M851" s="2"/>
    </row>
    <row r="852" spans="1:13" x14ac:dyDescent="0.25">
      <c r="A852" s="2"/>
      <c r="D852" s="2"/>
      <c r="G852" s="2"/>
      <c r="J852" s="2"/>
      <c r="M852" s="2"/>
    </row>
    <row r="853" spans="1:13" x14ac:dyDescent="0.25">
      <c r="A853" s="2"/>
      <c r="D853" s="2"/>
      <c r="G853" s="2"/>
      <c r="J853" s="2"/>
      <c r="M853" s="2"/>
    </row>
    <row r="854" spans="1:13" x14ac:dyDescent="0.25">
      <c r="A854" s="2"/>
      <c r="D854" s="2"/>
      <c r="G854" s="2"/>
      <c r="J854" s="2"/>
      <c r="M854" s="2"/>
    </row>
    <row r="855" spans="1:13" x14ac:dyDescent="0.25">
      <c r="A855" s="2"/>
      <c r="D855" s="2"/>
      <c r="G855" s="2"/>
      <c r="J855" s="2"/>
      <c r="M855" s="2"/>
    </row>
    <row r="856" spans="1:13" x14ac:dyDescent="0.25">
      <c r="A856" s="2"/>
      <c r="D856" s="2"/>
      <c r="G856" s="2"/>
      <c r="J856" s="2"/>
      <c r="M856" s="2"/>
    </row>
    <row r="857" spans="1:13" x14ac:dyDescent="0.25">
      <c r="A857" s="2"/>
      <c r="D857" s="2"/>
      <c r="G857" s="2"/>
      <c r="J857" s="2"/>
      <c r="M857" s="2"/>
    </row>
    <row r="858" spans="1:13" x14ac:dyDescent="0.25">
      <c r="A858" s="2"/>
      <c r="D858" s="2"/>
      <c r="G858" s="2"/>
      <c r="J858" s="2"/>
      <c r="M858" s="2"/>
    </row>
    <row r="859" spans="1:13" x14ac:dyDescent="0.25">
      <c r="A859" s="2"/>
      <c r="D859" s="2"/>
      <c r="G859" s="2"/>
      <c r="J859" s="2"/>
      <c r="M859" s="2"/>
    </row>
    <row r="860" spans="1:13" x14ac:dyDescent="0.25">
      <c r="A860" s="2"/>
      <c r="D860" s="2"/>
      <c r="G860" s="2"/>
      <c r="J860" s="2"/>
      <c r="M860" s="2"/>
    </row>
    <row r="861" spans="1:13" x14ac:dyDescent="0.25">
      <c r="A861" s="2"/>
      <c r="D861" s="2"/>
      <c r="G861" s="2"/>
      <c r="J861" s="2"/>
      <c r="M861" s="2"/>
    </row>
    <row r="862" spans="1:13" x14ac:dyDescent="0.25">
      <c r="A862" s="2"/>
      <c r="D862" s="2"/>
      <c r="G862" s="2"/>
      <c r="J862" s="2"/>
      <c r="M862" s="2"/>
    </row>
    <row r="863" spans="1:13" x14ac:dyDescent="0.25">
      <c r="A863" s="2"/>
      <c r="D863" s="2"/>
      <c r="G863" s="2"/>
      <c r="J863" s="2"/>
      <c r="M863" s="2"/>
    </row>
    <row r="864" spans="1:13" x14ac:dyDescent="0.25">
      <c r="A864" s="2"/>
      <c r="D864" s="2"/>
      <c r="G864" s="2"/>
      <c r="J864" s="2"/>
      <c r="M864" s="2"/>
    </row>
    <row r="865" spans="1:13" x14ac:dyDescent="0.25">
      <c r="A865" s="2"/>
      <c r="D865" s="2"/>
      <c r="G865" s="2"/>
      <c r="J865" s="2"/>
      <c r="M865" s="2"/>
    </row>
    <row r="866" spans="1:13" x14ac:dyDescent="0.25">
      <c r="A866" s="2"/>
      <c r="D866" s="2"/>
      <c r="G866" s="2"/>
      <c r="J866" s="2"/>
      <c r="M866" s="2"/>
    </row>
    <row r="867" spans="1:13" x14ac:dyDescent="0.25">
      <c r="A867" s="2"/>
      <c r="D867" s="2"/>
      <c r="G867" s="2"/>
      <c r="J867" s="2"/>
      <c r="M867" s="2"/>
    </row>
    <row r="868" spans="1:13" x14ac:dyDescent="0.25">
      <c r="A868" s="2"/>
      <c r="D868" s="2"/>
      <c r="G868" s="2"/>
      <c r="J868" s="2"/>
      <c r="M868" s="2"/>
    </row>
    <row r="869" spans="1:13" x14ac:dyDescent="0.25">
      <c r="A869" s="2"/>
      <c r="D869" s="2"/>
      <c r="G869" s="2"/>
      <c r="J869" s="2"/>
      <c r="M869" s="2"/>
    </row>
    <row r="870" spans="1:13" x14ac:dyDescent="0.25">
      <c r="A870" s="2"/>
      <c r="D870" s="2"/>
      <c r="G870" s="2"/>
      <c r="J870" s="2"/>
      <c r="M870" s="2"/>
    </row>
    <row r="871" spans="1:13" x14ac:dyDescent="0.25">
      <c r="A871" s="2"/>
      <c r="D871" s="2"/>
      <c r="G871" s="2"/>
      <c r="J871" s="2"/>
      <c r="M871" s="2"/>
    </row>
    <row r="872" spans="1:13" x14ac:dyDescent="0.25">
      <c r="A872" s="2"/>
      <c r="D872" s="2"/>
      <c r="G872" s="2"/>
      <c r="J872" s="2"/>
      <c r="M872" s="2"/>
    </row>
    <row r="873" spans="1:13" x14ac:dyDescent="0.25">
      <c r="A873" s="2"/>
      <c r="D873" s="2"/>
      <c r="G873" s="2"/>
      <c r="J873" s="2"/>
      <c r="M873" s="2"/>
    </row>
    <row r="874" spans="1:13" x14ac:dyDescent="0.25">
      <c r="A874" s="2"/>
      <c r="D874" s="2"/>
      <c r="G874" s="2"/>
      <c r="J874" s="2"/>
      <c r="M874" s="2"/>
    </row>
    <row r="875" spans="1:13" x14ac:dyDescent="0.25">
      <c r="A875" s="2"/>
      <c r="D875" s="2"/>
      <c r="G875" s="2"/>
      <c r="J875" s="2"/>
      <c r="M875" s="2"/>
    </row>
    <row r="876" spans="1:13" x14ac:dyDescent="0.25">
      <c r="A876" s="2"/>
      <c r="D876" s="2"/>
      <c r="G876" s="2"/>
      <c r="J876" s="2"/>
      <c r="M876" s="2"/>
    </row>
    <row r="877" spans="1:13" x14ac:dyDescent="0.25">
      <c r="A877" s="2"/>
      <c r="D877" s="2"/>
      <c r="G877" s="2"/>
      <c r="J877" s="2"/>
      <c r="M877" s="2"/>
    </row>
    <row r="878" spans="1:13" x14ac:dyDescent="0.25">
      <c r="A878" s="2"/>
      <c r="D878" s="2"/>
      <c r="G878" s="2"/>
      <c r="J878" s="2"/>
      <c r="M878" s="2"/>
    </row>
    <row r="879" spans="1:13" x14ac:dyDescent="0.25">
      <c r="A879" s="2"/>
      <c r="D879" s="2"/>
      <c r="G879" s="2"/>
      <c r="J879" s="2"/>
      <c r="M879" s="2"/>
    </row>
    <row r="880" spans="1:13" x14ac:dyDescent="0.25">
      <c r="A880" s="2"/>
      <c r="D880" s="2"/>
      <c r="G880" s="2"/>
      <c r="J880" s="2"/>
      <c r="M880" s="2"/>
    </row>
    <row r="881" spans="1:13" x14ac:dyDescent="0.25">
      <c r="A881" s="2"/>
      <c r="D881" s="2"/>
      <c r="G881" s="2"/>
      <c r="J881" s="2"/>
      <c r="M881" s="2"/>
    </row>
    <row r="882" spans="1:13" x14ac:dyDescent="0.25">
      <c r="A882" s="2"/>
      <c r="D882" s="2"/>
      <c r="G882" s="2"/>
      <c r="J882" s="2"/>
      <c r="M882" s="2"/>
    </row>
    <row r="883" spans="1:13" x14ac:dyDescent="0.25">
      <c r="A883" s="2"/>
      <c r="D883" s="2"/>
      <c r="G883" s="2"/>
      <c r="J883" s="2"/>
      <c r="M883" s="2"/>
    </row>
    <row r="884" spans="1:13" x14ac:dyDescent="0.25">
      <c r="A884" s="2"/>
      <c r="D884" s="2"/>
      <c r="G884" s="2"/>
      <c r="J884" s="2"/>
      <c r="M884" s="2"/>
    </row>
    <row r="885" spans="1:13" x14ac:dyDescent="0.25">
      <c r="A885" s="2"/>
      <c r="D885" s="2"/>
      <c r="G885" s="2"/>
      <c r="J885" s="2"/>
      <c r="M885" s="2"/>
    </row>
    <row r="886" spans="1:13" x14ac:dyDescent="0.25">
      <c r="A886" s="2"/>
      <c r="D886" s="2"/>
      <c r="G886" s="2"/>
      <c r="J886" s="2"/>
      <c r="M886" s="2"/>
    </row>
    <row r="887" spans="1:13" x14ac:dyDescent="0.25">
      <c r="A887" s="2"/>
      <c r="D887" s="2"/>
      <c r="G887" s="2"/>
      <c r="J887" s="2"/>
      <c r="M887" s="2"/>
    </row>
    <row r="888" spans="1:13" x14ac:dyDescent="0.25">
      <c r="A888" s="2"/>
      <c r="D888" s="2"/>
      <c r="G888" s="2"/>
      <c r="J888" s="2"/>
      <c r="M888" s="2"/>
    </row>
    <row r="889" spans="1:13" x14ac:dyDescent="0.25">
      <c r="A889" s="2"/>
      <c r="D889" s="2"/>
      <c r="G889" s="2"/>
      <c r="J889" s="2"/>
      <c r="M889" s="2"/>
    </row>
    <row r="890" spans="1:13" x14ac:dyDescent="0.25">
      <c r="A890" s="2"/>
      <c r="D890" s="2"/>
      <c r="G890" s="2"/>
      <c r="J890" s="2"/>
      <c r="M890" s="2"/>
    </row>
    <row r="891" spans="1:13" x14ac:dyDescent="0.25">
      <c r="A891" s="2"/>
      <c r="D891" s="2"/>
      <c r="G891" s="2"/>
      <c r="J891" s="2"/>
      <c r="M891" s="2"/>
    </row>
    <row r="892" spans="1:13" x14ac:dyDescent="0.25">
      <c r="A892" s="2"/>
      <c r="D892" s="2"/>
      <c r="G892" s="2"/>
      <c r="J892" s="2"/>
      <c r="M892" s="2"/>
    </row>
    <row r="893" spans="1:13" x14ac:dyDescent="0.25">
      <c r="A893" s="2"/>
      <c r="D893" s="2"/>
      <c r="G893" s="2"/>
      <c r="J893" s="2"/>
      <c r="M893" s="2"/>
    </row>
    <row r="894" spans="1:13" x14ac:dyDescent="0.25">
      <c r="A894" s="2"/>
      <c r="D894" s="2"/>
      <c r="G894" s="2"/>
      <c r="J894" s="2"/>
      <c r="M894" s="2"/>
    </row>
    <row r="895" spans="1:13" x14ac:dyDescent="0.25">
      <c r="A895" s="2"/>
      <c r="D895" s="2"/>
      <c r="G895" s="2"/>
      <c r="J895" s="2"/>
      <c r="M895" s="2"/>
    </row>
    <row r="896" spans="1:13" x14ac:dyDescent="0.25">
      <c r="A896" s="2"/>
      <c r="D896" s="2"/>
      <c r="G896" s="2"/>
      <c r="J896" s="2"/>
      <c r="M896" s="2"/>
    </row>
    <row r="897" spans="1:13" x14ac:dyDescent="0.25">
      <c r="A897" s="2"/>
      <c r="D897" s="2"/>
      <c r="G897" s="2"/>
      <c r="J897" s="2"/>
      <c r="M897" s="2"/>
    </row>
    <row r="898" spans="1:13" x14ac:dyDescent="0.25">
      <c r="A898" s="2"/>
      <c r="D898" s="2"/>
      <c r="G898" s="2"/>
      <c r="J898" s="2"/>
      <c r="M898" s="2"/>
    </row>
    <row r="899" spans="1:13" x14ac:dyDescent="0.25">
      <c r="A899" s="2"/>
      <c r="D899" s="2"/>
      <c r="G899" s="2"/>
      <c r="J899" s="2"/>
      <c r="M899" s="2"/>
    </row>
    <row r="900" spans="1:13" x14ac:dyDescent="0.25">
      <c r="A900" s="2"/>
      <c r="D900" s="2"/>
      <c r="G900" s="2"/>
      <c r="J900" s="2"/>
      <c r="M900" s="2"/>
    </row>
    <row r="901" spans="1:13" x14ac:dyDescent="0.25">
      <c r="A901" s="2"/>
      <c r="D901" s="2"/>
      <c r="G901" s="2"/>
      <c r="J901" s="2"/>
      <c r="M901" s="2"/>
    </row>
    <row r="902" spans="1:13" x14ac:dyDescent="0.25">
      <c r="A902" s="2"/>
      <c r="D902" s="2"/>
      <c r="G902" s="2"/>
      <c r="J902" s="2"/>
      <c r="M902" s="2"/>
    </row>
    <row r="903" spans="1:13" x14ac:dyDescent="0.25">
      <c r="A903" s="2"/>
      <c r="D903" s="2"/>
      <c r="G903" s="2"/>
      <c r="J903" s="2"/>
      <c r="M903" s="2"/>
    </row>
    <row r="904" spans="1:13" x14ac:dyDescent="0.25">
      <c r="A904" s="2"/>
      <c r="D904" s="2"/>
      <c r="G904" s="2"/>
      <c r="J904" s="2"/>
      <c r="M904" s="2"/>
    </row>
    <row r="905" spans="1:13" x14ac:dyDescent="0.25">
      <c r="A905" s="2"/>
      <c r="D905" s="2"/>
      <c r="G905" s="2"/>
      <c r="J905" s="2"/>
      <c r="M905" s="2"/>
    </row>
    <row r="906" spans="1:13" x14ac:dyDescent="0.25">
      <c r="A906" s="2"/>
      <c r="D906" s="2"/>
      <c r="G906" s="2"/>
      <c r="J906" s="2"/>
      <c r="M906" s="2"/>
    </row>
    <row r="907" spans="1:13" x14ac:dyDescent="0.25">
      <c r="A907" s="2"/>
      <c r="D907" s="2"/>
      <c r="G907" s="2"/>
      <c r="J907" s="2"/>
      <c r="M907" s="2"/>
    </row>
    <row r="908" spans="1:13" x14ac:dyDescent="0.25">
      <c r="A908" s="2"/>
      <c r="D908" s="2"/>
      <c r="G908" s="2"/>
      <c r="J908" s="2"/>
      <c r="M908" s="2"/>
    </row>
    <row r="909" spans="1:13" x14ac:dyDescent="0.25">
      <c r="A909" s="2"/>
      <c r="D909" s="2"/>
      <c r="G909" s="2"/>
      <c r="J909" s="2"/>
      <c r="M909" s="2"/>
    </row>
    <row r="910" spans="1:13" x14ac:dyDescent="0.25">
      <c r="A910" s="2"/>
      <c r="D910" s="2"/>
      <c r="G910" s="2"/>
      <c r="J910" s="2"/>
      <c r="M910" s="2"/>
    </row>
    <row r="911" spans="1:13" x14ac:dyDescent="0.25">
      <c r="A911" s="2"/>
      <c r="D911" s="2"/>
      <c r="G911" s="2"/>
      <c r="J911" s="2"/>
      <c r="M911" s="2"/>
    </row>
    <row r="912" spans="1:13" x14ac:dyDescent="0.25">
      <c r="A912" s="2"/>
      <c r="D912" s="2"/>
      <c r="G912" s="2"/>
      <c r="J912" s="2"/>
      <c r="M912" s="2"/>
    </row>
    <row r="913" spans="1:13" x14ac:dyDescent="0.25">
      <c r="A913" s="2"/>
      <c r="D913" s="2"/>
      <c r="G913" s="2"/>
      <c r="J913" s="2"/>
      <c r="M913" s="2"/>
    </row>
    <row r="914" spans="1:13" x14ac:dyDescent="0.25">
      <c r="A914" s="2"/>
      <c r="D914" s="2"/>
      <c r="G914" s="2"/>
      <c r="J914" s="2"/>
      <c r="M914" s="2"/>
    </row>
    <row r="915" spans="1:13" x14ac:dyDescent="0.25">
      <c r="A915" s="2"/>
      <c r="D915" s="2"/>
      <c r="G915" s="2"/>
      <c r="J915" s="2"/>
      <c r="M915" s="2"/>
    </row>
    <row r="916" spans="1:13" x14ac:dyDescent="0.25">
      <c r="A916" s="2"/>
      <c r="D916" s="2"/>
      <c r="G916" s="2"/>
      <c r="J916" s="2"/>
      <c r="M916" s="2"/>
    </row>
    <row r="917" spans="1:13" x14ac:dyDescent="0.25">
      <c r="A917" s="2"/>
      <c r="D917" s="2"/>
      <c r="G917" s="2"/>
      <c r="J917" s="2"/>
      <c r="M917" s="2"/>
    </row>
    <row r="918" spans="1:13" x14ac:dyDescent="0.25">
      <c r="A918" s="2"/>
      <c r="D918" s="2"/>
      <c r="G918" s="2"/>
      <c r="J918" s="2"/>
      <c r="M918" s="2"/>
    </row>
    <row r="919" spans="1:13" x14ac:dyDescent="0.25">
      <c r="A919" s="2"/>
      <c r="D919" s="2"/>
      <c r="G919" s="2"/>
      <c r="J919" s="2"/>
      <c r="M919" s="2"/>
    </row>
    <row r="920" spans="1:13" x14ac:dyDescent="0.25">
      <c r="A920" s="2"/>
      <c r="D920" s="2"/>
      <c r="G920" s="2"/>
      <c r="J920" s="2"/>
      <c r="M920" s="2"/>
    </row>
    <row r="921" spans="1:13" x14ac:dyDescent="0.25">
      <c r="A921" s="2"/>
      <c r="D921" s="2"/>
      <c r="G921" s="2"/>
      <c r="J921" s="2"/>
      <c r="M921" s="2"/>
    </row>
    <row r="922" spans="1:13" x14ac:dyDescent="0.25">
      <c r="A922" s="2"/>
      <c r="D922" s="2"/>
      <c r="G922" s="2"/>
      <c r="J922" s="2"/>
      <c r="M922" s="2"/>
    </row>
    <row r="923" spans="1:13" x14ac:dyDescent="0.25">
      <c r="A923" s="2"/>
      <c r="D923" s="2"/>
      <c r="G923" s="2"/>
      <c r="J923" s="2"/>
      <c r="M923" s="2"/>
    </row>
    <row r="924" spans="1:13" x14ac:dyDescent="0.25">
      <c r="A924" s="2"/>
      <c r="D924" s="2"/>
      <c r="G924" s="2"/>
      <c r="J924" s="2"/>
      <c r="M924" s="2"/>
    </row>
    <row r="925" spans="1:13" x14ac:dyDescent="0.25">
      <c r="A925" s="2"/>
      <c r="D925" s="2"/>
      <c r="G925" s="2"/>
      <c r="J925" s="2"/>
      <c r="M925" s="2"/>
    </row>
    <row r="926" spans="1:13" x14ac:dyDescent="0.25">
      <c r="A926" s="2"/>
      <c r="D926" s="2"/>
      <c r="G926" s="2"/>
      <c r="J926" s="2"/>
      <c r="M926" s="2"/>
    </row>
    <row r="927" spans="1:13" x14ac:dyDescent="0.25">
      <c r="A927" s="2"/>
      <c r="D927" s="2"/>
      <c r="G927" s="2"/>
      <c r="J927" s="2"/>
      <c r="M927" s="2"/>
    </row>
    <row r="928" spans="1:13" x14ac:dyDescent="0.25">
      <c r="A928" s="2"/>
      <c r="D928" s="2"/>
      <c r="G928" s="2"/>
      <c r="J928" s="2"/>
      <c r="M928" s="2"/>
    </row>
    <row r="929" spans="1:13" x14ac:dyDescent="0.25">
      <c r="A929" s="2"/>
      <c r="D929" s="2"/>
      <c r="G929" s="2"/>
      <c r="J929" s="2"/>
      <c r="M929" s="2"/>
    </row>
    <row r="930" spans="1:13" x14ac:dyDescent="0.25">
      <c r="A930" s="2"/>
      <c r="D930" s="2"/>
      <c r="G930" s="2"/>
      <c r="J930" s="2"/>
      <c r="M930" s="2"/>
    </row>
    <row r="931" spans="1:13" x14ac:dyDescent="0.25">
      <c r="A931" s="2"/>
      <c r="D931" s="2"/>
      <c r="G931" s="2"/>
      <c r="J931" s="2"/>
      <c r="M931" s="2"/>
    </row>
    <row r="932" spans="1:13" x14ac:dyDescent="0.25">
      <c r="A932" s="2"/>
      <c r="D932" s="2"/>
      <c r="G932" s="2"/>
      <c r="J932" s="2"/>
      <c r="M932" s="2"/>
    </row>
    <row r="933" spans="1:13" x14ac:dyDescent="0.25">
      <c r="A933" s="2"/>
      <c r="D933" s="2"/>
      <c r="G933" s="2"/>
      <c r="J933" s="2"/>
      <c r="M933" s="2"/>
    </row>
    <row r="934" spans="1:13" x14ac:dyDescent="0.25">
      <c r="A934" s="2"/>
      <c r="D934" s="2"/>
      <c r="G934" s="2"/>
      <c r="J934" s="2"/>
      <c r="M934" s="2"/>
    </row>
    <row r="935" spans="1:13" x14ac:dyDescent="0.25">
      <c r="A935" s="2"/>
      <c r="D935" s="2"/>
      <c r="G935" s="2"/>
      <c r="J935" s="2"/>
      <c r="M935" s="2"/>
    </row>
    <row r="936" spans="1:13" x14ac:dyDescent="0.25">
      <c r="A936" s="2"/>
      <c r="D936" s="2"/>
      <c r="G936" s="2"/>
      <c r="J936" s="2"/>
      <c r="M936" s="2"/>
    </row>
    <row r="937" spans="1:13" x14ac:dyDescent="0.25">
      <c r="A937" s="2"/>
      <c r="D937" s="2"/>
      <c r="G937" s="2"/>
      <c r="J937" s="2"/>
      <c r="M937" s="2"/>
    </row>
    <row r="938" spans="1:13" x14ac:dyDescent="0.25">
      <c r="A938" s="2"/>
      <c r="D938" s="2"/>
      <c r="G938" s="2"/>
      <c r="J938" s="2"/>
      <c r="M938" s="2"/>
    </row>
    <row r="939" spans="1:13" x14ac:dyDescent="0.25">
      <c r="A939" s="2"/>
      <c r="D939" s="2"/>
      <c r="G939" s="2"/>
      <c r="J939" s="2"/>
      <c r="M939" s="2"/>
    </row>
    <row r="940" spans="1:13" x14ac:dyDescent="0.25">
      <c r="A940" s="2"/>
      <c r="D940" s="2"/>
      <c r="G940" s="2"/>
      <c r="J940" s="2"/>
      <c r="M940" s="2"/>
    </row>
    <row r="941" spans="1:13" x14ac:dyDescent="0.25">
      <c r="A941" s="2"/>
      <c r="D941" s="2"/>
      <c r="G941" s="2"/>
      <c r="J941" s="2"/>
      <c r="M941" s="2"/>
    </row>
    <row r="942" spans="1:13" x14ac:dyDescent="0.25">
      <c r="A942" s="2"/>
      <c r="D942" s="2"/>
      <c r="G942" s="2"/>
      <c r="J942" s="2"/>
      <c r="M942" s="2"/>
    </row>
    <row r="943" spans="1:13" x14ac:dyDescent="0.25">
      <c r="A943" s="2"/>
      <c r="D943" s="2"/>
      <c r="G943" s="2"/>
      <c r="J943" s="2"/>
      <c r="M943" s="2"/>
    </row>
    <row r="944" spans="1:13" x14ac:dyDescent="0.25">
      <c r="A944" s="2"/>
      <c r="D944" s="2"/>
      <c r="G944" s="2"/>
      <c r="J944" s="2"/>
      <c r="M944" s="2"/>
    </row>
    <row r="945" spans="1:13" x14ac:dyDescent="0.25">
      <c r="A945" s="2"/>
      <c r="D945" s="2"/>
      <c r="G945" s="2"/>
      <c r="J945" s="2"/>
      <c r="M945" s="2"/>
    </row>
    <row r="946" spans="1:13" x14ac:dyDescent="0.25">
      <c r="A946" s="2"/>
      <c r="D946" s="2"/>
      <c r="G946" s="2"/>
      <c r="J946" s="2"/>
      <c r="M946" s="2"/>
    </row>
    <row r="947" spans="1:13" x14ac:dyDescent="0.25">
      <c r="A947" s="2"/>
      <c r="D947" s="2"/>
      <c r="G947" s="2"/>
      <c r="J947" s="2"/>
      <c r="M947" s="2"/>
    </row>
    <row r="948" spans="1:13" x14ac:dyDescent="0.25">
      <c r="A948" s="2"/>
      <c r="D948" s="2"/>
      <c r="G948" s="2"/>
      <c r="J948" s="2"/>
      <c r="M948" s="2"/>
    </row>
    <row r="949" spans="1:13" x14ac:dyDescent="0.25">
      <c r="A949" s="2"/>
      <c r="D949" s="2"/>
      <c r="G949" s="2"/>
      <c r="J949" s="2"/>
      <c r="M949" s="2"/>
    </row>
    <row r="950" spans="1:13" x14ac:dyDescent="0.25">
      <c r="A950" s="2"/>
      <c r="D950" s="2"/>
      <c r="G950" s="2"/>
      <c r="J950" s="2"/>
      <c r="M950" s="2"/>
    </row>
    <row r="951" spans="1:13" x14ac:dyDescent="0.25">
      <c r="A951" s="2"/>
      <c r="D951" s="2"/>
      <c r="G951" s="2"/>
      <c r="J951" s="2"/>
      <c r="M951" s="2"/>
    </row>
    <row r="952" spans="1:13" x14ac:dyDescent="0.25">
      <c r="A952" s="2"/>
      <c r="D952" s="2"/>
      <c r="G952" s="2"/>
      <c r="J952" s="2"/>
      <c r="M952" s="2"/>
    </row>
    <row r="953" spans="1:13" x14ac:dyDescent="0.25">
      <c r="A953" s="2"/>
      <c r="D953" s="2"/>
      <c r="G953" s="2"/>
      <c r="J953" s="2"/>
      <c r="M953" s="2"/>
    </row>
    <row r="954" spans="1:13" x14ac:dyDescent="0.25">
      <c r="A954" s="2"/>
      <c r="D954" s="2"/>
      <c r="G954" s="2"/>
      <c r="J954" s="2"/>
      <c r="M954" s="2"/>
    </row>
    <row r="955" spans="1:13" x14ac:dyDescent="0.25">
      <c r="A955" s="2"/>
      <c r="D955" s="2"/>
      <c r="G955" s="2"/>
      <c r="J955" s="2"/>
      <c r="M955" s="2"/>
    </row>
    <row r="956" spans="1:13" x14ac:dyDescent="0.25">
      <c r="A956" s="2"/>
      <c r="D956" s="2"/>
      <c r="G956" s="2"/>
      <c r="J956" s="2"/>
      <c r="M956" s="2"/>
    </row>
    <row r="957" spans="1:13" x14ac:dyDescent="0.25">
      <c r="A957" s="2"/>
      <c r="D957" s="2"/>
      <c r="G957" s="2"/>
      <c r="J957" s="2"/>
      <c r="M957" s="2"/>
    </row>
    <row r="958" spans="1:13" x14ac:dyDescent="0.25">
      <c r="A958" s="2"/>
      <c r="D958" s="2"/>
      <c r="G958" s="2"/>
      <c r="J958" s="2"/>
      <c r="M958" s="2"/>
    </row>
    <row r="959" spans="1:13" x14ac:dyDescent="0.25">
      <c r="A959" s="2"/>
      <c r="D959" s="2"/>
      <c r="G959" s="2"/>
      <c r="J959" s="2"/>
      <c r="M959" s="2"/>
    </row>
    <row r="960" spans="1:13" x14ac:dyDescent="0.25">
      <c r="A960" s="2"/>
      <c r="D960" s="2"/>
      <c r="G960" s="2"/>
      <c r="J960" s="2"/>
      <c r="M960" s="2"/>
    </row>
    <row r="961" spans="1:13" x14ac:dyDescent="0.25">
      <c r="A961" s="2"/>
      <c r="D961" s="2"/>
      <c r="G961" s="2"/>
      <c r="J961" s="2"/>
      <c r="M961" s="2"/>
    </row>
    <row r="962" spans="1:13" x14ac:dyDescent="0.25">
      <c r="A962" s="2"/>
      <c r="D962" s="2"/>
      <c r="G962" s="2"/>
      <c r="J962" s="2"/>
      <c r="M962" s="2"/>
    </row>
    <row r="963" spans="1:13" x14ac:dyDescent="0.25">
      <c r="A963" s="2"/>
      <c r="D963" s="2"/>
      <c r="G963" s="2"/>
      <c r="J963" s="2"/>
      <c r="M963" s="2"/>
    </row>
    <row r="964" spans="1:13" x14ac:dyDescent="0.25">
      <c r="A964" s="2"/>
      <c r="D964" s="2"/>
      <c r="G964" s="2"/>
      <c r="J964" s="2"/>
      <c r="M964" s="2"/>
    </row>
    <row r="965" spans="1:13" x14ac:dyDescent="0.25">
      <c r="A965" s="2"/>
      <c r="D965" s="2"/>
      <c r="G965" s="2"/>
      <c r="J965" s="2"/>
      <c r="M965" s="2"/>
    </row>
    <row r="966" spans="1:13" x14ac:dyDescent="0.25">
      <c r="A966" s="2"/>
      <c r="D966" s="2"/>
      <c r="G966" s="2"/>
      <c r="J966" s="2"/>
      <c r="M966" s="2"/>
    </row>
    <row r="967" spans="1:13" x14ac:dyDescent="0.25">
      <c r="A967" s="2"/>
      <c r="D967" s="2"/>
      <c r="G967" s="2"/>
      <c r="J967" s="2"/>
      <c r="M967" s="2"/>
    </row>
    <row r="968" spans="1:13" x14ac:dyDescent="0.25">
      <c r="A968" s="2"/>
      <c r="D968" s="2"/>
      <c r="G968" s="2"/>
      <c r="J968" s="2"/>
      <c r="M968" s="2"/>
    </row>
    <row r="969" spans="1:13" x14ac:dyDescent="0.25">
      <c r="A969" s="2"/>
      <c r="D969" s="2"/>
      <c r="G969" s="2"/>
      <c r="J969" s="2"/>
      <c r="M969" s="2"/>
    </row>
    <row r="970" spans="1:13" x14ac:dyDescent="0.25">
      <c r="A970" s="2"/>
      <c r="D970" s="2"/>
      <c r="G970" s="2"/>
      <c r="J970" s="2"/>
      <c r="M970" s="2"/>
    </row>
    <row r="971" spans="1:13" x14ac:dyDescent="0.25">
      <c r="A971" s="2"/>
      <c r="D971" s="2"/>
      <c r="G971" s="2"/>
      <c r="J971" s="2"/>
      <c r="M971" s="2"/>
    </row>
    <row r="972" spans="1:13" x14ac:dyDescent="0.25">
      <c r="A972" s="2"/>
      <c r="D972" s="2"/>
      <c r="G972" s="2"/>
      <c r="J972" s="2"/>
      <c r="M972" s="2"/>
    </row>
    <row r="973" spans="1:13" x14ac:dyDescent="0.25">
      <c r="A973" s="2"/>
      <c r="D973" s="2"/>
      <c r="G973" s="2"/>
      <c r="J973" s="2"/>
      <c r="M973" s="2"/>
    </row>
    <row r="974" spans="1:13" x14ac:dyDescent="0.25">
      <c r="A974" s="2"/>
      <c r="D974" s="2"/>
      <c r="G974" s="2"/>
      <c r="J974" s="2"/>
      <c r="M974" s="2"/>
    </row>
    <row r="975" spans="1:13" x14ac:dyDescent="0.25">
      <c r="A975" s="2"/>
      <c r="D975" s="2"/>
      <c r="G975" s="2"/>
      <c r="J975" s="2"/>
      <c r="M975" s="2"/>
    </row>
    <row r="976" spans="1:13" x14ac:dyDescent="0.25">
      <c r="A976" s="2"/>
      <c r="D976" s="2"/>
      <c r="G976" s="2"/>
      <c r="J976" s="2"/>
      <c r="M976" s="2"/>
    </row>
    <row r="977" spans="1:13" x14ac:dyDescent="0.25">
      <c r="A977" s="2"/>
      <c r="D977" s="2"/>
      <c r="G977" s="2"/>
      <c r="J977" s="2"/>
      <c r="M977" s="2"/>
    </row>
    <row r="978" spans="1:13" x14ac:dyDescent="0.25">
      <c r="A978" s="2"/>
      <c r="D978" s="2"/>
      <c r="G978" s="2"/>
      <c r="J978" s="2"/>
      <c r="M978" s="2"/>
    </row>
    <row r="979" spans="1:13" x14ac:dyDescent="0.25">
      <c r="A979" s="2"/>
      <c r="D979" s="2"/>
      <c r="G979" s="2"/>
      <c r="J979" s="2"/>
      <c r="M979" s="2"/>
    </row>
    <row r="980" spans="1:13" x14ac:dyDescent="0.25">
      <c r="A980" s="2"/>
      <c r="D980" s="2"/>
      <c r="G980" s="2"/>
      <c r="J980" s="2"/>
      <c r="M980" s="2"/>
    </row>
    <row r="981" spans="1:13" x14ac:dyDescent="0.25">
      <c r="A981" s="2"/>
      <c r="D981" s="2"/>
      <c r="G981" s="2"/>
      <c r="J981" s="2"/>
      <c r="M981" s="2"/>
    </row>
    <row r="982" spans="1:13" x14ac:dyDescent="0.25">
      <c r="A982" s="2"/>
      <c r="D982" s="2"/>
      <c r="G982" s="2"/>
      <c r="J982" s="2"/>
      <c r="M982" s="2"/>
    </row>
    <row r="983" spans="1:13" x14ac:dyDescent="0.25">
      <c r="A983" s="2"/>
      <c r="D983" s="2"/>
      <c r="G983" s="2"/>
      <c r="J983" s="2"/>
      <c r="M983" s="2"/>
    </row>
    <row r="984" spans="1:13" x14ac:dyDescent="0.25">
      <c r="A984" s="2"/>
      <c r="D984" s="2"/>
      <c r="G984" s="2"/>
      <c r="J984" s="2"/>
      <c r="M984" s="2"/>
    </row>
    <row r="985" spans="1:13" x14ac:dyDescent="0.25">
      <c r="A985" s="2"/>
      <c r="D985" s="2"/>
      <c r="G985" s="2"/>
      <c r="J985" s="2"/>
      <c r="M985" s="2"/>
    </row>
    <row r="986" spans="1:13" x14ac:dyDescent="0.25">
      <c r="A986" s="2"/>
      <c r="D986" s="2"/>
      <c r="G986" s="2"/>
      <c r="J986" s="2"/>
      <c r="M986" s="2"/>
    </row>
    <row r="987" spans="1:13" x14ac:dyDescent="0.25">
      <c r="A987" s="2"/>
      <c r="D987" s="2"/>
      <c r="G987" s="2"/>
      <c r="J987" s="2"/>
      <c r="M987" s="2"/>
    </row>
    <row r="988" spans="1:13" x14ac:dyDescent="0.25">
      <c r="A988" s="2"/>
      <c r="D988" s="2"/>
      <c r="G988" s="2"/>
      <c r="J988" s="2"/>
      <c r="M988" s="2"/>
    </row>
    <row r="989" spans="1:13" x14ac:dyDescent="0.25">
      <c r="A989" s="2"/>
      <c r="D989" s="2"/>
      <c r="G989" s="2"/>
      <c r="J989" s="2"/>
      <c r="M989" s="2"/>
    </row>
    <row r="990" spans="1:13" x14ac:dyDescent="0.25">
      <c r="A990" s="2"/>
      <c r="D990" s="2"/>
      <c r="G990" s="2"/>
      <c r="J990" s="2"/>
      <c r="M990" s="2"/>
    </row>
    <row r="991" spans="1:13" x14ac:dyDescent="0.25">
      <c r="A991" s="2"/>
      <c r="D991" s="2"/>
      <c r="G991" s="2"/>
      <c r="J991" s="2"/>
      <c r="M991" s="2"/>
    </row>
    <row r="992" spans="1:13" x14ac:dyDescent="0.25">
      <c r="A992" s="2"/>
      <c r="D992" s="2"/>
      <c r="G992" s="2"/>
      <c r="J992" s="2"/>
      <c r="M992" s="2"/>
    </row>
    <row r="993" spans="1:13" x14ac:dyDescent="0.25">
      <c r="A993" s="2"/>
      <c r="D993" s="2"/>
      <c r="G993" s="2"/>
      <c r="J993" s="2"/>
      <c r="M993" s="2"/>
    </row>
    <row r="994" spans="1:13" x14ac:dyDescent="0.25">
      <c r="A994" s="2"/>
      <c r="D994" s="2"/>
      <c r="G994" s="2"/>
      <c r="J994" s="2"/>
      <c r="M994" s="2"/>
    </row>
    <row r="995" spans="1:13" x14ac:dyDescent="0.25">
      <c r="A995" s="2"/>
      <c r="D995" s="2"/>
      <c r="G995" s="2"/>
      <c r="J995" s="2"/>
      <c r="M995" s="2"/>
    </row>
    <row r="996" spans="1:13" x14ac:dyDescent="0.25">
      <c r="A996" s="2"/>
      <c r="D996" s="2"/>
      <c r="G996" s="2"/>
      <c r="J996" s="2"/>
      <c r="M996" s="2"/>
    </row>
    <row r="997" spans="1:13" x14ac:dyDescent="0.25">
      <c r="A997" s="2"/>
      <c r="D997" s="2"/>
      <c r="G997" s="2"/>
      <c r="J997" s="2"/>
      <c r="M997" s="2"/>
    </row>
    <row r="998" spans="1:13" x14ac:dyDescent="0.25">
      <c r="A998" s="2"/>
      <c r="D998" s="2"/>
      <c r="G998" s="2"/>
      <c r="J998" s="2"/>
      <c r="M998" s="2"/>
    </row>
    <row r="999" spans="1:13" x14ac:dyDescent="0.25">
      <c r="A999" s="2"/>
      <c r="D999" s="2"/>
      <c r="G999" s="2"/>
      <c r="J999" s="2"/>
      <c r="M999" s="2"/>
    </row>
    <row r="1000" spans="1:13" x14ac:dyDescent="0.25">
      <c r="A1000" s="2"/>
      <c r="D1000" s="2"/>
      <c r="G1000" s="2"/>
      <c r="J1000" s="2"/>
      <c r="M1000" s="2"/>
    </row>
    <row r="1001" spans="1:13" x14ac:dyDescent="0.25">
      <c r="A1001" s="2"/>
      <c r="D1001" s="2"/>
      <c r="G1001" s="2"/>
      <c r="J1001" s="2"/>
      <c r="M1001" s="2"/>
    </row>
    <row r="1002" spans="1:13" x14ac:dyDescent="0.25">
      <c r="A1002" s="2"/>
      <c r="D1002" s="2"/>
      <c r="G1002" s="2"/>
      <c r="J1002" s="2"/>
      <c r="M1002" s="2"/>
    </row>
    <row r="1003" spans="1:13" x14ac:dyDescent="0.25">
      <c r="A1003" s="2"/>
      <c r="D1003" s="2"/>
      <c r="G1003" s="2"/>
      <c r="J1003" s="2"/>
      <c r="M1003" s="2"/>
    </row>
    <row r="1004" spans="1:13" x14ac:dyDescent="0.25">
      <c r="A1004" s="2"/>
      <c r="D1004" s="2"/>
      <c r="G1004" s="2"/>
      <c r="J1004" s="2"/>
      <c r="M1004" s="2"/>
    </row>
    <row r="1005" spans="1:13" x14ac:dyDescent="0.25">
      <c r="A1005" s="2"/>
      <c r="D1005" s="2"/>
      <c r="G1005" s="2"/>
      <c r="J1005" s="2"/>
      <c r="M1005" s="2"/>
    </row>
    <row r="1006" spans="1:13" x14ac:dyDescent="0.25">
      <c r="A1006" s="2"/>
      <c r="D1006" s="2"/>
      <c r="G1006" s="2"/>
      <c r="J1006" s="2"/>
      <c r="M1006" s="2"/>
    </row>
    <row r="1007" spans="1:13" x14ac:dyDescent="0.25">
      <c r="A1007" s="2"/>
      <c r="D1007" s="2"/>
      <c r="G1007" s="2"/>
      <c r="J1007" s="2"/>
      <c r="M1007" s="2"/>
    </row>
    <row r="1008" spans="1:13" x14ac:dyDescent="0.25">
      <c r="A1008" s="2"/>
      <c r="D1008" s="2"/>
      <c r="G1008" s="2"/>
      <c r="J1008" s="2"/>
      <c r="M1008" s="2"/>
    </row>
    <row r="1009" spans="1:13" x14ac:dyDescent="0.25">
      <c r="A1009" s="2"/>
      <c r="D1009" s="2"/>
      <c r="G1009" s="2"/>
      <c r="J1009" s="2"/>
      <c r="M1009" s="2"/>
    </row>
    <row r="1010" spans="1:13" x14ac:dyDescent="0.25">
      <c r="A1010" s="2"/>
      <c r="D1010" s="2"/>
      <c r="G1010" s="2"/>
      <c r="J1010" s="2"/>
      <c r="M1010" s="2"/>
    </row>
    <row r="1011" spans="1:13" x14ac:dyDescent="0.25">
      <c r="A1011" s="2"/>
      <c r="D1011" s="2"/>
      <c r="G1011" s="2"/>
      <c r="J1011" s="2"/>
      <c r="M1011" s="2"/>
    </row>
    <row r="1012" spans="1:13" x14ac:dyDescent="0.25">
      <c r="A1012" s="2"/>
      <c r="D1012" s="2"/>
      <c r="G1012" s="2"/>
      <c r="J1012" s="2"/>
      <c r="M1012" s="2"/>
    </row>
    <row r="1013" spans="1:13" x14ac:dyDescent="0.25">
      <c r="A1013" s="2"/>
      <c r="D1013" s="2"/>
      <c r="G1013" s="2"/>
      <c r="J1013" s="2"/>
      <c r="M1013" s="2"/>
    </row>
    <row r="1014" spans="1:13" x14ac:dyDescent="0.25">
      <c r="A1014" s="2"/>
      <c r="D1014" s="2"/>
      <c r="G1014" s="2"/>
      <c r="J1014" s="2"/>
      <c r="M1014" s="2"/>
    </row>
    <row r="1015" spans="1:13" x14ac:dyDescent="0.25">
      <c r="A1015" s="2"/>
      <c r="D1015" s="2"/>
      <c r="G1015" s="2"/>
      <c r="J1015" s="2"/>
      <c r="M1015" s="2"/>
    </row>
    <row r="1016" spans="1:13" x14ac:dyDescent="0.25">
      <c r="A1016" s="2"/>
      <c r="D1016" s="2"/>
      <c r="G1016" s="2"/>
      <c r="J1016" s="2"/>
      <c r="M1016" s="2"/>
    </row>
    <row r="1017" spans="1:13" x14ac:dyDescent="0.25">
      <c r="A1017" s="2"/>
      <c r="D1017" s="2"/>
      <c r="G1017" s="2"/>
      <c r="J1017" s="2"/>
      <c r="M1017" s="2"/>
    </row>
    <row r="1018" spans="1:13" x14ac:dyDescent="0.25">
      <c r="A1018" s="2"/>
      <c r="D1018" s="2"/>
      <c r="G1018" s="2"/>
      <c r="J1018" s="2"/>
      <c r="M1018" s="2"/>
    </row>
    <row r="1019" spans="1:13" x14ac:dyDescent="0.25">
      <c r="A1019" s="2"/>
      <c r="D1019" s="2"/>
      <c r="G1019" s="2"/>
      <c r="J1019" s="2"/>
      <c r="M1019" s="2"/>
    </row>
    <row r="1020" spans="1:13" x14ac:dyDescent="0.25">
      <c r="A1020" s="2"/>
      <c r="D1020" s="2"/>
      <c r="G1020" s="2"/>
      <c r="J1020" s="2"/>
      <c r="M1020" s="2"/>
    </row>
    <row r="1021" spans="1:13" x14ac:dyDescent="0.25">
      <c r="A1021" s="2"/>
      <c r="D1021" s="2"/>
      <c r="G1021" s="2"/>
      <c r="J1021" s="2"/>
      <c r="M1021" s="2"/>
    </row>
    <row r="1022" spans="1:13" x14ac:dyDescent="0.25">
      <c r="A1022" s="2"/>
      <c r="D1022" s="2"/>
      <c r="G1022" s="2"/>
      <c r="J1022" s="2"/>
      <c r="M1022" s="2"/>
    </row>
    <row r="1023" spans="1:13" x14ac:dyDescent="0.25">
      <c r="A1023" s="2"/>
      <c r="D1023" s="2"/>
      <c r="G1023" s="2"/>
      <c r="J1023" s="2"/>
      <c r="M1023" s="2"/>
    </row>
    <row r="1024" spans="1:13" x14ac:dyDescent="0.25">
      <c r="A1024" s="2"/>
      <c r="D1024" s="2"/>
      <c r="G1024" s="2"/>
      <c r="J1024" s="2"/>
      <c r="M1024" s="2"/>
    </row>
    <row r="1025" spans="1:13" x14ac:dyDescent="0.25">
      <c r="A1025" s="2"/>
      <c r="D1025" s="2"/>
      <c r="G1025" s="2"/>
      <c r="J1025" s="2"/>
      <c r="M1025" s="2"/>
    </row>
    <row r="1026" spans="1:13" x14ac:dyDescent="0.25">
      <c r="A1026" s="2"/>
      <c r="D1026" s="2"/>
      <c r="G1026" s="2"/>
      <c r="J1026" s="2"/>
      <c r="M1026" s="2"/>
    </row>
    <row r="1027" spans="1:13" x14ac:dyDescent="0.25">
      <c r="A1027" s="2"/>
      <c r="D1027" s="2"/>
      <c r="G1027" s="2"/>
      <c r="J1027" s="2"/>
      <c r="M1027" s="2"/>
    </row>
    <row r="1028" spans="1:13" x14ac:dyDescent="0.25">
      <c r="A1028" s="2"/>
      <c r="D1028" s="2"/>
      <c r="G1028" s="2"/>
      <c r="J1028" s="2"/>
      <c r="M1028" s="2"/>
    </row>
    <row r="1029" spans="1:13" x14ac:dyDescent="0.25">
      <c r="A1029" s="2"/>
      <c r="D1029" s="2"/>
      <c r="G1029" s="2"/>
      <c r="J1029" s="2"/>
      <c r="M1029" s="2"/>
    </row>
    <row r="1030" spans="1:13" x14ac:dyDescent="0.25">
      <c r="A1030" s="2"/>
      <c r="D1030" s="2"/>
      <c r="G1030" s="2"/>
      <c r="J1030" s="2"/>
      <c r="M1030" s="2"/>
    </row>
    <row r="1031" spans="1:13" x14ac:dyDescent="0.25">
      <c r="A1031" s="2"/>
      <c r="D1031" s="2"/>
      <c r="G1031" s="2"/>
      <c r="J1031" s="2"/>
      <c r="M1031" s="2"/>
    </row>
    <row r="1032" spans="1:13" x14ac:dyDescent="0.25">
      <c r="A1032" s="2"/>
      <c r="D1032" s="2"/>
      <c r="G1032" s="2"/>
      <c r="J1032" s="2"/>
      <c r="M1032" s="2"/>
    </row>
    <row r="1033" spans="1:13" x14ac:dyDescent="0.25">
      <c r="A1033" s="2"/>
      <c r="D1033" s="2"/>
      <c r="G1033" s="2"/>
      <c r="J1033" s="2"/>
      <c r="M1033" s="2"/>
    </row>
    <row r="1034" spans="1:13" x14ac:dyDescent="0.25">
      <c r="A1034" s="2"/>
      <c r="D1034" s="2"/>
      <c r="G1034" s="2"/>
      <c r="J1034" s="2"/>
      <c r="M1034" s="2"/>
    </row>
    <row r="1035" spans="1:13" x14ac:dyDescent="0.25">
      <c r="A1035" s="2"/>
      <c r="D1035" s="2"/>
      <c r="G1035" s="2"/>
      <c r="J1035" s="2"/>
      <c r="M1035" s="2"/>
    </row>
    <row r="1036" spans="1:13" x14ac:dyDescent="0.25">
      <c r="A1036" s="2"/>
      <c r="D1036" s="2"/>
      <c r="G1036" s="2"/>
      <c r="J1036" s="2"/>
      <c r="M1036" s="2"/>
    </row>
    <row r="1037" spans="1:13" x14ac:dyDescent="0.25">
      <c r="A1037" s="2"/>
      <c r="D1037" s="2"/>
      <c r="G1037" s="2"/>
      <c r="J1037" s="2"/>
      <c r="M1037" s="2"/>
    </row>
    <row r="1038" spans="1:13" x14ac:dyDescent="0.25">
      <c r="A1038" s="2"/>
      <c r="D1038" s="2"/>
      <c r="G1038" s="2"/>
      <c r="J1038" s="2"/>
      <c r="M1038" s="2"/>
    </row>
    <row r="1039" spans="1:13" x14ac:dyDescent="0.25">
      <c r="A1039" s="2"/>
      <c r="D1039" s="2"/>
      <c r="G1039" s="2"/>
      <c r="J1039" s="2"/>
      <c r="M1039" s="2"/>
    </row>
    <row r="1040" spans="1:13" x14ac:dyDescent="0.25">
      <c r="A1040" s="2"/>
      <c r="D1040" s="2"/>
      <c r="G1040" s="2"/>
      <c r="J1040" s="2"/>
      <c r="M1040" s="2"/>
    </row>
    <row r="1041" spans="1:13" x14ac:dyDescent="0.25">
      <c r="A1041" s="2"/>
      <c r="D1041" s="2"/>
      <c r="G1041" s="2"/>
      <c r="J1041" s="2"/>
      <c r="M1041" s="2"/>
    </row>
    <row r="1042" spans="1:13" x14ac:dyDescent="0.25">
      <c r="A1042" s="2"/>
      <c r="D1042" s="2"/>
      <c r="G1042" s="2"/>
      <c r="J1042" s="2"/>
      <c r="M1042" s="2"/>
    </row>
    <row r="1043" spans="1:13" x14ac:dyDescent="0.25">
      <c r="A1043" s="2"/>
      <c r="D1043" s="2"/>
      <c r="G1043" s="2"/>
      <c r="J1043" s="2"/>
      <c r="M1043" s="2"/>
    </row>
    <row r="1044" spans="1:13" x14ac:dyDescent="0.25">
      <c r="A1044" s="2"/>
      <c r="D1044" s="2"/>
      <c r="G1044" s="2"/>
      <c r="J1044" s="2"/>
      <c r="M1044" s="2"/>
    </row>
    <row r="1045" spans="1:13" x14ac:dyDescent="0.25">
      <c r="A1045" s="2"/>
      <c r="D1045" s="2"/>
      <c r="G1045" s="2"/>
      <c r="J1045" s="2"/>
      <c r="M1045" s="2"/>
    </row>
    <row r="1046" spans="1:13" x14ac:dyDescent="0.25">
      <c r="A1046" s="2"/>
      <c r="D1046" s="2"/>
      <c r="G1046" s="2"/>
      <c r="J1046" s="2"/>
      <c r="M1046" s="2"/>
    </row>
    <row r="1047" spans="1:13" x14ac:dyDescent="0.25">
      <c r="A1047" s="2"/>
      <c r="D1047" s="2"/>
      <c r="G1047" s="2"/>
      <c r="J1047" s="2"/>
      <c r="M1047" s="2"/>
    </row>
    <row r="1048" spans="1:13" x14ac:dyDescent="0.25">
      <c r="A1048" s="2"/>
      <c r="D1048" s="2"/>
      <c r="G1048" s="2"/>
      <c r="J1048" s="2"/>
      <c r="M1048" s="2"/>
    </row>
    <row r="1049" spans="1:13" x14ac:dyDescent="0.25">
      <c r="A1049" s="2"/>
      <c r="D1049" s="2"/>
      <c r="G1049" s="2"/>
      <c r="J1049" s="2"/>
      <c r="M1049" s="2"/>
    </row>
    <row r="1050" spans="1:13" x14ac:dyDescent="0.25">
      <c r="A1050" s="2"/>
      <c r="D1050" s="2"/>
      <c r="G1050" s="2"/>
      <c r="J1050" s="2"/>
      <c r="M1050" s="2"/>
    </row>
    <row r="1051" spans="1:13" x14ac:dyDescent="0.25">
      <c r="A1051" s="2"/>
      <c r="D1051" s="2"/>
      <c r="G1051" s="2"/>
      <c r="J1051" s="2"/>
      <c r="M1051" s="2"/>
    </row>
    <row r="1052" spans="1:13" x14ac:dyDescent="0.25">
      <c r="A1052" s="2"/>
      <c r="D1052" s="2"/>
      <c r="G1052" s="2"/>
      <c r="J1052" s="2"/>
      <c r="M1052" s="2"/>
    </row>
    <row r="1053" spans="1:13" x14ac:dyDescent="0.25">
      <c r="A1053" s="2"/>
      <c r="D1053" s="2"/>
      <c r="G1053" s="2"/>
      <c r="J1053" s="2"/>
      <c r="M1053" s="2"/>
    </row>
    <row r="1054" spans="1:13" x14ac:dyDescent="0.25">
      <c r="A1054" s="2"/>
      <c r="D1054" s="2"/>
      <c r="G1054" s="2"/>
      <c r="J1054" s="2"/>
      <c r="M1054" s="2"/>
    </row>
    <row r="1055" spans="1:13" x14ac:dyDescent="0.25">
      <c r="A1055" s="2"/>
      <c r="D1055" s="2"/>
      <c r="G1055" s="2"/>
      <c r="J1055" s="2"/>
      <c r="M1055" s="2"/>
    </row>
    <row r="1056" spans="1:13" x14ac:dyDescent="0.25">
      <c r="A1056" s="2"/>
      <c r="D1056" s="2"/>
      <c r="G1056" s="2"/>
      <c r="J1056" s="2"/>
      <c r="M1056" s="2"/>
    </row>
    <row r="1057" spans="1:13" x14ac:dyDescent="0.25">
      <c r="A1057" s="2"/>
      <c r="D1057" s="2"/>
      <c r="G1057" s="2"/>
      <c r="J1057" s="2"/>
      <c r="M1057" s="2"/>
    </row>
    <row r="1058" spans="1:13" x14ac:dyDescent="0.25">
      <c r="A1058" s="2"/>
      <c r="D1058" s="2"/>
      <c r="G1058" s="2"/>
      <c r="J1058" s="2"/>
      <c r="M1058" s="2"/>
    </row>
    <row r="1059" spans="1:13" x14ac:dyDescent="0.25">
      <c r="A1059" s="2"/>
      <c r="D1059" s="2"/>
      <c r="G1059" s="2"/>
      <c r="J1059" s="2"/>
      <c r="M1059" s="2"/>
    </row>
    <row r="1060" spans="1:13" x14ac:dyDescent="0.25">
      <c r="A1060" s="2"/>
      <c r="D1060" s="2"/>
      <c r="G1060" s="2"/>
      <c r="J1060" s="2"/>
      <c r="M1060" s="2"/>
    </row>
    <row r="1061" spans="1:13" x14ac:dyDescent="0.25">
      <c r="A1061" s="2"/>
      <c r="D1061" s="2"/>
      <c r="G1061" s="2"/>
      <c r="J1061" s="2"/>
      <c r="M1061" s="2"/>
    </row>
    <row r="1062" spans="1:13" x14ac:dyDescent="0.25">
      <c r="A1062" s="2"/>
      <c r="D1062" s="2"/>
      <c r="G1062" s="2"/>
      <c r="J1062" s="2"/>
      <c r="M1062" s="2"/>
    </row>
    <row r="1063" spans="1:13" x14ac:dyDescent="0.25">
      <c r="A1063" s="2"/>
      <c r="D1063" s="2"/>
      <c r="G1063" s="2"/>
      <c r="J1063" s="2"/>
      <c r="M1063" s="2"/>
    </row>
    <row r="1064" spans="1:13" x14ac:dyDescent="0.25">
      <c r="A1064" s="2"/>
      <c r="D1064" s="2"/>
      <c r="G1064" s="2"/>
      <c r="J1064" s="2"/>
      <c r="M1064" s="2"/>
    </row>
    <row r="1065" spans="1:13" x14ac:dyDescent="0.25">
      <c r="A1065" s="2"/>
      <c r="D1065" s="2"/>
      <c r="G1065" s="2"/>
      <c r="J1065" s="2"/>
      <c r="M1065" s="2"/>
    </row>
    <row r="1066" spans="1:13" x14ac:dyDescent="0.25">
      <c r="A1066" s="2"/>
      <c r="D1066" s="2"/>
      <c r="G1066" s="2"/>
      <c r="J1066" s="2"/>
      <c r="M1066" s="2"/>
    </row>
    <row r="1067" spans="1:13" x14ac:dyDescent="0.25">
      <c r="A1067" s="2"/>
      <c r="D1067" s="2"/>
      <c r="G1067" s="2"/>
      <c r="J1067" s="2"/>
      <c r="M1067" s="2"/>
    </row>
    <row r="1068" spans="1:13" x14ac:dyDescent="0.25">
      <c r="A1068" s="2"/>
      <c r="D1068" s="2"/>
      <c r="G1068" s="2"/>
      <c r="J1068" s="2"/>
      <c r="M1068" s="2"/>
    </row>
    <row r="1069" spans="1:13" x14ac:dyDescent="0.25">
      <c r="A1069" s="2"/>
      <c r="D1069" s="2"/>
      <c r="G1069" s="2"/>
      <c r="J1069" s="2"/>
      <c r="M1069" s="2"/>
    </row>
    <row r="1070" spans="1:13" x14ac:dyDescent="0.25">
      <c r="A1070" s="2"/>
      <c r="D1070" s="2"/>
      <c r="G1070" s="2"/>
      <c r="J1070" s="2"/>
      <c r="M1070" s="2"/>
    </row>
    <row r="1071" spans="1:13" x14ac:dyDescent="0.25">
      <c r="A1071" s="2"/>
      <c r="D1071" s="2"/>
      <c r="G1071" s="2"/>
      <c r="J1071" s="2"/>
      <c r="M1071" s="2"/>
    </row>
    <row r="1072" spans="1:13" x14ac:dyDescent="0.25">
      <c r="A1072" s="2"/>
      <c r="D1072" s="2"/>
      <c r="G1072" s="2"/>
      <c r="J1072" s="2"/>
      <c r="M1072" s="2"/>
    </row>
    <row r="1073" spans="1:13" x14ac:dyDescent="0.25">
      <c r="A1073" s="2"/>
      <c r="D1073" s="2"/>
      <c r="G1073" s="2"/>
      <c r="J1073" s="2"/>
      <c r="M1073" s="2"/>
    </row>
    <row r="1074" spans="1:13" x14ac:dyDescent="0.25">
      <c r="A1074" s="2"/>
      <c r="D1074" s="2"/>
      <c r="G1074" s="2"/>
      <c r="J1074" s="2"/>
      <c r="M1074" s="2"/>
    </row>
    <row r="1075" spans="1:13" x14ac:dyDescent="0.25">
      <c r="A1075" s="2"/>
      <c r="D1075" s="2"/>
      <c r="G1075" s="2"/>
      <c r="J1075" s="2"/>
      <c r="M1075" s="2"/>
    </row>
    <row r="1076" spans="1:13" x14ac:dyDescent="0.25">
      <c r="A1076" s="2"/>
      <c r="D1076" s="2"/>
      <c r="G1076" s="2"/>
      <c r="J1076" s="2"/>
      <c r="M1076" s="2"/>
    </row>
    <row r="1077" spans="1:13" x14ac:dyDescent="0.25">
      <c r="A1077" s="2"/>
      <c r="D1077" s="2"/>
      <c r="G1077" s="2"/>
      <c r="J1077" s="2"/>
      <c r="M1077" s="2"/>
    </row>
    <row r="1078" spans="1:13" x14ac:dyDescent="0.25">
      <c r="A1078" s="2"/>
      <c r="D1078" s="2"/>
      <c r="G1078" s="2"/>
      <c r="J1078" s="2"/>
      <c r="M1078" s="2"/>
    </row>
    <row r="1079" spans="1:13" x14ac:dyDescent="0.25">
      <c r="A1079" s="2"/>
      <c r="D1079" s="2"/>
      <c r="G1079" s="2"/>
      <c r="J1079" s="2"/>
      <c r="M1079" s="2"/>
    </row>
    <row r="1080" spans="1:13" x14ac:dyDescent="0.25">
      <c r="A1080" s="2"/>
      <c r="D1080" s="2"/>
      <c r="G1080" s="2"/>
      <c r="J1080" s="2"/>
      <c r="M1080" s="2"/>
    </row>
    <row r="1081" spans="1:13" x14ac:dyDescent="0.25">
      <c r="A1081" s="2"/>
      <c r="D1081" s="2"/>
      <c r="G1081" s="2"/>
      <c r="J1081" s="2"/>
      <c r="M1081" s="2"/>
    </row>
    <row r="1082" spans="1:13" x14ac:dyDescent="0.25">
      <c r="A1082" s="2"/>
      <c r="D1082" s="2"/>
      <c r="G1082" s="2"/>
      <c r="J1082" s="2"/>
      <c r="M1082" s="2"/>
    </row>
    <row r="1083" spans="1:13" x14ac:dyDescent="0.25">
      <c r="A1083" s="2"/>
      <c r="D1083" s="2"/>
      <c r="G1083" s="2"/>
      <c r="J1083" s="2"/>
      <c r="M1083" s="2"/>
    </row>
    <row r="1084" spans="1:13" x14ac:dyDescent="0.25">
      <c r="A1084" s="2"/>
      <c r="D1084" s="2"/>
      <c r="G1084" s="2"/>
      <c r="J1084" s="2"/>
      <c r="M1084" s="2"/>
    </row>
    <row r="1085" spans="1:13" x14ac:dyDescent="0.25">
      <c r="A1085" s="2"/>
      <c r="D1085" s="2"/>
      <c r="G1085" s="2"/>
      <c r="J1085" s="2"/>
      <c r="M1085" s="2"/>
    </row>
    <row r="1086" spans="1:13" x14ac:dyDescent="0.25">
      <c r="A1086" s="2"/>
      <c r="D1086" s="2"/>
      <c r="G1086" s="2"/>
      <c r="J1086" s="2"/>
      <c r="M1086" s="2"/>
    </row>
    <row r="1087" spans="1:13" x14ac:dyDescent="0.25">
      <c r="A1087" s="2"/>
      <c r="D1087" s="2"/>
      <c r="G1087" s="2"/>
      <c r="J1087" s="2"/>
      <c r="M1087" s="2"/>
    </row>
    <row r="1088" spans="1:13" x14ac:dyDescent="0.25">
      <c r="A1088" s="2"/>
      <c r="D1088" s="2"/>
      <c r="G1088" s="2"/>
      <c r="J1088" s="2"/>
      <c r="M1088" s="2"/>
    </row>
    <row r="1089" spans="1:13" x14ac:dyDescent="0.25">
      <c r="A1089" s="2"/>
      <c r="D1089" s="2"/>
      <c r="G1089" s="2"/>
      <c r="J1089" s="2"/>
      <c r="M1089" s="2"/>
    </row>
    <row r="1090" spans="1:13" x14ac:dyDescent="0.25">
      <c r="A1090" s="2"/>
      <c r="D1090" s="2"/>
      <c r="G1090" s="2"/>
      <c r="J1090" s="2"/>
      <c r="M1090" s="2"/>
    </row>
    <row r="1091" spans="1:13" x14ac:dyDescent="0.25">
      <c r="A1091" s="2"/>
      <c r="D1091" s="2"/>
      <c r="G1091" s="2"/>
      <c r="J1091" s="2"/>
      <c r="M1091" s="2"/>
    </row>
    <row r="1092" spans="1:13" x14ac:dyDescent="0.25">
      <c r="A1092" s="2"/>
      <c r="D1092" s="2"/>
      <c r="G1092" s="2"/>
      <c r="J1092" s="2"/>
      <c r="M1092" s="2"/>
    </row>
    <row r="1093" spans="1:13" x14ac:dyDescent="0.25">
      <c r="A1093" s="2"/>
      <c r="D1093" s="2"/>
      <c r="G1093" s="2"/>
      <c r="J1093" s="2"/>
      <c r="M1093" s="2"/>
    </row>
    <row r="1094" spans="1:13" x14ac:dyDescent="0.25">
      <c r="A1094" s="2"/>
      <c r="D1094" s="2"/>
      <c r="G1094" s="2"/>
      <c r="J1094" s="2"/>
      <c r="M1094" s="2"/>
    </row>
    <row r="1095" spans="1:13" x14ac:dyDescent="0.25">
      <c r="A1095" s="2"/>
      <c r="D1095" s="2"/>
      <c r="G1095" s="2"/>
      <c r="J1095" s="2"/>
      <c r="M1095" s="2"/>
    </row>
    <row r="1096" spans="1:13" x14ac:dyDescent="0.25">
      <c r="A1096" s="2"/>
      <c r="D1096" s="2"/>
      <c r="G1096" s="2"/>
      <c r="J1096" s="2"/>
      <c r="M1096" s="2"/>
    </row>
    <row r="1097" spans="1:13" x14ac:dyDescent="0.25">
      <c r="A1097" s="2"/>
      <c r="D1097" s="2"/>
      <c r="G1097" s="2"/>
      <c r="J1097" s="2"/>
      <c r="M1097" s="2"/>
    </row>
    <row r="1098" spans="1:13" x14ac:dyDescent="0.25">
      <c r="A1098" s="2"/>
      <c r="D1098" s="2"/>
      <c r="G1098" s="2"/>
      <c r="J1098" s="2"/>
      <c r="M1098" s="2"/>
    </row>
    <row r="1099" spans="1:13" x14ac:dyDescent="0.25">
      <c r="A1099" s="2"/>
      <c r="D1099" s="2"/>
      <c r="G1099" s="2"/>
      <c r="J1099" s="2"/>
      <c r="M1099" s="2"/>
    </row>
    <row r="1100" spans="1:13" x14ac:dyDescent="0.25">
      <c r="A1100" s="2"/>
      <c r="D1100" s="2"/>
      <c r="G1100" s="2"/>
      <c r="J1100" s="2"/>
      <c r="M1100" s="2"/>
    </row>
    <row r="1101" spans="1:13" x14ac:dyDescent="0.25">
      <c r="A1101" s="2"/>
      <c r="D1101" s="2"/>
      <c r="G1101" s="2"/>
      <c r="J1101" s="2"/>
      <c r="M1101" s="2"/>
    </row>
    <row r="1102" spans="1:13" x14ac:dyDescent="0.25">
      <c r="A1102" s="2"/>
      <c r="D1102" s="2"/>
      <c r="G1102" s="2"/>
      <c r="J1102" s="2"/>
      <c r="M1102" s="2"/>
    </row>
    <row r="1103" spans="1:13" x14ac:dyDescent="0.25">
      <c r="A1103" s="2"/>
      <c r="D1103" s="2"/>
      <c r="G1103" s="2"/>
      <c r="J1103" s="2"/>
      <c r="M1103" s="2"/>
    </row>
    <row r="1104" spans="1:13" x14ac:dyDescent="0.25">
      <c r="A1104" s="2"/>
      <c r="D1104" s="2"/>
      <c r="G1104" s="2"/>
      <c r="J1104" s="2"/>
      <c r="M1104" s="2"/>
    </row>
    <row r="1105" spans="1:13" x14ac:dyDescent="0.25">
      <c r="A1105" s="2"/>
      <c r="D1105" s="2"/>
      <c r="G1105" s="2"/>
      <c r="J1105" s="2"/>
      <c r="M1105" s="2"/>
    </row>
    <row r="1106" spans="1:13" x14ac:dyDescent="0.25">
      <c r="A1106" s="2"/>
      <c r="D1106" s="2"/>
      <c r="G1106" s="2"/>
      <c r="J1106" s="2"/>
      <c r="M1106" s="2"/>
    </row>
    <row r="1107" spans="1:13" x14ac:dyDescent="0.25">
      <c r="A1107" s="2"/>
      <c r="D1107" s="2"/>
      <c r="G1107" s="2"/>
      <c r="J1107" s="2"/>
      <c r="M1107" s="2"/>
    </row>
    <row r="1108" spans="1:13" x14ac:dyDescent="0.25">
      <c r="A1108" s="2"/>
      <c r="D1108" s="2"/>
      <c r="G1108" s="2"/>
      <c r="J1108" s="2"/>
      <c r="M1108" s="2"/>
    </row>
    <row r="1109" spans="1:13" x14ac:dyDescent="0.25">
      <c r="A1109" s="2"/>
      <c r="D1109" s="2"/>
      <c r="G1109" s="2"/>
      <c r="J1109" s="2"/>
      <c r="M1109" s="2"/>
    </row>
    <row r="1110" spans="1:13" x14ac:dyDescent="0.25">
      <c r="A1110" s="2"/>
      <c r="D1110" s="2"/>
      <c r="G1110" s="2"/>
      <c r="J1110" s="2"/>
      <c r="M1110" s="2"/>
    </row>
    <row r="1111" spans="1:13" x14ac:dyDescent="0.25">
      <c r="A1111" s="2"/>
      <c r="D1111" s="2"/>
      <c r="G1111" s="2"/>
      <c r="J1111" s="2"/>
      <c r="M1111" s="2"/>
    </row>
    <row r="1112" spans="1:13" x14ac:dyDescent="0.25">
      <c r="A1112" s="2"/>
      <c r="D1112" s="2"/>
      <c r="G1112" s="2"/>
      <c r="J1112" s="2"/>
      <c r="M1112" s="2"/>
    </row>
    <row r="1113" spans="1:13" x14ac:dyDescent="0.25">
      <c r="A1113" s="2"/>
      <c r="D1113" s="2"/>
      <c r="G1113" s="2"/>
      <c r="J1113" s="2"/>
      <c r="M1113" s="2"/>
    </row>
    <row r="1114" spans="1:13" x14ac:dyDescent="0.25">
      <c r="A1114" s="2"/>
      <c r="D1114" s="2"/>
      <c r="G1114" s="2"/>
      <c r="J1114" s="2"/>
      <c r="M1114" s="2"/>
    </row>
    <row r="1115" spans="1:13" x14ac:dyDescent="0.25">
      <c r="A1115" s="2"/>
      <c r="D1115" s="2"/>
      <c r="G1115" s="2"/>
      <c r="J1115" s="2"/>
      <c r="M1115" s="2"/>
    </row>
    <row r="1116" spans="1:13" x14ac:dyDescent="0.25">
      <c r="A1116" s="2"/>
      <c r="D1116" s="2"/>
      <c r="G1116" s="2"/>
      <c r="J1116" s="2"/>
      <c r="M1116" s="2"/>
    </row>
    <row r="1117" spans="1:13" x14ac:dyDescent="0.25">
      <c r="A1117" s="2"/>
      <c r="D1117" s="2"/>
      <c r="G1117" s="2"/>
      <c r="J1117" s="2"/>
      <c r="M1117" s="2"/>
    </row>
    <row r="1118" spans="1:13" x14ac:dyDescent="0.25">
      <c r="A1118" s="2"/>
      <c r="D1118" s="2"/>
      <c r="G1118" s="2"/>
      <c r="J1118" s="2"/>
      <c r="M1118" s="2"/>
    </row>
    <row r="1119" spans="1:13" x14ac:dyDescent="0.25">
      <c r="A1119" s="2"/>
      <c r="D1119" s="2"/>
      <c r="G1119" s="2"/>
      <c r="J1119" s="2"/>
      <c r="M1119" s="2"/>
    </row>
    <row r="1120" spans="1:13" x14ac:dyDescent="0.25">
      <c r="A1120" s="2"/>
      <c r="D1120" s="2"/>
      <c r="G1120" s="2"/>
      <c r="J1120" s="2"/>
      <c r="M1120" s="2"/>
    </row>
    <row r="1121" spans="1:13" x14ac:dyDescent="0.25">
      <c r="A1121" s="2"/>
      <c r="D1121" s="2"/>
      <c r="G1121" s="2"/>
      <c r="J1121" s="2"/>
      <c r="M1121" s="2"/>
    </row>
    <row r="1122" spans="1:13" x14ac:dyDescent="0.25">
      <c r="A1122" s="2"/>
      <c r="D1122" s="2"/>
      <c r="G1122" s="2"/>
      <c r="J1122" s="2"/>
      <c r="M1122" s="2"/>
    </row>
    <row r="1123" spans="1:13" x14ac:dyDescent="0.25">
      <c r="A1123" s="2"/>
      <c r="D1123" s="2"/>
      <c r="G1123" s="2"/>
      <c r="J1123" s="2"/>
      <c r="M1123" s="2"/>
    </row>
    <row r="1124" spans="1:13" x14ac:dyDescent="0.25">
      <c r="A1124" s="2"/>
      <c r="D1124" s="2"/>
      <c r="G1124" s="2"/>
      <c r="J1124" s="2"/>
      <c r="M1124" s="2"/>
    </row>
    <row r="1125" spans="1:13" x14ac:dyDescent="0.25">
      <c r="A1125" s="2"/>
      <c r="D1125" s="2"/>
      <c r="G1125" s="2"/>
      <c r="J1125" s="2"/>
      <c r="M1125" s="2"/>
    </row>
    <row r="1126" spans="1:13" x14ac:dyDescent="0.25">
      <c r="A1126" s="2"/>
      <c r="D1126" s="2"/>
      <c r="G1126" s="2"/>
      <c r="J1126" s="2"/>
      <c r="M1126" s="2"/>
    </row>
    <row r="1127" spans="1:13" x14ac:dyDescent="0.25">
      <c r="A1127" s="2"/>
      <c r="D1127" s="2"/>
      <c r="G1127" s="2"/>
      <c r="J1127" s="2"/>
      <c r="M1127" s="2"/>
    </row>
    <row r="1128" spans="1:13" x14ac:dyDescent="0.25">
      <c r="A1128" s="2"/>
      <c r="D1128" s="2"/>
      <c r="G1128" s="2"/>
      <c r="J1128" s="2"/>
      <c r="M1128" s="2"/>
    </row>
    <row r="1129" spans="1:13" x14ac:dyDescent="0.25">
      <c r="A1129" s="2"/>
      <c r="D1129" s="2"/>
      <c r="G1129" s="2"/>
      <c r="J1129" s="2"/>
      <c r="M1129" s="2"/>
    </row>
    <row r="1130" spans="1:13" x14ac:dyDescent="0.25">
      <c r="A1130" s="2"/>
      <c r="D1130" s="2"/>
      <c r="G1130" s="2"/>
      <c r="J1130" s="2"/>
      <c r="M1130" s="2"/>
    </row>
    <row r="1131" spans="1:13" x14ac:dyDescent="0.25">
      <c r="A1131" s="2"/>
      <c r="D1131" s="2"/>
      <c r="G1131" s="2"/>
      <c r="J1131" s="2"/>
      <c r="M1131" s="2"/>
    </row>
    <row r="1132" spans="1:13" x14ac:dyDescent="0.25">
      <c r="A1132" s="2"/>
      <c r="D1132" s="2"/>
      <c r="G1132" s="2"/>
      <c r="J1132" s="2"/>
      <c r="M1132" s="2"/>
    </row>
    <row r="1133" spans="1:13" x14ac:dyDescent="0.25">
      <c r="A1133" s="2"/>
      <c r="D1133" s="2"/>
      <c r="G1133" s="2"/>
      <c r="J1133" s="2"/>
      <c r="M1133" s="2"/>
    </row>
    <row r="1134" spans="1:13" x14ac:dyDescent="0.25">
      <c r="A1134" s="2"/>
      <c r="D1134" s="2"/>
      <c r="G1134" s="2"/>
      <c r="J1134" s="2"/>
      <c r="M1134" s="2"/>
    </row>
    <row r="1135" spans="1:13" x14ac:dyDescent="0.25">
      <c r="A1135" s="2"/>
      <c r="D1135" s="2"/>
      <c r="G1135" s="2"/>
      <c r="J1135" s="2"/>
      <c r="M1135" s="2"/>
    </row>
    <row r="1136" spans="1:13" x14ac:dyDescent="0.25">
      <c r="A1136" s="2"/>
      <c r="D1136" s="2"/>
      <c r="G1136" s="2"/>
      <c r="J1136" s="2"/>
      <c r="M1136" s="2"/>
    </row>
    <row r="1137" spans="1:13" x14ac:dyDescent="0.25">
      <c r="A1137" s="2"/>
      <c r="D1137" s="2"/>
      <c r="G1137" s="2"/>
      <c r="J1137" s="2"/>
      <c r="M1137" s="2"/>
    </row>
    <row r="1138" spans="1:13" x14ac:dyDescent="0.25">
      <c r="A1138" s="2"/>
      <c r="D1138" s="2"/>
      <c r="G1138" s="2"/>
      <c r="J1138" s="2"/>
      <c r="M1138" s="2"/>
    </row>
    <row r="1139" spans="1:13" x14ac:dyDescent="0.25">
      <c r="A1139" s="2"/>
      <c r="D1139" s="2"/>
      <c r="G1139" s="2"/>
      <c r="J1139" s="2"/>
      <c r="M1139" s="2"/>
    </row>
    <row r="1140" spans="1:13" x14ac:dyDescent="0.25">
      <c r="A1140" s="2"/>
      <c r="D1140" s="2"/>
      <c r="G1140" s="2"/>
      <c r="J1140" s="2"/>
      <c r="M1140" s="2"/>
    </row>
    <row r="1141" spans="1:13" x14ac:dyDescent="0.25">
      <c r="A1141" s="2"/>
      <c r="D1141" s="2"/>
      <c r="G1141" s="2"/>
      <c r="J1141" s="2"/>
      <c r="M1141" s="2"/>
    </row>
    <row r="1142" spans="1:13" x14ac:dyDescent="0.25">
      <c r="A1142" s="2"/>
      <c r="D1142" s="2"/>
      <c r="G1142" s="2"/>
      <c r="J1142" s="2"/>
      <c r="M1142" s="2"/>
    </row>
    <row r="1143" spans="1:13" x14ac:dyDescent="0.25">
      <c r="A1143" s="2"/>
      <c r="D1143" s="2"/>
      <c r="G1143" s="2"/>
      <c r="J1143" s="2"/>
      <c r="M1143" s="2"/>
    </row>
    <row r="1144" spans="1:13" x14ac:dyDescent="0.25">
      <c r="A1144" s="2"/>
      <c r="D1144" s="2"/>
      <c r="G1144" s="2"/>
      <c r="J1144" s="2"/>
      <c r="M1144" s="2"/>
    </row>
    <row r="1145" spans="1:13" x14ac:dyDescent="0.25">
      <c r="A1145" s="2"/>
      <c r="D1145" s="2"/>
      <c r="G1145" s="2"/>
      <c r="J1145" s="2"/>
      <c r="M1145" s="2"/>
    </row>
    <row r="1146" spans="1:13" x14ac:dyDescent="0.25">
      <c r="A1146" s="2"/>
      <c r="D1146" s="2"/>
      <c r="G1146" s="2"/>
      <c r="J1146" s="2"/>
      <c r="M1146" s="2"/>
    </row>
    <row r="1147" spans="1:13" x14ac:dyDescent="0.25">
      <c r="A1147" s="2"/>
      <c r="D1147" s="2"/>
      <c r="G1147" s="2"/>
      <c r="J1147" s="2"/>
      <c r="M1147" s="2"/>
    </row>
    <row r="1148" spans="1:13" x14ac:dyDescent="0.25">
      <c r="A1148" s="2"/>
      <c r="D1148" s="2"/>
      <c r="G1148" s="2"/>
      <c r="J1148" s="2"/>
      <c r="M1148" s="2"/>
    </row>
    <row r="1149" spans="1:13" x14ac:dyDescent="0.25">
      <c r="A1149" s="2"/>
      <c r="D1149" s="2"/>
      <c r="G1149" s="2"/>
      <c r="J1149" s="2"/>
      <c r="M1149" s="2"/>
    </row>
    <row r="1150" spans="1:13" x14ac:dyDescent="0.25">
      <c r="A1150" s="2"/>
      <c r="D1150" s="2"/>
      <c r="G1150" s="2"/>
      <c r="J1150" s="2"/>
      <c r="M1150" s="2"/>
    </row>
    <row r="1151" spans="1:13" x14ac:dyDescent="0.25">
      <c r="A1151" s="2"/>
      <c r="D1151" s="2"/>
      <c r="G1151" s="2"/>
      <c r="J1151" s="2"/>
      <c r="M1151" s="2"/>
    </row>
    <row r="1152" spans="1:13" x14ac:dyDescent="0.25">
      <c r="A1152" s="2"/>
      <c r="D1152" s="2"/>
      <c r="G1152" s="2"/>
      <c r="J1152" s="2"/>
      <c r="M1152" s="2"/>
    </row>
    <row r="1153" spans="1:13" x14ac:dyDescent="0.25">
      <c r="A1153" s="2"/>
      <c r="D1153" s="2"/>
      <c r="G1153" s="2"/>
      <c r="J1153" s="2"/>
      <c r="M1153" s="2"/>
    </row>
    <row r="1154" spans="1:13" x14ac:dyDescent="0.25">
      <c r="A1154" s="2"/>
      <c r="D1154" s="2"/>
      <c r="G1154" s="2"/>
      <c r="J1154" s="2"/>
      <c r="M1154" s="2"/>
    </row>
    <row r="1155" spans="1:13" x14ac:dyDescent="0.25">
      <c r="A1155" s="2"/>
      <c r="D1155" s="2"/>
      <c r="G1155" s="2"/>
      <c r="J1155" s="2"/>
      <c r="M1155" s="2"/>
    </row>
    <row r="1156" spans="1:13" x14ac:dyDescent="0.25">
      <c r="A1156" s="2"/>
      <c r="D1156" s="2"/>
      <c r="G1156" s="2"/>
      <c r="J1156" s="2"/>
      <c r="M1156" s="2"/>
    </row>
    <row r="1157" spans="1:13" x14ac:dyDescent="0.25">
      <c r="A1157" s="2"/>
      <c r="D1157" s="2"/>
      <c r="G1157" s="2"/>
      <c r="J1157" s="2"/>
      <c r="M1157" s="2"/>
    </row>
    <row r="1158" spans="1:13" x14ac:dyDescent="0.25">
      <c r="A1158" s="2"/>
      <c r="D1158" s="2"/>
      <c r="G1158" s="2"/>
      <c r="J1158" s="2"/>
      <c r="M1158" s="2"/>
    </row>
    <row r="1159" spans="1:13" x14ac:dyDescent="0.25">
      <c r="A1159" s="2"/>
      <c r="D1159" s="2"/>
      <c r="G1159" s="2"/>
      <c r="J1159" s="2"/>
      <c r="M1159" s="2"/>
    </row>
    <row r="1160" spans="1:13" x14ac:dyDescent="0.25">
      <c r="A1160" s="2"/>
      <c r="D1160" s="2"/>
      <c r="G1160" s="2"/>
      <c r="J1160" s="2"/>
      <c r="M1160" s="2"/>
    </row>
    <row r="1161" spans="1:13" x14ac:dyDescent="0.25">
      <c r="A1161" s="2"/>
      <c r="D1161" s="2"/>
      <c r="G1161" s="2"/>
      <c r="J1161" s="2"/>
      <c r="M1161" s="2"/>
    </row>
    <row r="1162" spans="1:13" x14ac:dyDescent="0.25">
      <c r="A1162" s="2"/>
      <c r="D1162" s="2"/>
      <c r="G1162" s="2"/>
      <c r="J1162" s="2"/>
      <c r="M1162" s="2"/>
    </row>
    <row r="1163" spans="1:13" x14ac:dyDescent="0.25">
      <c r="A1163" s="2"/>
      <c r="D1163" s="2"/>
      <c r="G1163" s="2"/>
      <c r="J1163" s="2"/>
      <c r="M1163" s="2"/>
    </row>
    <row r="1164" spans="1:13" x14ac:dyDescent="0.25">
      <c r="A1164" s="2"/>
      <c r="D1164" s="2"/>
      <c r="G1164" s="2"/>
      <c r="J1164" s="2"/>
      <c r="M1164" s="2"/>
    </row>
    <row r="1165" spans="1:13" x14ac:dyDescent="0.25">
      <c r="A1165" s="2"/>
      <c r="D1165" s="2"/>
      <c r="G1165" s="2"/>
      <c r="J1165" s="2"/>
      <c r="M1165" s="2"/>
    </row>
    <row r="1166" spans="1:13" x14ac:dyDescent="0.25">
      <c r="A1166" s="2"/>
      <c r="D1166" s="2"/>
      <c r="G1166" s="2"/>
      <c r="J1166" s="2"/>
      <c r="M1166" s="2"/>
    </row>
    <row r="1167" spans="1:13" x14ac:dyDescent="0.25">
      <c r="A1167" s="2"/>
      <c r="D1167" s="2"/>
      <c r="G1167" s="2"/>
      <c r="J1167" s="2"/>
      <c r="M1167" s="2"/>
    </row>
    <row r="1168" spans="1:13" x14ac:dyDescent="0.25">
      <c r="A1168" s="2"/>
      <c r="D1168" s="2"/>
      <c r="G1168" s="2"/>
      <c r="J1168" s="2"/>
      <c r="M1168" s="2"/>
    </row>
    <row r="1169" spans="1:13" x14ac:dyDescent="0.25">
      <c r="A1169" s="2"/>
      <c r="D1169" s="2"/>
      <c r="G1169" s="2"/>
      <c r="J1169" s="2"/>
      <c r="M1169" s="2"/>
    </row>
    <row r="1170" spans="1:13" x14ac:dyDescent="0.25">
      <c r="A1170" s="2"/>
      <c r="D1170" s="2"/>
      <c r="G1170" s="2"/>
      <c r="J1170" s="2"/>
      <c r="M1170" s="2"/>
    </row>
    <row r="1171" spans="1:13" x14ac:dyDescent="0.25">
      <c r="A1171" s="2"/>
      <c r="D1171" s="2"/>
      <c r="G1171" s="2"/>
      <c r="J1171" s="2"/>
      <c r="M1171" s="2"/>
    </row>
    <row r="1172" spans="1:13" x14ac:dyDescent="0.25">
      <c r="A1172" s="2"/>
      <c r="D1172" s="2"/>
      <c r="G1172" s="2"/>
      <c r="J1172" s="2"/>
      <c r="M1172" s="2"/>
    </row>
    <row r="1173" spans="1:13" x14ac:dyDescent="0.25">
      <c r="A1173" s="2"/>
      <c r="D1173" s="2"/>
      <c r="G1173" s="2"/>
      <c r="J1173" s="2"/>
      <c r="M1173" s="2"/>
    </row>
    <row r="1174" spans="1:13" x14ac:dyDescent="0.25">
      <c r="A1174" s="2"/>
      <c r="D1174" s="2"/>
      <c r="G1174" s="2"/>
      <c r="J1174" s="2"/>
      <c r="M1174" s="2"/>
    </row>
    <row r="1175" spans="1:13" x14ac:dyDescent="0.25">
      <c r="A1175" s="2"/>
      <c r="D1175" s="2"/>
      <c r="G1175" s="2"/>
      <c r="J1175" s="2"/>
      <c r="M1175" s="2"/>
    </row>
    <row r="1176" spans="1:13" x14ac:dyDescent="0.25">
      <c r="A1176" s="2"/>
      <c r="D1176" s="2"/>
      <c r="G1176" s="2"/>
      <c r="J1176" s="2"/>
      <c r="M1176" s="2"/>
    </row>
    <row r="1177" spans="1:13" x14ac:dyDescent="0.25">
      <c r="A1177" s="2"/>
      <c r="D1177" s="2"/>
      <c r="G1177" s="2"/>
      <c r="J1177" s="2"/>
      <c r="M1177" s="2"/>
    </row>
    <row r="1178" spans="1:13" x14ac:dyDescent="0.25">
      <c r="A1178" s="2"/>
      <c r="D1178" s="2"/>
      <c r="G1178" s="2"/>
      <c r="J1178" s="2"/>
      <c r="M1178" s="2"/>
    </row>
    <row r="1179" spans="1:13" x14ac:dyDescent="0.25">
      <c r="A1179" s="2"/>
      <c r="D1179" s="2"/>
      <c r="G1179" s="2"/>
      <c r="J1179" s="2"/>
      <c r="M1179" s="2"/>
    </row>
    <row r="1180" spans="1:13" x14ac:dyDescent="0.25">
      <c r="A1180" s="2"/>
      <c r="D1180" s="2"/>
      <c r="G1180" s="2"/>
      <c r="J1180" s="2"/>
      <c r="M1180" s="2"/>
    </row>
    <row r="1181" spans="1:13" x14ac:dyDescent="0.25">
      <c r="A1181" s="2"/>
      <c r="D1181" s="2"/>
      <c r="G1181" s="2"/>
      <c r="J1181" s="2"/>
      <c r="M1181" s="2"/>
    </row>
    <row r="1182" spans="1:13" x14ac:dyDescent="0.25">
      <c r="A1182" s="2"/>
      <c r="D1182" s="2"/>
      <c r="G1182" s="2"/>
      <c r="J1182" s="2"/>
      <c r="M1182" s="2"/>
    </row>
    <row r="1183" spans="1:13" x14ac:dyDescent="0.25">
      <c r="A1183" s="2"/>
      <c r="D1183" s="2"/>
      <c r="G1183" s="2"/>
      <c r="J1183" s="2"/>
      <c r="M1183" s="2"/>
    </row>
    <row r="1184" spans="1:13" x14ac:dyDescent="0.25">
      <c r="A1184" s="2"/>
      <c r="D1184" s="2"/>
      <c r="G1184" s="2"/>
      <c r="J1184" s="2"/>
      <c r="M1184" s="2"/>
    </row>
    <row r="1185" spans="1:13" x14ac:dyDescent="0.25">
      <c r="A1185" s="2"/>
      <c r="D1185" s="2"/>
      <c r="G1185" s="2"/>
      <c r="J1185" s="2"/>
      <c r="M1185" s="2"/>
    </row>
    <row r="1186" spans="1:13" x14ac:dyDescent="0.25">
      <c r="A1186" s="2"/>
      <c r="D1186" s="2"/>
      <c r="G1186" s="2"/>
      <c r="J1186" s="2"/>
      <c r="M1186" s="2"/>
    </row>
    <row r="1187" spans="1:13" x14ac:dyDescent="0.25">
      <c r="A1187" s="2"/>
      <c r="D1187" s="2"/>
      <c r="G1187" s="2"/>
      <c r="J1187" s="2"/>
      <c r="M1187" s="2"/>
    </row>
    <row r="1188" spans="1:13" x14ac:dyDescent="0.25">
      <c r="A1188" s="2"/>
      <c r="D1188" s="2"/>
      <c r="G1188" s="2"/>
      <c r="J1188" s="2"/>
      <c r="M1188" s="2"/>
    </row>
    <row r="1189" spans="1:13" x14ac:dyDescent="0.25">
      <c r="A1189" s="2"/>
      <c r="D1189" s="2"/>
      <c r="G1189" s="2"/>
      <c r="J1189" s="2"/>
      <c r="M1189" s="2"/>
    </row>
    <row r="1190" spans="1:13" x14ac:dyDescent="0.25">
      <c r="A1190" s="2"/>
      <c r="D1190" s="2"/>
      <c r="G1190" s="2"/>
      <c r="J1190" s="2"/>
      <c r="M1190" s="2"/>
    </row>
    <row r="1191" spans="1:13" x14ac:dyDescent="0.25">
      <c r="A1191" s="2"/>
      <c r="D1191" s="2"/>
      <c r="G1191" s="2"/>
      <c r="J1191" s="2"/>
      <c r="M1191" s="2"/>
    </row>
    <row r="1192" spans="1:13" x14ac:dyDescent="0.25">
      <c r="A1192" s="2"/>
      <c r="D1192" s="2"/>
      <c r="G1192" s="2"/>
      <c r="J1192" s="2"/>
      <c r="M1192" s="2"/>
    </row>
    <row r="1193" spans="1:13" x14ac:dyDescent="0.25">
      <c r="A1193" s="2"/>
      <c r="D1193" s="2"/>
      <c r="G1193" s="2"/>
      <c r="J1193" s="2"/>
      <c r="M1193" s="2"/>
    </row>
    <row r="1194" spans="1:13" x14ac:dyDescent="0.25">
      <c r="A1194" s="2"/>
      <c r="D1194" s="2"/>
      <c r="G1194" s="2"/>
      <c r="J1194" s="2"/>
      <c r="M1194" s="2"/>
    </row>
    <row r="1195" spans="1:13" x14ac:dyDescent="0.25">
      <c r="A1195" s="2"/>
      <c r="D1195" s="2"/>
      <c r="G1195" s="2"/>
      <c r="J1195" s="2"/>
      <c r="M1195" s="2"/>
    </row>
    <row r="1196" spans="1:13" x14ac:dyDescent="0.25">
      <c r="A1196" s="2"/>
      <c r="D1196" s="2"/>
      <c r="G1196" s="2"/>
      <c r="J1196" s="2"/>
      <c r="M1196" s="2"/>
    </row>
    <row r="1197" spans="1:13" x14ac:dyDescent="0.25">
      <c r="A1197" s="2"/>
      <c r="D1197" s="2"/>
      <c r="G1197" s="2"/>
      <c r="J1197" s="2"/>
      <c r="M1197" s="2"/>
    </row>
    <row r="1198" spans="1:13" x14ac:dyDescent="0.25">
      <c r="A1198" s="2"/>
      <c r="D1198" s="2"/>
      <c r="G1198" s="2"/>
      <c r="J1198" s="2"/>
      <c r="M1198" s="2"/>
    </row>
    <row r="1199" spans="1:13" x14ac:dyDescent="0.25">
      <c r="A1199" s="2"/>
      <c r="D1199" s="2"/>
      <c r="G1199" s="2"/>
      <c r="J1199" s="2"/>
      <c r="M1199" s="2"/>
    </row>
    <row r="1200" spans="1:13" x14ac:dyDescent="0.25">
      <c r="A1200" s="2"/>
      <c r="D1200" s="2"/>
      <c r="G1200" s="2"/>
      <c r="J1200" s="2"/>
      <c r="M1200" s="2"/>
    </row>
    <row r="1201" spans="1:13" x14ac:dyDescent="0.25">
      <c r="A1201" s="2"/>
      <c r="D1201" s="2"/>
      <c r="G1201" s="2"/>
      <c r="J1201" s="2"/>
      <c r="M1201" s="2"/>
    </row>
    <row r="1202" spans="1:13" x14ac:dyDescent="0.25">
      <c r="A1202" s="2"/>
      <c r="D1202" s="2"/>
      <c r="G1202" s="2"/>
      <c r="J1202" s="2"/>
      <c r="M1202" s="2"/>
    </row>
    <row r="1203" spans="1:13" x14ac:dyDescent="0.25">
      <c r="A1203" s="2"/>
      <c r="D1203" s="2"/>
      <c r="G1203" s="2"/>
      <c r="J1203" s="2"/>
      <c r="M1203" s="2"/>
    </row>
    <row r="1204" spans="1:13" x14ac:dyDescent="0.25">
      <c r="A1204" s="2"/>
      <c r="D1204" s="2"/>
      <c r="G1204" s="2"/>
      <c r="J1204" s="2"/>
      <c r="M1204" s="2"/>
    </row>
    <row r="1205" spans="1:13" x14ac:dyDescent="0.25">
      <c r="A1205" s="2"/>
      <c r="D1205" s="2"/>
      <c r="G1205" s="2"/>
      <c r="J1205" s="2"/>
      <c r="M1205" s="2"/>
    </row>
    <row r="1206" spans="1:13" x14ac:dyDescent="0.25">
      <c r="A1206" s="2"/>
      <c r="D1206" s="2"/>
      <c r="G1206" s="2"/>
      <c r="J1206" s="2"/>
      <c r="M1206" s="2"/>
    </row>
    <row r="1207" spans="1:13" x14ac:dyDescent="0.25">
      <c r="A1207" s="2"/>
      <c r="D1207" s="2"/>
      <c r="G1207" s="2"/>
      <c r="J1207" s="2"/>
      <c r="M1207" s="2"/>
    </row>
    <row r="1208" spans="1:13" x14ac:dyDescent="0.25">
      <c r="A1208" s="2"/>
      <c r="D1208" s="2"/>
      <c r="G1208" s="2"/>
      <c r="J1208" s="2"/>
      <c r="M1208" s="2"/>
    </row>
    <row r="1209" spans="1:13" x14ac:dyDescent="0.25">
      <c r="A1209" s="2"/>
      <c r="D1209" s="2"/>
      <c r="G1209" s="2"/>
      <c r="J1209" s="2"/>
      <c r="M1209" s="2"/>
    </row>
    <row r="1210" spans="1:13" x14ac:dyDescent="0.25">
      <c r="A1210" s="2"/>
      <c r="D1210" s="2"/>
      <c r="G1210" s="2"/>
      <c r="J1210" s="2"/>
      <c r="M1210" s="2"/>
    </row>
    <row r="1211" spans="1:13" x14ac:dyDescent="0.25">
      <c r="A1211" s="2"/>
      <c r="D1211" s="2"/>
      <c r="G1211" s="2"/>
      <c r="J1211" s="2"/>
      <c r="M1211" s="2"/>
    </row>
    <row r="1212" spans="1:13" x14ac:dyDescent="0.25">
      <c r="A1212" s="2"/>
      <c r="D1212" s="2"/>
      <c r="G1212" s="2"/>
      <c r="J1212" s="2"/>
      <c r="M1212" s="2"/>
    </row>
    <row r="1213" spans="1:13" x14ac:dyDescent="0.25">
      <c r="A1213" s="2"/>
      <c r="D1213" s="2"/>
      <c r="G1213" s="2"/>
      <c r="J1213" s="2"/>
      <c r="M1213" s="2"/>
    </row>
    <row r="1214" spans="1:13" x14ac:dyDescent="0.25">
      <c r="A1214" s="2"/>
      <c r="D1214" s="2"/>
      <c r="G1214" s="2"/>
      <c r="J1214" s="2"/>
      <c r="M1214" s="2"/>
    </row>
    <row r="1215" spans="1:13" x14ac:dyDescent="0.25">
      <c r="A1215" s="2"/>
      <c r="D1215" s="2"/>
      <c r="G1215" s="2"/>
      <c r="J1215" s="2"/>
      <c r="M1215" s="2"/>
    </row>
    <row r="1216" spans="1:13" x14ac:dyDescent="0.25">
      <c r="A1216" s="2"/>
      <c r="D1216" s="2"/>
      <c r="G1216" s="2"/>
      <c r="J1216" s="2"/>
      <c r="M1216" s="2"/>
    </row>
    <row r="1217" spans="1:13" x14ac:dyDescent="0.25">
      <c r="A1217" s="2"/>
      <c r="D1217" s="2"/>
      <c r="G1217" s="2"/>
      <c r="J1217" s="2"/>
      <c r="M1217" s="2"/>
    </row>
    <row r="1218" spans="1:13" x14ac:dyDescent="0.25">
      <c r="A1218" s="2"/>
      <c r="D1218" s="2"/>
      <c r="G1218" s="2"/>
      <c r="J1218" s="2"/>
      <c r="M1218" s="2"/>
    </row>
    <row r="1219" spans="1:13" x14ac:dyDescent="0.25">
      <c r="A1219" s="2"/>
      <c r="D1219" s="2"/>
      <c r="G1219" s="2"/>
      <c r="J1219" s="2"/>
      <c r="M1219" s="2"/>
    </row>
    <row r="1220" spans="1:13" x14ac:dyDescent="0.25">
      <c r="A1220" s="2"/>
      <c r="D1220" s="2"/>
      <c r="G1220" s="2"/>
      <c r="J1220" s="2"/>
      <c r="M1220" s="2"/>
    </row>
    <row r="1221" spans="1:13" x14ac:dyDescent="0.25">
      <c r="A1221" s="2"/>
      <c r="D1221" s="2"/>
      <c r="G1221" s="2"/>
      <c r="J1221" s="2"/>
      <c r="M1221" s="2"/>
    </row>
    <row r="1222" spans="1:13" x14ac:dyDescent="0.25">
      <c r="A1222" s="2"/>
      <c r="D1222" s="2"/>
      <c r="G1222" s="2"/>
      <c r="J1222" s="2"/>
      <c r="M1222" s="2"/>
    </row>
    <row r="1223" spans="1:13" x14ac:dyDescent="0.25">
      <c r="A1223" s="2"/>
      <c r="D1223" s="2"/>
      <c r="G1223" s="2"/>
      <c r="J1223" s="2"/>
      <c r="M1223" s="2"/>
    </row>
    <row r="1224" spans="1:13" x14ac:dyDescent="0.25">
      <c r="A1224" s="2"/>
      <c r="D1224" s="2"/>
      <c r="G1224" s="2"/>
      <c r="J1224" s="2"/>
      <c r="M1224" s="2"/>
    </row>
    <row r="1225" spans="1:13" x14ac:dyDescent="0.25">
      <c r="A1225" s="2"/>
      <c r="D1225" s="2"/>
      <c r="G1225" s="2"/>
      <c r="J1225" s="2"/>
      <c r="M1225" s="2"/>
    </row>
    <row r="1226" spans="1:13" x14ac:dyDescent="0.25">
      <c r="A1226" s="2"/>
      <c r="D1226" s="2"/>
      <c r="G1226" s="2"/>
      <c r="J1226" s="2"/>
      <c r="M1226" s="2"/>
    </row>
    <row r="1227" spans="1:13" x14ac:dyDescent="0.25">
      <c r="A1227" s="2"/>
      <c r="D1227" s="2"/>
      <c r="G1227" s="2"/>
      <c r="J1227" s="2"/>
      <c r="M1227" s="2"/>
    </row>
    <row r="1228" spans="1:13" x14ac:dyDescent="0.25">
      <c r="A1228" s="2"/>
      <c r="D1228" s="2"/>
      <c r="G1228" s="2"/>
      <c r="J1228" s="2"/>
      <c r="M1228" s="2"/>
    </row>
    <row r="1229" spans="1:13" x14ac:dyDescent="0.25">
      <c r="A1229" s="2"/>
      <c r="D1229" s="2"/>
      <c r="G1229" s="2"/>
      <c r="J1229" s="2"/>
      <c r="M1229" s="2"/>
    </row>
    <row r="1230" spans="1:13" x14ac:dyDescent="0.25">
      <c r="A1230" s="2"/>
      <c r="D1230" s="2"/>
      <c r="G1230" s="2"/>
      <c r="J1230" s="2"/>
      <c r="M1230" s="2"/>
    </row>
    <row r="1231" spans="1:13" x14ac:dyDescent="0.25">
      <c r="A1231" s="2"/>
      <c r="D1231" s="2"/>
      <c r="G1231" s="2"/>
      <c r="J1231" s="2"/>
      <c r="M1231" s="2"/>
    </row>
    <row r="1232" spans="1:13" x14ac:dyDescent="0.25">
      <c r="A1232" s="2"/>
      <c r="D1232" s="2"/>
      <c r="G1232" s="2"/>
      <c r="J1232" s="2"/>
      <c r="M1232" s="2"/>
    </row>
    <row r="1233" spans="1:13" x14ac:dyDescent="0.25">
      <c r="A1233" s="2"/>
      <c r="D1233" s="2"/>
      <c r="G1233" s="2"/>
      <c r="J1233" s="2"/>
      <c r="M1233" s="2"/>
    </row>
    <row r="1234" spans="1:13" x14ac:dyDescent="0.25">
      <c r="A1234" s="2"/>
      <c r="D1234" s="2"/>
      <c r="G1234" s="2"/>
      <c r="J1234" s="2"/>
      <c r="M1234" s="2"/>
    </row>
    <row r="1235" spans="1:13" x14ac:dyDescent="0.25">
      <c r="A1235" s="2"/>
      <c r="D1235" s="2"/>
      <c r="G1235" s="2"/>
      <c r="J1235" s="2"/>
      <c r="M1235" s="2"/>
    </row>
    <row r="1236" spans="1:13" x14ac:dyDescent="0.25">
      <c r="A1236" s="2"/>
      <c r="D1236" s="2"/>
      <c r="G1236" s="2"/>
      <c r="J1236" s="2"/>
      <c r="M1236" s="2"/>
    </row>
    <row r="1237" spans="1:13" x14ac:dyDescent="0.25">
      <c r="A1237" s="2"/>
      <c r="D1237" s="2"/>
      <c r="G1237" s="2"/>
      <c r="J1237" s="2"/>
      <c r="M1237" s="2"/>
    </row>
    <row r="1238" spans="1:13" x14ac:dyDescent="0.25">
      <c r="A1238" s="2"/>
      <c r="D1238" s="2"/>
      <c r="G1238" s="2"/>
      <c r="J1238" s="2"/>
      <c r="M1238" s="2"/>
    </row>
    <row r="1239" spans="1:13" x14ac:dyDescent="0.25">
      <c r="A1239" s="2"/>
      <c r="D1239" s="2"/>
      <c r="G1239" s="2"/>
      <c r="J1239" s="2"/>
      <c r="M1239" s="2"/>
    </row>
    <row r="1240" spans="1:13" x14ac:dyDescent="0.25">
      <c r="A1240" s="2"/>
      <c r="D1240" s="2"/>
      <c r="G1240" s="2"/>
      <c r="J1240" s="2"/>
      <c r="M1240" s="2"/>
    </row>
    <row r="1241" spans="1:13" x14ac:dyDescent="0.25">
      <c r="A1241" s="2"/>
      <c r="D1241" s="2"/>
      <c r="G1241" s="2"/>
      <c r="J1241" s="2"/>
      <c r="M1241" s="2"/>
    </row>
    <row r="1242" spans="1:13" x14ac:dyDescent="0.25">
      <c r="A1242" s="2"/>
      <c r="D1242" s="2"/>
      <c r="G1242" s="2"/>
      <c r="J1242" s="2"/>
      <c r="M1242" s="2"/>
    </row>
    <row r="1243" spans="1:13" x14ac:dyDescent="0.25">
      <c r="A1243" s="2"/>
      <c r="D1243" s="2"/>
      <c r="G1243" s="2"/>
      <c r="J1243" s="2"/>
      <c r="M1243" s="2"/>
    </row>
    <row r="1244" spans="1:13" x14ac:dyDescent="0.25">
      <c r="A1244" s="2"/>
      <c r="D1244" s="2"/>
      <c r="G1244" s="2"/>
      <c r="J1244" s="2"/>
      <c r="M1244" s="2"/>
    </row>
    <row r="1245" spans="1:13" x14ac:dyDescent="0.25">
      <c r="A1245" s="2"/>
      <c r="D1245" s="2"/>
      <c r="G1245" s="2"/>
      <c r="J1245" s="2"/>
      <c r="M1245" s="2"/>
    </row>
    <row r="1246" spans="1:13" x14ac:dyDescent="0.25">
      <c r="A1246" s="2"/>
      <c r="D1246" s="2"/>
      <c r="G1246" s="2"/>
      <c r="J1246" s="2"/>
      <c r="M1246" s="2"/>
    </row>
    <row r="1247" spans="1:13" x14ac:dyDescent="0.25">
      <c r="A1247" s="2"/>
      <c r="D1247" s="2"/>
      <c r="G1247" s="2"/>
      <c r="J1247" s="2"/>
      <c r="M1247" s="2"/>
    </row>
    <row r="1248" spans="1:13" x14ac:dyDescent="0.25">
      <c r="A1248" s="2"/>
      <c r="D1248" s="2"/>
      <c r="G1248" s="2"/>
      <c r="J1248" s="2"/>
      <c r="M1248" s="2"/>
    </row>
    <row r="1249" spans="1:13" x14ac:dyDescent="0.25">
      <c r="A1249" s="2"/>
      <c r="D1249" s="2"/>
      <c r="G1249" s="2"/>
      <c r="J1249" s="2"/>
      <c r="M1249" s="2"/>
    </row>
    <row r="1250" spans="1:13" x14ac:dyDescent="0.25">
      <c r="A1250" s="2"/>
      <c r="D1250" s="2"/>
      <c r="G1250" s="2"/>
      <c r="J1250" s="2"/>
      <c r="M1250" s="2"/>
    </row>
    <row r="1251" spans="1:13" x14ac:dyDescent="0.25">
      <c r="A1251" s="2"/>
      <c r="D1251" s="2"/>
      <c r="G1251" s="2"/>
      <c r="J1251" s="2"/>
      <c r="M1251" s="2"/>
    </row>
    <row r="1252" spans="1:13" x14ac:dyDescent="0.25">
      <c r="A1252" s="2"/>
      <c r="D1252" s="2"/>
      <c r="G1252" s="2"/>
      <c r="J1252" s="2"/>
      <c r="M1252" s="2"/>
    </row>
    <row r="1253" spans="1:13" x14ac:dyDescent="0.25">
      <c r="A1253" s="2"/>
      <c r="D1253" s="2"/>
      <c r="G1253" s="2"/>
      <c r="J1253" s="2"/>
      <c r="M1253" s="2"/>
    </row>
    <row r="1254" spans="1:13" x14ac:dyDescent="0.25">
      <c r="A1254" s="2"/>
      <c r="D1254" s="2"/>
      <c r="G1254" s="2"/>
      <c r="J1254" s="2"/>
      <c r="M1254" s="2"/>
    </row>
    <row r="1255" spans="1:13" x14ac:dyDescent="0.25">
      <c r="A1255" s="2"/>
      <c r="D1255" s="2"/>
      <c r="G1255" s="2"/>
      <c r="J1255" s="2"/>
      <c r="M1255" s="2"/>
    </row>
    <row r="1256" spans="1:13" x14ac:dyDescent="0.25">
      <c r="A1256" s="2"/>
      <c r="D1256" s="2"/>
      <c r="G1256" s="2"/>
      <c r="J1256" s="2"/>
      <c r="M1256" s="2"/>
    </row>
    <row r="1257" spans="1:13" x14ac:dyDescent="0.25">
      <c r="A1257" s="2"/>
      <c r="D1257" s="2"/>
      <c r="G1257" s="2"/>
      <c r="J1257" s="2"/>
      <c r="M1257" s="2"/>
    </row>
    <row r="1258" spans="1:13" x14ac:dyDescent="0.25">
      <c r="A1258" s="2"/>
      <c r="D1258" s="2"/>
      <c r="G1258" s="2"/>
      <c r="J1258" s="2"/>
      <c r="M1258" s="2"/>
    </row>
    <row r="1259" spans="1:13" x14ac:dyDescent="0.25">
      <c r="A1259" s="2"/>
      <c r="D1259" s="2"/>
      <c r="G1259" s="2"/>
      <c r="J1259" s="2"/>
      <c r="M1259" s="2"/>
    </row>
    <row r="1260" spans="1:13" x14ac:dyDescent="0.25">
      <c r="A1260" s="2"/>
      <c r="D1260" s="2"/>
      <c r="G1260" s="2"/>
      <c r="J1260" s="2"/>
      <c r="M1260" s="2"/>
    </row>
    <row r="1261" spans="1:13" x14ac:dyDescent="0.25">
      <c r="A1261" s="2"/>
      <c r="D1261" s="2"/>
      <c r="G1261" s="2"/>
      <c r="J1261" s="2"/>
      <c r="M1261" s="2"/>
    </row>
    <row r="1262" spans="1:13" x14ac:dyDescent="0.25">
      <c r="A1262" s="2"/>
      <c r="D1262" s="2"/>
      <c r="G1262" s="2"/>
      <c r="J1262" s="2"/>
      <c r="M1262" s="2"/>
    </row>
    <row r="1263" spans="1:13" x14ac:dyDescent="0.25">
      <c r="A1263" s="2"/>
      <c r="D1263" s="2"/>
      <c r="G1263" s="2"/>
      <c r="J1263" s="2"/>
      <c r="M1263" s="2"/>
    </row>
    <row r="1264" spans="1:13" x14ac:dyDescent="0.25">
      <c r="A1264" s="2"/>
      <c r="D1264" s="2"/>
      <c r="G1264" s="2"/>
      <c r="J1264" s="2"/>
      <c r="M1264" s="2"/>
    </row>
    <row r="1265" spans="1:13" x14ac:dyDescent="0.25">
      <c r="A1265" s="2"/>
      <c r="D1265" s="2"/>
      <c r="G1265" s="2"/>
      <c r="J1265" s="2"/>
      <c r="M1265" s="2"/>
    </row>
    <row r="1266" spans="1:13" x14ac:dyDescent="0.25">
      <c r="A1266" s="2"/>
      <c r="D1266" s="2"/>
      <c r="G1266" s="2"/>
      <c r="J1266" s="2"/>
      <c r="M1266" s="2"/>
    </row>
    <row r="1267" spans="1:13" x14ac:dyDescent="0.25">
      <c r="A1267" s="2"/>
      <c r="D1267" s="2"/>
      <c r="G1267" s="2"/>
      <c r="J1267" s="2"/>
      <c r="M1267" s="2"/>
    </row>
    <row r="1268" spans="1:13" x14ac:dyDescent="0.25">
      <c r="A1268" s="2"/>
      <c r="D1268" s="2"/>
      <c r="G1268" s="2"/>
      <c r="J1268" s="2"/>
      <c r="M1268" s="2"/>
    </row>
    <row r="1269" spans="1:13" x14ac:dyDescent="0.25">
      <c r="A1269" s="2"/>
      <c r="D1269" s="2"/>
      <c r="G1269" s="2"/>
      <c r="J1269" s="2"/>
      <c r="M1269" s="2"/>
    </row>
    <row r="1270" spans="1:13" x14ac:dyDescent="0.25">
      <c r="A1270" s="2"/>
      <c r="D1270" s="2"/>
      <c r="G1270" s="2"/>
      <c r="J1270" s="2"/>
      <c r="M1270" s="2"/>
    </row>
    <row r="1271" spans="1:13" x14ac:dyDescent="0.25">
      <c r="A1271" s="2"/>
      <c r="D1271" s="2"/>
      <c r="G1271" s="2"/>
      <c r="J1271" s="2"/>
      <c r="M1271" s="2"/>
    </row>
    <row r="1272" spans="1:13" x14ac:dyDescent="0.25">
      <c r="A1272" s="2"/>
      <c r="D1272" s="2"/>
      <c r="G1272" s="2"/>
      <c r="J1272" s="2"/>
      <c r="M1272" s="2"/>
    </row>
    <row r="1273" spans="1:13" x14ac:dyDescent="0.25">
      <c r="A1273" s="2"/>
      <c r="D1273" s="2"/>
      <c r="G1273" s="2"/>
      <c r="J1273" s="2"/>
      <c r="M1273" s="2"/>
    </row>
    <row r="1274" spans="1:13" x14ac:dyDescent="0.25">
      <c r="A1274" s="2"/>
      <c r="D1274" s="2"/>
      <c r="G1274" s="2"/>
      <c r="J1274" s="2"/>
      <c r="M1274" s="2"/>
    </row>
    <row r="1275" spans="1:13" x14ac:dyDescent="0.25">
      <c r="A1275" s="2"/>
      <c r="D1275" s="2"/>
      <c r="G1275" s="2"/>
      <c r="J1275" s="2"/>
      <c r="M1275" s="2"/>
    </row>
    <row r="1276" spans="1:13" x14ac:dyDescent="0.25">
      <c r="A1276" s="2"/>
      <c r="D1276" s="2"/>
      <c r="G1276" s="2"/>
      <c r="J1276" s="2"/>
      <c r="M1276" s="2"/>
    </row>
    <row r="1277" spans="1:13" x14ac:dyDescent="0.25">
      <c r="A1277" s="2"/>
      <c r="D1277" s="2"/>
      <c r="G1277" s="2"/>
      <c r="J1277" s="2"/>
      <c r="M1277" s="2"/>
    </row>
    <row r="1278" spans="1:13" x14ac:dyDescent="0.25">
      <c r="A1278" s="2"/>
      <c r="D1278" s="2"/>
      <c r="G1278" s="2"/>
      <c r="J1278" s="2"/>
      <c r="M1278" s="2"/>
    </row>
    <row r="1279" spans="1:13" x14ac:dyDescent="0.25">
      <c r="A1279" s="2"/>
      <c r="D1279" s="2"/>
      <c r="G1279" s="2"/>
      <c r="J1279" s="2"/>
      <c r="M1279" s="2"/>
    </row>
    <row r="1280" spans="1:13" x14ac:dyDescent="0.25">
      <c r="A1280" s="2"/>
      <c r="D1280" s="2"/>
      <c r="G1280" s="2"/>
      <c r="J1280" s="2"/>
      <c r="M1280" s="2"/>
    </row>
    <row r="1281" spans="1:13" x14ac:dyDescent="0.25">
      <c r="A1281" s="2"/>
      <c r="D1281" s="2"/>
      <c r="G1281" s="2"/>
      <c r="J1281" s="2"/>
      <c r="M1281" s="2"/>
    </row>
    <row r="1282" spans="1:13" x14ac:dyDescent="0.25">
      <c r="A1282" s="2"/>
      <c r="D1282" s="2"/>
      <c r="G1282" s="2"/>
      <c r="J1282" s="2"/>
      <c r="M1282" s="2"/>
    </row>
    <row r="1283" spans="1:13" x14ac:dyDescent="0.25">
      <c r="A1283" s="2"/>
      <c r="D1283" s="2"/>
      <c r="G1283" s="2"/>
      <c r="J1283" s="2"/>
      <c r="M1283" s="2"/>
    </row>
    <row r="1284" spans="1:13" x14ac:dyDescent="0.25">
      <c r="A1284" s="2"/>
      <c r="D1284" s="2"/>
      <c r="G1284" s="2"/>
      <c r="J1284" s="2"/>
      <c r="M1284" s="2"/>
    </row>
    <row r="1285" spans="1:13" x14ac:dyDescent="0.25">
      <c r="A1285" s="2"/>
      <c r="D1285" s="2"/>
      <c r="G1285" s="2"/>
      <c r="J1285" s="2"/>
      <c r="M1285" s="2"/>
    </row>
    <row r="1286" spans="1:13" x14ac:dyDescent="0.25">
      <c r="A1286" s="2"/>
      <c r="D1286" s="2"/>
      <c r="G1286" s="2"/>
      <c r="J1286" s="2"/>
      <c r="M1286" s="2"/>
    </row>
    <row r="1287" spans="1:13" x14ac:dyDescent="0.25">
      <c r="A1287" s="2"/>
      <c r="D1287" s="2"/>
      <c r="G1287" s="2"/>
      <c r="J1287" s="2"/>
      <c r="M1287" s="2"/>
    </row>
    <row r="1288" spans="1:13" x14ac:dyDescent="0.25">
      <c r="A1288" s="2"/>
      <c r="D1288" s="2"/>
      <c r="G1288" s="2"/>
      <c r="J1288" s="2"/>
      <c r="M1288" s="2"/>
    </row>
    <row r="1289" spans="1:13" x14ac:dyDescent="0.25">
      <c r="A1289" s="2"/>
      <c r="D1289" s="2"/>
      <c r="G1289" s="2"/>
      <c r="J1289" s="2"/>
      <c r="M1289" s="2"/>
    </row>
    <row r="1290" spans="1:13" x14ac:dyDescent="0.25">
      <c r="A1290" s="2"/>
      <c r="D1290" s="2"/>
      <c r="G1290" s="2"/>
      <c r="J1290" s="2"/>
      <c r="M1290" s="2"/>
    </row>
    <row r="1291" spans="1:13" x14ac:dyDescent="0.25">
      <c r="A1291" s="2"/>
      <c r="D1291" s="2"/>
      <c r="G1291" s="2"/>
      <c r="J1291" s="2"/>
      <c r="M1291" s="2"/>
    </row>
    <row r="1292" spans="1:13" x14ac:dyDescent="0.25">
      <c r="A1292" s="2"/>
      <c r="D1292" s="2"/>
      <c r="G1292" s="2"/>
      <c r="J1292" s="2"/>
      <c r="M1292" s="2"/>
    </row>
    <row r="1293" spans="1:13" x14ac:dyDescent="0.25">
      <c r="A1293" s="2"/>
      <c r="D1293" s="2"/>
      <c r="G1293" s="2"/>
      <c r="J1293" s="2"/>
      <c r="M1293" s="2"/>
    </row>
    <row r="1294" spans="1:13" x14ac:dyDescent="0.25">
      <c r="A1294" s="2"/>
      <c r="D1294" s="2"/>
      <c r="G1294" s="2"/>
      <c r="J1294" s="2"/>
      <c r="M1294" s="2"/>
    </row>
    <row r="1295" spans="1:13" x14ac:dyDescent="0.25">
      <c r="A1295" s="2"/>
      <c r="D1295" s="2"/>
      <c r="G1295" s="2"/>
      <c r="J1295" s="2"/>
      <c r="M1295" s="2"/>
    </row>
    <row r="1296" spans="1:13" x14ac:dyDescent="0.25">
      <c r="A1296" s="2"/>
      <c r="D1296" s="2"/>
      <c r="G1296" s="2"/>
      <c r="J1296" s="2"/>
      <c r="M1296" s="2"/>
    </row>
    <row r="1297" spans="1:13" x14ac:dyDescent="0.25">
      <c r="A1297" s="2"/>
      <c r="D1297" s="2"/>
      <c r="G1297" s="2"/>
      <c r="J1297" s="2"/>
      <c r="M1297" s="2"/>
    </row>
    <row r="1298" spans="1:13" x14ac:dyDescent="0.25">
      <c r="A1298" s="2"/>
      <c r="D1298" s="2"/>
      <c r="G1298" s="2"/>
      <c r="J1298" s="2"/>
      <c r="M1298" s="2"/>
    </row>
    <row r="1299" spans="1:13" x14ac:dyDescent="0.25">
      <c r="A1299" s="2"/>
      <c r="D1299" s="2"/>
      <c r="G1299" s="2"/>
      <c r="J1299" s="2"/>
      <c r="M1299" s="2"/>
    </row>
    <row r="1300" spans="1:13" x14ac:dyDescent="0.25">
      <c r="A1300" s="2"/>
      <c r="D1300" s="2"/>
      <c r="G1300" s="2"/>
      <c r="J1300" s="2"/>
      <c r="M1300" s="2"/>
    </row>
    <row r="1301" spans="1:13" x14ac:dyDescent="0.25">
      <c r="A1301" s="2"/>
      <c r="D1301" s="2"/>
      <c r="G1301" s="2"/>
      <c r="J1301" s="2"/>
      <c r="M1301" s="2"/>
    </row>
    <row r="1302" spans="1:13" x14ac:dyDescent="0.25">
      <c r="A1302" s="2"/>
      <c r="D1302" s="2"/>
      <c r="G1302" s="2"/>
      <c r="J1302" s="2"/>
      <c r="M1302" s="2"/>
    </row>
    <row r="1303" spans="1:13" x14ac:dyDescent="0.25">
      <c r="A1303" s="2"/>
      <c r="D1303" s="2"/>
      <c r="G1303" s="2"/>
      <c r="J1303" s="2"/>
      <c r="M1303" s="2"/>
    </row>
    <row r="1304" spans="1:13" x14ac:dyDescent="0.25">
      <c r="A1304" s="2"/>
      <c r="D1304" s="2"/>
      <c r="G1304" s="2"/>
      <c r="J1304" s="2"/>
      <c r="M1304" s="2"/>
    </row>
    <row r="1305" spans="1:13" x14ac:dyDescent="0.25">
      <c r="A1305" s="2"/>
      <c r="D1305" s="2"/>
      <c r="G1305" s="2"/>
      <c r="J1305" s="2"/>
      <c r="M1305" s="2"/>
    </row>
    <row r="1306" spans="1:13" x14ac:dyDescent="0.25">
      <c r="A1306" s="2"/>
      <c r="D1306" s="2"/>
      <c r="G1306" s="2"/>
      <c r="J1306" s="2"/>
      <c r="M1306" s="2"/>
    </row>
    <row r="1307" spans="1:13" x14ac:dyDescent="0.25">
      <c r="A1307" s="2"/>
      <c r="D1307" s="2"/>
      <c r="G1307" s="2"/>
      <c r="J1307" s="2"/>
      <c r="M1307" s="2"/>
    </row>
    <row r="1308" spans="1:13" x14ac:dyDescent="0.25">
      <c r="A1308" s="2"/>
      <c r="D1308" s="2"/>
      <c r="G1308" s="2"/>
      <c r="J1308" s="2"/>
      <c r="M1308" s="2"/>
    </row>
    <row r="1309" spans="1:13" x14ac:dyDescent="0.25">
      <c r="A1309" s="2"/>
      <c r="D1309" s="2"/>
      <c r="G1309" s="2"/>
      <c r="J1309" s="2"/>
      <c r="M1309" s="2"/>
    </row>
    <row r="1310" spans="1:13" x14ac:dyDescent="0.25">
      <c r="A1310" s="2"/>
      <c r="D1310" s="2"/>
      <c r="G1310" s="2"/>
      <c r="J1310" s="2"/>
      <c r="M1310" s="2"/>
    </row>
    <row r="1311" spans="1:13" x14ac:dyDescent="0.25">
      <c r="A1311" s="2"/>
      <c r="D1311" s="2"/>
      <c r="G1311" s="2"/>
      <c r="J1311" s="2"/>
      <c r="M1311" s="2"/>
    </row>
    <row r="1312" spans="1:13" x14ac:dyDescent="0.25">
      <c r="A1312" s="2"/>
      <c r="D1312" s="2"/>
      <c r="G1312" s="2"/>
      <c r="J1312" s="2"/>
      <c r="M1312" s="2"/>
    </row>
    <row r="1313" spans="1:13" x14ac:dyDescent="0.25">
      <c r="A1313" s="2"/>
      <c r="D1313" s="2"/>
      <c r="G1313" s="2"/>
      <c r="J1313" s="2"/>
      <c r="M1313" s="2"/>
    </row>
    <row r="1314" spans="1:13" x14ac:dyDescent="0.25">
      <c r="A1314" s="2"/>
      <c r="D1314" s="2"/>
      <c r="G1314" s="2"/>
      <c r="J1314" s="2"/>
      <c r="M1314" s="2"/>
    </row>
    <row r="1315" spans="1:13" x14ac:dyDescent="0.25">
      <c r="A1315" s="2"/>
      <c r="D1315" s="2"/>
      <c r="G1315" s="2"/>
      <c r="J1315" s="2"/>
      <c r="M1315" s="2"/>
    </row>
    <row r="1316" spans="1:13" x14ac:dyDescent="0.25">
      <c r="A1316" s="2"/>
      <c r="D1316" s="2"/>
      <c r="G1316" s="2"/>
      <c r="J1316" s="2"/>
      <c r="M1316" s="2"/>
    </row>
    <row r="1317" spans="1:13" x14ac:dyDescent="0.25">
      <c r="A1317" s="2"/>
      <c r="D1317" s="2"/>
      <c r="G1317" s="2"/>
      <c r="J1317" s="2"/>
      <c r="M1317" s="2"/>
    </row>
    <row r="1318" spans="1:13" x14ac:dyDescent="0.25">
      <c r="A1318" s="2"/>
      <c r="D1318" s="2"/>
      <c r="G1318" s="2"/>
      <c r="J1318" s="2"/>
      <c r="M1318" s="2"/>
    </row>
    <row r="1319" spans="1:13" x14ac:dyDescent="0.25">
      <c r="A1319" s="2"/>
      <c r="D1319" s="2"/>
      <c r="G1319" s="2"/>
      <c r="J1319" s="2"/>
      <c r="M1319" s="2"/>
    </row>
    <row r="1320" spans="1:13" x14ac:dyDescent="0.25">
      <c r="A1320" s="2"/>
      <c r="D1320" s="2"/>
      <c r="G1320" s="2"/>
      <c r="J1320" s="2"/>
      <c r="M1320" s="2"/>
    </row>
    <row r="1321" spans="1:13" x14ac:dyDescent="0.25">
      <c r="A1321" s="2"/>
      <c r="D1321" s="2"/>
      <c r="G1321" s="2"/>
      <c r="J1321" s="2"/>
      <c r="M1321" s="2"/>
    </row>
    <row r="1322" spans="1:13" x14ac:dyDescent="0.25">
      <c r="A1322" s="2"/>
      <c r="D1322" s="2"/>
      <c r="G1322" s="2"/>
      <c r="J1322" s="2"/>
      <c r="M1322" s="2"/>
    </row>
    <row r="1323" spans="1:13" x14ac:dyDescent="0.25">
      <c r="A1323" s="2"/>
      <c r="D1323" s="2"/>
      <c r="G1323" s="2"/>
      <c r="J1323" s="2"/>
      <c r="M1323" s="2"/>
    </row>
    <row r="1324" spans="1:13" x14ac:dyDescent="0.25">
      <c r="A1324" s="2"/>
      <c r="D1324" s="2"/>
      <c r="G1324" s="2"/>
      <c r="J1324" s="2"/>
      <c r="M1324" s="2"/>
    </row>
    <row r="1325" spans="1:13" x14ac:dyDescent="0.25">
      <c r="A1325" s="2"/>
      <c r="D1325" s="2"/>
      <c r="G1325" s="2"/>
      <c r="J1325" s="2"/>
      <c r="M1325" s="2"/>
    </row>
    <row r="1326" spans="1:13" x14ac:dyDescent="0.25">
      <c r="A1326" s="2"/>
      <c r="D1326" s="2"/>
      <c r="G1326" s="2"/>
      <c r="J1326" s="2"/>
      <c r="M1326" s="2"/>
    </row>
    <row r="1327" spans="1:13" x14ac:dyDescent="0.25">
      <c r="A1327" s="2"/>
      <c r="D1327" s="2"/>
      <c r="G1327" s="2"/>
      <c r="J1327" s="2"/>
      <c r="M1327" s="2"/>
    </row>
    <row r="1328" spans="1:13" x14ac:dyDescent="0.25">
      <c r="A1328" s="2"/>
      <c r="D1328" s="2"/>
      <c r="G1328" s="2"/>
      <c r="J1328" s="2"/>
      <c r="M1328" s="2"/>
    </row>
    <row r="1329" spans="1:13" x14ac:dyDescent="0.25">
      <c r="A1329" s="2"/>
      <c r="D1329" s="2"/>
      <c r="G1329" s="2"/>
      <c r="J1329" s="2"/>
      <c r="M1329" s="2"/>
    </row>
    <row r="1330" spans="1:13" x14ac:dyDescent="0.25">
      <c r="A1330" s="2"/>
      <c r="D1330" s="2"/>
      <c r="G1330" s="2"/>
      <c r="J1330" s="2"/>
      <c r="M1330" s="2"/>
    </row>
    <row r="1331" spans="1:13" x14ac:dyDescent="0.25">
      <c r="A1331" s="2"/>
      <c r="D1331" s="2"/>
      <c r="G1331" s="2"/>
      <c r="J1331" s="2"/>
      <c r="M1331" s="2"/>
    </row>
    <row r="1332" spans="1:13" x14ac:dyDescent="0.25">
      <c r="A1332" s="2"/>
      <c r="D1332" s="2"/>
      <c r="G1332" s="2"/>
      <c r="J1332" s="2"/>
      <c r="M1332" s="2"/>
    </row>
    <row r="1333" spans="1:13" x14ac:dyDescent="0.25">
      <c r="A1333" s="2"/>
      <c r="D1333" s="2"/>
      <c r="G1333" s="2"/>
      <c r="J1333" s="2"/>
      <c r="M1333" s="2"/>
    </row>
    <row r="1334" spans="1:13" x14ac:dyDescent="0.25">
      <c r="A1334" s="2"/>
      <c r="D1334" s="2"/>
      <c r="G1334" s="2"/>
      <c r="J1334" s="2"/>
      <c r="M1334" s="2"/>
    </row>
    <row r="1335" spans="1:13" x14ac:dyDescent="0.25">
      <c r="A1335" s="2"/>
      <c r="D1335" s="2"/>
      <c r="G1335" s="2"/>
      <c r="J1335" s="2"/>
      <c r="M1335" s="2"/>
    </row>
    <row r="1336" spans="1:13" x14ac:dyDescent="0.25">
      <c r="A1336" s="2"/>
      <c r="D1336" s="2"/>
      <c r="G1336" s="2"/>
      <c r="J1336" s="2"/>
      <c r="M1336" s="2"/>
    </row>
    <row r="1337" spans="1:13" x14ac:dyDescent="0.25">
      <c r="A1337" s="2"/>
      <c r="D1337" s="2"/>
      <c r="G1337" s="2"/>
      <c r="J1337" s="2"/>
      <c r="M1337" s="2"/>
    </row>
    <row r="1338" spans="1:13" x14ac:dyDescent="0.25">
      <c r="A1338" s="2"/>
      <c r="D1338" s="2"/>
      <c r="G1338" s="2"/>
      <c r="J1338" s="2"/>
      <c r="M1338" s="2"/>
    </row>
    <row r="1339" spans="1:13" x14ac:dyDescent="0.25">
      <c r="A1339" s="2"/>
      <c r="D1339" s="2"/>
      <c r="G1339" s="2"/>
      <c r="J1339" s="2"/>
      <c r="M1339" s="2"/>
    </row>
    <row r="1340" spans="1:13" x14ac:dyDescent="0.25">
      <c r="A1340" s="2"/>
      <c r="D1340" s="2"/>
      <c r="G1340" s="2"/>
      <c r="J1340" s="2"/>
      <c r="M1340" s="2"/>
    </row>
    <row r="1341" spans="1:13" x14ac:dyDescent="0.25">
      <c r="A1341" s="2"/>
      <c r="D1341" s="2"/>
      <c r="G1341" s="2"/>
      <c r="J1341" s="2"/>
      <c r="M1341" s="2"/>
    </row>
    <row r="1342" spans="1:13" x14ac:dyDescent="0.25">
      <c r="A1342" s="2"/>
      <c r="D1342" s="2"/>
      <c r="G1342" s="2"/>
      <c r="J1342" s="2"/>
      <c r="M1342" s="2"/>
    </row>
    <row r="1343" spans="1:13" x14ac:dyDescent="0.25">
      <c r="A1343" s="2"/>
      <c r="D1343" s="2"/>
      <c r="G1343" s="2"/>
      <c r="J1343" s="2"/>
      <c r="M1343" s="2"/>
    </row>
    <row r="1344" spans="1:13" x14ac:dyDescent="0.25">
      <c r="A1344" s="2"/>
      <c r="D1344" s="2"/>
      <c r="G1344" s="2"/>
      <c r="J1344" s="2"/>
      <c r="M1344" s="2"/>
    </row>
    <row r="1345" spans="1:13" x14ac:dyDescent="0.25">
      <c r="A1345" s="2"/>
      <c r="D1345" s="2"/>
      <c r="G1345" s="2"/>
      <c r="J1345" s="2"/>
      <c r="M1345" s="2"/>
    </row>
    <row r="1346" spans="1:13" x14ac:dyDescent="0.25">
      <c r="A1346" s="2"/>
      <c r="D1346" s="2"/>
      <c r="G1346" s="2"/>
      <c r="J1346" s="2"/>
      <c r="M1346" s="2"/>
    </row>
    <row r="1347" spans="1:13" x14ac:dyDescent="0.25">
      <c r="A1347" s="2"/>
      <c r="D1347" s="2"/>
      <c r="G1347" s="2"/>
      <c r="J1347" s="2"/>
      <c r="M1347" s="2"/>
    </row>
    <row r="1348" spans="1:13" x14ac:dyDescent="0.25">
      <c r="A1348" s="2"/>
      <c r="D1348" s="2"/>
      <c r="G1348" s="2"/>
      <c r="J1348" s="2"/>
      <c r="M1348" s="2"/>
    </row>
    <row r="1349" spans="1:13" x14ac:dyDescent="0.25">
      <c r="A1349" s="2"/>
      <c r="D1349" s="2"/>
      <c r="G1349" s="2"/>
      <c r="J1349" s="2"/>
      <c r="M1349" s="2"/>
    </row>
    <row r="1350" spans="1:13" x14ac:dyDescent="0.25">
      <c r="A1350" s="2"/>
      <c r="D1350" s="2"/>
      <c r="G1350" s="2"/>
      <c r="J1350" s="2"/>
      <c r="M1350" s="2"/>
    </row>
    <row r="1351" spans="1:13" x14ac:dyDescent="0.25">
      <c r="A1351" s="2"/>
      <c r="D1351" s="2"/>
      <c r="G1351" s="2"/>
      <c r="J1351" s="2"/>
      <c r="M1351" s="2"/>
    </row>
    <row r="1352" spans="1:13" x14ac:dyDescent="0.25">
      <c r="A1352" s="2"/>
      <c r="D1352" s="2"/>
      <c r="G1352" s="2"/>
      <c r="J1352" s="2"/>
      <c r="M1352" s="2"/>
    </row>
    <row r="1353" spans="1:13" x14ac:dyDescent="0.25">
      <c r="A1353" s="2"/>
      <c r="D1353" s="2"/>
      <c r="G1353" s="2"/>
      <c r="J1353" s="2"/>
      <c r="M1353" s="2"/>
    </row>
    <row r="1354" spans="1:13" x14ac:dyDescent="0.25">
      <c r="A1354" s="2"/>
      <c r="D1354" s="2"/>
      <c r="G1354" s="2"/>
      <c r="J1354" s="2"/>
      <c r="M1354" s="2"/>
    </row>
    <row r="1355" spans="1:13" x14ac:dyDescent="0.25">
      <c r="A1355" s="2"/>
      <c r="D1355" s="2"/>
      <c r="G1355" s="2"/>
      <c r="J1355" s="2"/>
      <c r="M1355" s="2"/>
    </row>
    <row r="1356" spans="1:13" x14ac:dyDescent="0.25">
      <c r="A1356" s="2"/>
      <c r="D1356" s="2"/>
      <c r="G1356" s="2"/>
      <c r="J1356" s="2"/>
      <c r="M1356" s="2"/>
    </row>
    <row r="1357" spans="1:13" x14ac:dyDescent="0.25">
      <c r="A1357" s="2"/>
      <c r="D1357" s="2"/>
      <c r="G1357" s="2"/>
      <c r="J1357" s="2"/>
      <c r="M1357" s="2"/>
    </row>
    <row r="1358" spans="1:13" x14ac:dyDescent="0.25">
      <c r="A1358" s="2"/>
      <c r="D1358" s="2"/>
      <c r="G1358" s="2"/>
      <c r="J1358" s="2"/>
      <c r="M1358" s="2"/>
    </row>
    <row r="1359" spans="1:13" x14ac:dyDescent="0.25">
      <c r="A1359" s="2"/>
      <c r="D1359" s="2"/>
      <c r="G1359" s="2"/>
      <c r="J1359" s="2"/>
      <c r="M1359" s="2"/>
    </row>
    <row r="1360" spans="1:13" x14ac:dyDescent="0.25">
      <c r="A1360" s="2"/>
      <c r="D1360" s="2"/>
      <c r="G1360" s="2"/>
      <c r="J1360" s="2"/>
      <c r="M1360" s="2"/>
    </row>
    <row r="1361" spans="1:13" x14ac:dyDescent="0.25">
      <c r="A1361" s="2"/>
      <c r="D1361" s="2"/>
      <c r="G1361" s="2"/>
      <c r="J1361" s="2"/>
      <c r="M1361" s="2"/>
    </row>
    <row r="1362" spans="1:13" x14ac:dyDescent="0.25">
      <c r="A1362" s="2"/>
      <c r="D1362" s="2"/>
      <c r="G1362" s="2"/>
      <c r="J1362" s="2"/>
      <c r="M1362" s="2"/>
    </row>
    <row r="1363" spans="1:13" x14ac:dyDescent="0.25">
      <c r="A1363" s="2"/>
      <c r="D1363" s="2"/>
      <c r="G1363" s="2"/>
      <c r="J1363" s="2"/>
      <c r="M1363" s="2"/>
    </row>
    <row r="1364" spans="1:13" x14ac:dyDescent="0.25">
      <c r="A1364" s="2"/>
      <c r="D1364" s="2"/>
      <c r="G1364" s="2"/>
      <c r="J1364" s="2"/>
      <c r="M1364" s="2"/>
    </row>
    <row r="1365" spans="1:13" x14ac:dyDescent="0.25">
      <c r="A1365" s="2"/>
      <c r="D1365" s="2"/>
      <c r="G1365" s="2"/>
      <c r="J1365" s="2"/>
      <c r="M1365" s="2"/>
    </row>
    <row r="1366" spans="1:13" x14ac:dyDescent="0.25">
      <c r="A1366" s="2"/>
      <c r="D1366" s="2"/>
      <c r="G1366" s="2"/>
      <c r="J1366" s="2"/>
      <c r="M1366" s="2"/>
    </row>
    <row r="1367" spans="1:13" x14ac:dyDescent="0.25">
      <c r="A1367" s="2"/>
      <c r="D1367" s="2"/>
      <c r="G1367" s="2"/>
      <c r="J1367" s="2"/>
      <c r="M1367" s="2"/>
    </row>
    <row r="1368" spans="1:13" x14ac:dyDescent="0.25">
      <c r="A1368" s="2"/>
      <c r="D1368" s="2"/>
      <c r="G1368" s="2"/>
      <c r="J1368" s="2"/>
      <c r="M1368" s="2"/>
    </row>
    <row r="1369" spans="1:13" x14ac:dyDescent="0.25">
      <c r="A1369" s="2"/>
      <c r="D1369" s="2"/>
      <c r="G1369" s="2"/>
      <c r="J1369" s="2"/>
      <c r="M1369" s="2"/>
    </row>
    <row r="1370" spans="1:13" x14ac:dyDescent="0.25">
      <c r="A1370" s="2"/>
      <c r="D1370" s="2"/>
      <c r="G1370" s="2"/>
      <c r="J1370" s="2"/>
      <c r="M1370" s="2"/>
    </row>
    <row r="1371" spans="1:13" x14ac:dyDescent="0.25">
      <c r="A1371" s="2"/>
      <c r="D1371" s="2"/>
      <c r="G1371" s="2"/>
      <c r="J1371" s="2"/>
      <c r="M1371" s="2"/>
    </row>
    <row r="1372" spans="1:13" x14ac:dyDescent="0.25">
      <c r="A1372" s="2"/>
      <c r="D1372" s="2"/>
      <c r="G1372" s="2"/>
      <c r="J1372" s="2"/>
      <c r="M1372" s="2"/>
    </row>
    <row r="1373" spans="1:13" x14ac:dyDescent="0.25">
      <c r="A1373" s="2"/>
      <c r="D1373" s="2"/>
      <c r="G1373" s="2"/>
      <c r="J1373" s="2"/>
      <c r="M1373" s="2"/>
    </row>
    <row r="1374" spans="1:13" x14ac:dyDescent="0.25">
      <c r="A1374" s="2"/>
      <c r="D1374" s="2"/>
      <c r="G1374" s="2"/>
      <c r="J1374" s="2"/>
      <c r="M1374" s="2"/>
    </row>
    <row r="1375" spans="1:13" x14ac:dyDescent="0.25">
      <c r="A1375" s="2"/>
      <c r="D1375" s="2"/>
      <c r="G1375" s="2"/>
      <c r="J1375" s="2"/>
      <c r="M1375" s="2"/>
    </row>
    <row r="1376" spans="1:13" x14ac:dyDescent="0.25">
      <c r="A1376" s="2"/>
      <c r="D1376" s="2"/>
      <c r="G1376" s="2"/>
      <c r="J1376" s="2"/>
      <c r="M1376" s="2"/>
    </row>
    <row r="1377" spans="1:13" x14ac:dyDescent="0.25">
      <c r="A1377" s="2"/>
      <c r="D1377" s="2"/>
      <c r="G1377" s="2"/>
      <c r="J1377" s="2"/>
      <c r="M1377" s="2"/>
    </row>
    <row r="1378" spans="1:13" x14ac:dyDescent="0.25">
      <c r="A1378" s="2"/>
      <c r="D1378" s="2"/>
      <c r="G1378" s="2"/>
      <c r="J1378" s="2"/>
      <c r="M1378" s="2"/>
    </row>
    <row r="1379" spans="1:13" x14ac:dyDescent="0.25">
      <c r="A1379" s="2"/>
      <c r="D1379" s="2"/>
      <c r="G1379" s="2"/>
      <c r="J1379" s="2"/>
      <c r="M1379" s="2"/>
    </row>
    <row r="1380" spans="1:13" x14ac:dyDescent="0.25">
      <c r="A1380" s="2"/>
      <c r="D1380" s="2"/>
      <c r="G1380" s="2"/>
      <c r="J1380" s="2"/>
      <c r="M1380" s="2"/>
    </row>
    <row r="1381" spans="1:13" x14ac:dyDescent="0.25">
      <c r="A1381" s="2"/>
      <c r="D1381" s="2"/>
      <c r="G1381" s="2"/>
      <c r="J1381" s="2"/>
      <c r="M1381" s="2"/>
    </row>
    <row r="1382" spans="1:13" x14ac:dyDescent="0.25">
      <c r="A1382" s="2"/>
      <c r="D1382" s="2"/>
      <c r="G1382" s="2"/>
      <c r="J1382" s="2"/>
      <c r="M1382" s="2"/>
    </row>
    <row r="1383" spans="1:13" x14ac:dyDescent="0.25">
      <c r="A1383" s="2"/>
      <c r="D1383" s="2"/>
      <c r="G1383" s="2"/>
      <c r="J1383" s="2"/>
      <c r="M1383" s="2"/>
    </row>
    <row r="1384" spans="1:13" x14ac:dyDescent="0.25">
      <c r="A1384" s="2"/>
      <c r="D1384" s="2"/>
      <c r="G1384" s="2"/>
      <c r="J1384" s="2"/>
      <c r="M1384" s="2"/>
    </row>
    <row r="1385" spans="1:13" x14ac:dyDescent="0.25">
      <c r="A1385" s="2"/>
      <c r="D1385" s="2"/>
      <c r="G1385" s="2"/>
      <c r="J1385" s="2"/>
      <c r="M1385" s="2"/>
    </row>
    <row r="1386" spans="1:13" x14ac:dyDescent="0.25">
      <c r="A1386" s="2"/>
      <c r="D1386" s="2"/>
      <c r="G1386" s="2"/>
      <c r="J1386" s="2"/>
      <c r="M1386" s="2"/>
    </row>
    <row r="1387" spans="1:13" x14ac:dyDescent="0.25">
      <c r="A1387" s="2"/>
      <c r="D1387" s="2"/>
      <c r="G1387" s="2"/>
      <c r="J1387" s="2"/>
      <c r="M1387" s="2"/>
    </row>
    <row r="1388" spans="1:13" x14ac:dyDescent="0.25">
      <c r="A1388" s="2"/>
      <c r="D1388" s="2"/>
      <c r="G1388" s="2"/>
      <c r="J1388" s="2"/>
      <c r="M1388" s="2"/>
    </row>
    <row r="1389" spans="1:13" x14ac:dyDescent="0.25">
      <c r="A1389" s="2"/>
      <c r="D1389" s="2"/>
      <c r="G1389" s="2"/>
      <c r="J1389" s="2"/>
      <c r="M1389" s="2"/>
    </row>
    <row r="1390" spans="1:13" x14ac:dyDescent="0.25">
      <c r="A1390" s="2"/>
      <c r="D1390" s="2"/>
      <c r="G1390" s="2"/>
      <c r="J1390" s="2"/>
      <c r="M1390" s="2"/>
    </row>
    <row r="1391" spans="1:13" x14ac:dyDescent="0.25">
      <c r="A1391" s="2"/>
      <c r="D1391" s="2"/>
      <c r="G1391" s="2"/>
      <c r="J1391" s="2"/>
      <c r="M1391" s="2"/>
    </row>
    <row r="1392" spans="1:13" x14ac:dyDescent="0.25">
      <c r="A1392" s="2"/>
      <c r="D1392" s="2"/>
      <c r="G1392" s="2"/>
      <c r="J1392" s="2"/>
      <c r="M1392" s="2"/>
    </row>
    <row r="1393" spans="1:13" x14ac:dyDescent="0.25">
      <c r="A1393" s="2"/>
      <c r="D1393" s="2"/>
      <c r="G1393" s="2"/>
      <c r="J1393" s="2"/>
      <c r="M1393" s="2"/>
    </row>
    <row r="1394" spans="1:13" x14ac:dyDescent="0.25">
      <c r="A1394" s="2"/>
      <c r="D1394" s="2"/>
      <c r="G1394" s="2"/>
      <c r="J1394" s="2"/>
      <c r="M1394" s="2"/>
    </row>
    <row r="1395" spans="1:13" x14ac:dyDescent="0.25">
      <c r="A1395" s="2"/>
      <c r="D1395" s="2"/>
      <c r="G1395" s="2"/>
      <c r="J1395" s="2"/>
      <c r="M1395" s="2"/>
    </row>
    <row r="1396" spans="1:13" x14ac:dyDescent="0.25">
      <c r="A1396" s="2"/>
      <c r="D1396" s="2"/>
      <c r="G1396" s="2"/>
      <c r="J1396" s="2"/>
      <c r="M1396" s="2"/>
    </row>
    <row r="1397" spans="1:13" x14ac:dyDescent="0.25">
      <c r="A1397" s="2"/>
      <c r="D1397" s="2"/>
      <c r="G1397" s="2"/>
      <c r="J1397" s="2"/>
      <c r="M1397" s="2"/>
    </row>
    <row r="1398" spans="1:13" x14ac:dyDescent="0.25">
      <c r="A1398" s="2"/>
      <c r="D1398" s="2"/>
      <c r="G1398" s="2"/>
      <c r="J1398" s="2"/>
      <c r="M1398" s="2"/>
    </row>
    <row r="1399" spans="1:13" x14ac:dyDescent="0.25">
      <c r="A1399" s="2"/>
      <c r="D1399" s="2"/>
      <c r="G1399" s="2"/>
      <c r="J1399" s="2"/>
      <c r="M1399" s="2"/>
    </row>
    <row r="1400" spans="1:13" x14ac:dyDescent="0.25">
      <c r="A1400" s="2"/>
      <c r="D1400" s="2"/>
      <c r="G1400" s="2"/>
      <c r="J1400" s="2"/>
      <c r="M1400" s="2"/>
    </row>
    <row r="1401" spans="1:13" x14ac:dyDescent="0.25">
      <c r="A1401" s="2"/>
      <c r="D1401" s="2"/>
      <c r="G1401" s="2"/>
      <c r="J1401" s="2"/>
      <c r="M1401" s="2"/>
    </row>
    <row r="1402" spans="1:13" x14ac:dyDescent="0.25">
      <c r="A1402" s="2"/>
      <c r="D1402" s="2"/>
      <c r="G1402" s="2"/>
      <c r="J1402" s="2"/>
      <c r="M1402" s="2"/>
    </row>
    <row r="1403" spans="1:13" x14ac:dyDescent="0.25">
      <c r="A1403" s="2"/>
      <c r="D1403" s="2"/>
      <c r="G1403" s="2"/>
      <c r="J1403" s="2"/>
      <c r="M1403" s="2"/>
    </row>
    <row r="1404" spans="1:13" x14ac:dyDescent="0.25">
      <c r="A1404" s="2"/>
      <c r="D1404" s="2"/>
      <c r="G1404" s="2"/>
      <c r="J1404" s="2"/>
      <c r="M1404" s="2"/>
    </row>
    <row r="1405" spans="1:13" x14ac:dyDescent="0.25">
      <c r="A1405" s="2"/>
      <c r="D1405" s="2"/>
      <c r="G1405" s="2"/>
      <c r="J1405" s="2"/>
      <c r="M1405" s="2"/>
    </row>
    <row r="1406" spans="1:13" x14ac:dyDescent="0.25">
      <c r="A1406" s="2"/>
      <c r="D1406" s="2"/>
      <c r="G1406" s="2"/>
      <c r="J1406" s="2"/>
      <c r="M1406" s="2"/>
    </row>
    <row r="1407" spans="1:13" x14ac:dyDescent="0.25">
      <c r="A1407" s="2"/>
      <c r="D1407" s="2"/>
      <c r="G1407" s="2"/>
      <c r="J1407" s="2"/>
      <c r="M1407" s="2"/>
    </row>
    <row r="1408" spans="1:13" x14ac:dyDescent="0.25">
      <c r="A1408" s="2"/>
      <c r="D1408" s="2"/>
      <c r="G1408" s="2"/>
      <c r="J1408" s="2"/>
      <c r="M1408" s="2"/>
    </row>
    <row r="1409" spans="1:13" x14ac:dyDescent="0.25">
      <c r="A1409" s="2"/>
      <c r="D1409" s="2"/>
      <c r="G1409" s="2"/>
      <c r="J1409" s="2"/>
      <c r="M1409" s="2"/>
    </row>
    <row r="1410" spans="1:13" x14ac:dyDescent="0.25">
      <c r="A1410" s="2"/>
      <c r="D1410" s="2"/>
      <c r="G1410" s="2"/>
      <c r="J1410" s="2"/>
      <c r="M1410" s="2"/>
    </row>
    <row r="1411" spans="1:13" x14ac:dyDescent="0.25">
      <c r="A1411" s="2"/>
      <c r="D1411" s="2"/>
      <c r="G1411" s="2"/>
      <c r="J1411" s="2"/>
      <c r="M1411" s="2"/>
    </row>
    <row r="1412" spans="1:13" x14ac:dyDescent="0.25">
      <c r="A1412" s="2"/>
      <c r="D1412" s="2"/>
      <c r="G1412" s="2"/>
      <c r="J1412" s="2"/>
      <c r="M1412" s="2"/>
    </row>
    <row r="1413" spans="1:13" x14ac:dyDescent="0.25">
      <c r="A1413" s="2"/>
      <c r="D1413" s="2"/>
      <c r="G1413" s="2"/>
      <c r="J1413" s="2"/>
      <c r="M1413" s="2"/>
    </row>
    <row r="1414" spans="1:13" x14ac:dyDescent="0.25">
      <c r="A1414" s="2"/>
      <c r="D1414" s="2"/>
      <c r="G1414" s="2"/>
      <c r="J1414" s="2"/>
      <c r="M1414" s="2"/>
    </row>
    <row r="1415" spans="1:13" x14ac:dyDescent="0.25">
      <c r="A1415" s="2"/>
      <c r="D1415" s="2"/>
      <c r="G1415" s="2"/>
      <c r="J1415" s="2"/>
      <c r="M1415" s="2"/>
    </row>
    <row r="1416" spans="1:13" x14ac:dyDescent="0.25">
      <c r="A1416" s="2"/>
      <c r="D1416" s="2"/>
      <c r="G1416" s="2"/>
      <c r="J1416" s="2"/>
      <c r="M1416" s="2"/>
    </row>
    <row r="1417" spans="1:13" x14ac:dyDescent="0.25">
      <c r="A1417" s="2"/>
      <c r="D1417" s="2"/>
      <c r="G1417" s="2"/>
      <c r="J1417" s="2"/>
      <c r="M1417" s="2"/>
    </row>
    <row r="1418" spans="1:13" x14ac:dyDescent="0.25">
      <c r="A1418" s="2"/>
      <c r="D1418" s="2"/>
      <c r="G1418" s="2"/>
      <c r="J1418" s="2"/>
      <c r="M1418" s="2"/>
    </row>
    <row r="1419" spans="1:13" x14ac:dyDescent="0.25">
      <c r="A1419" s="2"/>
      <c r="D1419" s="2"/>
      <c r="G1419" s="2"/>
      <c r="J1419" s="2"/>
      <c r="M1419" s="2"/>
    </row>
    <row r="1420" spans="1:13" x14ac:dyDescent="0.25">
      <c r="A1420" s="2"/>
      <c r="D1420" s="2"/>
      <c r="G1420" s="2"/>
      <c r="J1420" s="2"/>
      <c r="M1420" s="2"/>
    </row>
    <row r="1421" spans="1:13" x14ac:dyDescent="0.25">
      <c r="A1421" s="2"/>
      <c r="D1421" s="2"/>
      <c r="G1421" s="2"/>
      <c r="J1421" s="2"/>
      <c r="M1421" s="2"/>
    </row>
    <row r="1422" spans="1:13" x14ac:dyDescent="0.25">
      <c r="A1422" s="2"/>
      <c r="D1422" s="2"/>
      <c r="G1422" s="2"/>
      <c r="J1422" s="2"/>
      <c r="M1422" s="2"/>
    </row>
    <row r="1423" spans="1:13" x14ac:dyDescent="0.25">
      <c r="A1423" s="2"/>
      <c r="D1423" s="2"/>
      <c r="G1423" s="2"/>
      <c r="J1423" s="2"/>
      <c r="M1423" s="2"/>
    </row>
    <row r="1424" spans="1:13" x14ac:dyDescent="0.25">
      <c r="A1424" s="2"/>
      <c r="D1424" s="2"/>
      <c r="G1424" s="2"/>
      <c r="J1424" s="2"/>
      <c r="M1424" s="2"/>
    </row>
    <row r="1425" spans="1:13" x14ac:dyDescent="0.25">
      <c r="A1425" s="2"/>
      <c r="D1425" s="2"/>
      <c r="G1425" s="2"/>
      <c r="J1425" s="2"/>
      <c r="M1425" s="2"/>
    </row>
    <row r="1426" spans="1:13" x14ac:dyDescent="0.25">
      <c r="A1426" s="2"/>
      <c r="D1426" s="2"/>
      <c r="G1426" s="2"/>
      <c r="J1426" s="2"/>
      <c r="M1426" s="2"/>
    </row>
    <row r="1427" spans="1:13" x14ac:dyDescent="0.25">
      <c r="A1427" s="2"/>
      <c r="D1427" s="2"/>
      <c r="G1427" s="2"/>
      <c r="J1427" s="2"/>
      <c r="M1427" s="2"/>
    </row>
    <row r="1428" spans="1:13" x14ac:dyDescent="0.25">
      <c r="A1428" s="2"/>
      <c r="D1428" s="2"/>
      <c r="G1428" s="2"/>
      <c r="J1428" s="2"/>
      <c r="M1428" s="2"/>
    </row>
    <row r="1429" spans="1:13" x14ac:dyDescent="0.25">
      <c r="A1429" s="2"/>
      <c r="D1429" s="2"/>
      <c r="G1429" s="2"/>
      <c r="J1429" s="2"/>
      <c r="M1429" s="2"/>
    </row>
    <row r="1430" spans="1:13" x14ac:dyDescent="0.25">
      <c r="A1430" s="2"/>
      <c r="D1430" s="2"/>
      <c r="G1430" s="2"/>
      <c r="J1430" s="2"/>
      <c r="M1430" s="2"/>
    </row>
    <row r="1431" spans="1:13" x14ac:dyDescent="0.25">
      <c r="A1431" s="2"/>
      <c r="D1431" s="2"/>
      <c r="G1431" s="2"/>
      <c r="J1431" s="2"/>
      <c r="M1431" s="2"/>
    </row>
    <row r="1432" spans="1:13" x14ac:dyDescent="0.25">
      <c r="A1432" s="2"/>
      <c r="D1432" s="2"/>
      <c r="G1432" s="2"/>
      <c r="J1432" s="2"/>
      <c r="M1432" s="2"/>
    </row>
    <row r="1433" spans="1:13" x14ac:dyDescent="0.25">
      <c r="A1433" s="2"/>
      <c r="D1433" s="2"/>
      <c r="G1433" s="2"/>
      <c r="J1433" s="2"/>
      <c r="M1433" s="2"/>
    </row>
    <row r="1434" spans="1:13" x14ac:dyDescent="0.25">
      <c r="A1434" s="2"/>
      <c r="D1434" s="2"/>
      <c r="G1434" s="2"/>
      <c r="J1434" s="2"/>
      <c r="M1434" s="2"/>
    </row>
    <row r="1435" spans="1:13" x14ac:dyDescent="0.25">
      <c r="A1435" s="2"/>
      <c r="D1435" s="2"/>
      <c r="G1435" s="2"/>
      <c r="J1435" s="2"/>
      <c r="M1435" s="2"/>
    </row>
    <row r="1436" spans="1:13" x14ac:dyDescent="0.25">
      <c r="A1436" s="2"/>
      <c r="D1436" s="2"/>
      <c r="G1436" s="2"/>
      <c r="J1436" s="2"/>
      <c r="M1436" s="2"/>
    </row>
    <row r="1437" spans="1:13" x14ac:dyDescent="0.25">
      <c r="A1437" s="2"/>
      <c r="D1437" s="2"/>
      <c r="G1437" s="2"/>
      <c r="J1437" s="2"/>
      <c r="M1437" s="2"/>
    </row>
    <row r="1438" spans="1:13" x14ac:dyDescent="0.25">
      <c r="A1438" s="2"/>
      <c r="D1438" s="2"/>
      <c r="G1438" s="2"/>
      <c r="J1438" s="2"/>
      <c r="M1438" s="2"/>
    </row>
    <row r="1439" spans="1:13" x14ac:dyDescent="0.25">
      <c r="A1439" s="2"/>
      <c r="D1439" s="2"/>
      <c r="G1439" s="2"/>
      <c r="J1439" s="2"/>
      <c r="M1439" s="2"/>
    </row>
    <row r="1440" spans="1:13" x14ac:dyDescent="0.25">
      <c r="A1440" s="2"/>
      <c r="D1440" s="2"/>
      <c r="G1440" s="2"/>
      <c r="J1440" s="2"/>
      <c r="M1440" s="2"/>
    </row>
    <row r="1441" spans="1:13" x14ac:dyDescent="0.25">
      <c r="A1441" s="2"/>
      <c r="D1441" s="2"/>
      <c r="G1441" s="2"/>
      <c r="J1441" s="2"/>
      <c r="M1441" s="2"/>
    </row>
    <row r="1442" spans="1:13" x14ac:dyDescent="0.25">
      <c r="A1442" s="2"/>
      <c r="D1442" s="2"/>
      <c r="G1442" s="2"/>
      <c r="J1442" s="2"/>
      <c r="M1442" s="2"/>
    </row>
    <row r="1443" spans="1:13" x14ac:dyDescent="0.25">
      <c r="A1443" s="2"/>
      <c r="D1443" s="2"/>
      <c r="G1443" s="2"/>
      <c r="J1443" s="2"/>
      <c r="M1443" s="2"/>
    </row>
    <row r="1444" spans="1:13" x14ac:dyDescent="0.25">
      <c r="A1444" s="2"/>
      <c r="D1444" s="2"/>
      <c r="G1444" s="2"/>
      <c r="J1444" s="2"/>
      <c r="M1444" s="2"/>
    </row>
    <row r="1445" spans="1:13" x14ac:dyDescent="0.25">
      <c r="A1445" s="2"/>
      <c r="D1445" s="2"/>
      <c r="G1445" s="2"/>
      <c r="J1445" s="2"/>
      <c r="M1445" s="2"/>
    </row>
    <row r="1446" spans="1:13" x14ac:dyDescent="0.25">
      <c r="A1446" s="2"/>
      <c r="D1446" s="2"/>
      <c r="G1446" s="2"/>
      <c r="J1446" s="2"/>
      <c r="M1446" s="2"/>
    </row>
    <row r="1447" spans="1:13" x14ac:dyDescent="0.25">
      <c r="A1447" s="2"/>
      <c r="D1447" s="2"/>
      <c r="G1447" s="2"/>
      <c r="J1447" s="2"/>
      <c r="M1447" s="2"/>
    </row>
    <row r="1448" spans="1:13" x14ac:dyDescent="0.25">
      <c r="A1448" s="2"/>
      <c r="D1448" s="2"/>
      <c r="G1448" s="2"/>
      <c r="J1448" s="2"/>
      <c r="M1448" s="2"/>
    </row>
    <row r="1449" spans="1:13" x14ac:dyDescent="0.25">
      <c r="A1449" s="2"/>
      <c r="D1449" s="2"/>
      <c r="G1449" s="2"/>
      <c r="J1449" s="2"/>
      <c r="M1449" s="2"/>
    </row>
    <row r="1450" spans="1:13" x14ac:dyDescent="0.25">
      <c r="A1450" s="2"/>
      <c r="D1450" s="2"/>
      <c r="G1450" s="2"/>
      <c r="J1450" s="2"/>
      <c r="M1450" s="2"/>
    </row>
    <row r="1451" spans="1:13" x14ac:dyDescent="0.25">
      <c r="A1451" s="2"/>
      <c r="D1451" s="2"/>
      <c r="G1451" s="2"/>
      <c r="J1451" s="2"/>
      <c r="M1451" s="2"/>
    </row>
    <row r="1452" spans="1:13" x14ac:dyDescent="0.25">
      <c r="A1452" s="2"/>
      <c r="D1452" s="2"/>
      <c r="G1452" s="2"/>
      <c r="J1452" s="2"/>
      <c r="M1452" s="2"/>
    </row>
    <row r="1453" spans="1:13" x14ac:dyDescent="0.25">
      <c r="A1453" s="2"/>
      <c r="D1453" s="2"/>
      <c r="G1453" s="2"/>
      <c r="J1453" s="2"/>
      <c r="M1453" s="2"/>
    </row>
    <row r="1454" spans="1:13" x14ac:dyDescent="0.25">
      <c r="A1454" s="2"/>
      <c r="D1454" s="2"/>
      <c r="G1454" s="2"/>
      <c r="J1454" s="2"/>
      <c r="M1454" s="2"/>
    </row>
    <row r="1455" spans="1:13" x14ac:dyDescent="0.25">
      <c r="A1455" s="2"/>
      <c r="D1455" s="2"/>
      <c r="G1455" s="2"/>
      <c r="J1455" s="2"/>
      <c r="M1455" s="2"/>
    </row>
    <row r="1456" spans="1:13" x14ac:dyDescent="0.25">
      <c r="A1456" s="2"/>
      <c r="D1456" s="2"/>
      <c r="G1456" s="2"/>
      <c r="J1456" s="2"/>
      <c r="M1456" s="2"/>
    </row>
    <row r="1457" spans="1:13" x14ac:dyDescent="0.25">
      <c r="A1457" s="2"/>
      <c r="D1457" s="2"/>
      <c r="G1457" s="2"/>
      <c r="J1457" s="2"/>
      <c r="M1457" s="2"/>
    </row>
    <row r="1458" spans="1:13" x14ac:dyDescent="0.25">
      <c r="A1458" s="2"/>
      <c r="D1458" s="2"/>
      <c r="G1458" s="2"/>
      <c r="J1458" s="2"/>
      <c r="M1458" s="2"/>
    </row>
    <row r="1459" spans="1:13" x14ac:dyDescent="0.25">
      <c r="A1459" s="2"/>
      <c r="D1459" s="2"/>
      <c r="G1459" s="2"/>
      <c r="J1459" s="2"/>
      <c r="M1459" s="2"/>
    </row>
    <row r="1460" spans="1:13" x14ac:dyDescent="0.25">
      <c r="A1460" s="2"/>
      <c r="D1460" s="2"/>
      <c r="G1460" s="2"/>
      <c r="J1460" s="2"/>
      <c r="M1460" s="2"/>
    </row>
    <row r="1461" spans="1:13" x14ac:dyDescent="0.25">
      <c r="A1461" s="2"/>
      <c r="D1461" s="2"/>
      <c r="G1461" s="2"/>
      <c r="J1461" s="2"/>
      <c r="M1461" s="2"/>
    </row>
    <row r="1462" spans="1:13" x14ac:dyDescent="0.25">
      <c r="A1462" s="2"/>
      <c r="D1462" s="2"/>
      <c r="G1462" s="2"/>
      <c r="J1462" s="2"/>
      <c r="M1462" s="2"/>
    </row>
    <row r="1463" spans="1:13" x14ac:dyDescent="0.25">
      <c r="A1463" s="2"/>
      <c r="D1463" s="2"/>
      <c r="G1463" s="2"/>
      <c r="J1463" s="2"/>
      <c r="M1463" s="2"/>
    </row>
    <row r="1464" spans="1:13" x14ac:dyDescent="0.25">
      <c r="A1464" s="2"/>
      <c r="D1464" s="2"/>
      <c r="G1464" s="2"/>
      <c r="J1464" s="2"/>
      <c r="M1464" s="2"/>
    </row>
    <row r="1465" spans="1:13" x14ac:dyDescent="0.25">
      <c r="A1465" s="2"/>
      <c r="D1465" s="2"/>
      <c r="G1465" s="2"/>
      <c r="J1465" s="2"/>
      <c r="M1465" s="2"/>
    </row>
    <row r="1466" spans="1:13" x14ac:dyDescent="0.25">
      <c r="A1466" s="2"/>
      <c r="D1466" s="2"/>
      <c r="G1466" s="2"/>
      <c r="J1466" s="2"/>
      <c r="M1466" s="2"/>
    </row>
    <row r="1467" spans="1:13" x14ac:dyDescent="0.25">
      <c r="A1467" s="2"/>
      <c r="D1467" s="2"/>
      <c r="G1467" s="2"/>
      <c r="J1467" s="2"/>
      <c r="M1467" s="2"/>
    </row>
    <row r="1468" spans="1:13" x14ac:dyDescent="0.25">
      <c r="A1468" s="2"/>
      <c r="D1468" s="2"/>
      <c r="G1468" s="2"/>
      <c r="J1468" s="2"/>
      <c r="M1468" s="2"/>
    </row>
    <row r="1469" spans="1:13" x14ac:dyDescent="0.25">
      <c r="A1469" s="2"/>
      <c r="D1469" s="2"/>
      <c r="G1469" s="2"/>
      <c r="J1469" s="2"/>
      <c r="M1469" s="2"/>
    </row>
    <row r="1470" spans="1:13" x14ac:dyDescent="0.25">
      <c r="A1470" s="2"/>
      <c r="D1470" s="2"/>
      <c r="G1470" s="2"/>
      <c r="J1470" s="2"/>
      <c r="M1470" s="2"/>
    </row>
    <row r="1471" spans="1:13" x14ac:dyDescent="0.25">
      <c r="A1471" s="2"/>
      <c r="D1471" s="2"/>
      <c r="G1471" s="2"/>
      <c r="J1471" s="2"/>
      <c r="M1471" s="2"/>
    </row>
    <row r="1472" spans="1:13" x14ac:dyDescent="0.25">
      <c r="A1472" s="2"/>
      <c r="D1472" s="2"/>
      <c r="G1472" s="2"/>
      <c r="J1472" s="2"/>
      <c r="M1472" s="2"/>
    </row>
    <row r="1473" spans="1:13" x14ac:dyDescent="0.25">
      <c r="A1473" s="2"/>
      <c r="D1473" s="2"/>
      <c r="G1473" s="2"/>
      <c r="J1473" s="2"/>
      <c r="M1473" s="2"/>
    </row>
    <row r="1474" spans="1:13" x14ac:dyDescent="0.25">
      <c r="A1474" s="2"/>
      <c r="D1474" s="2"/>
      <c r="G1474" s="2"/>
      <c r="J1474" s="2"/>
      <c r="M1474" s="2"/>
    </row>
    <row r="1475" spans="1:13" x14ac:dyDescent="0.25">
      <c r="A1475" s="2"/>
      <c r="D1475" s="2"/>
      <c r="G1475" s="2"/>
      <c r="J1475" s="2"/>
      <c r="M1475" s="2"/>
    </row>
    <row r="1476" spans="1:13" x14ac:dyDescent="0.25">
      <c r="A1476" s="2"/>
      <c r="D1476" s="2"/>
      <c r="G1476" s="2"/>
      <c r="J1476" s="2"/>
      <c r="M1476" s="2"/>
    </row>
    <row r="1477" spans="1:13" x14ac:dyDescent="0.25">
      <c r="A1477" s="2"/>
      <c r="D1477" s="2"/>
      <c r="G1477" s="2"/>
      <c r="J1477" s="2"/>
      <c r="M1477" s="2"/>
    </row>
    <row r="1478" spans="1:13" x14ac:dyDescent="0.25">
      <c r="A1478" s="2"/>
      <c r="D1478" s="2"/>
      <c r="G1478" s="2"/>
      <c r="J1478" s="2"/>
      <c r="M1478" s="2"/>
    </row>
    <row r="1479" spans="1:13" x14ac:dyDescent="0.25">
      <c r="A1479" s="2"/>
      <c r="D1479" s="2"/>
      <c r="G1479" s="2"/>
      <c r="J1479" s="2"/>
      <c r="M1479" s="2"/>
    </row>
    <row r="1480" spans="1:13" x14ac:dyDescent="0.25">
      <c r="A1480" s="2"/>
      <c r="D1480" s="2"/>
      <c r="G1480" s="2"/>
      <c r="J1480" s="2"/>
      <c r="M1480" s="2"/>
    </row>
    <row r="1481" spans="1:13" x14ac:dyDescent="0.25">
      <c r="A1481" s="2"/>
      <c r="D1481" s="2"/>
      <c r="G1481" s="2"/>
      <c r="J1481" s="2"/>
      <c r="M1481" s="2"/>
    </row>
    <row r="1482" spans="1:13" x14ac:dyDescent="0.25">
      <c r="A1482" s="2"/>
      <c r="D1482" s="2"/>
      <c r="G1482" s="2"/>
      <c r="J1482" s="2"/>
      <c r="M1482" s="2"/>
    </row>
    <row r="1483" spans="1:13" x14ac:dyDescent="0.25">
      <c r="A1483" s="2"/>
      <c r="D1483" s="2"/>
      <c r="G1483" s="2"/>
      <c r="J1483" s="2"/>
      <c r="M1483" s="2"/>
    </row>
    <row r="1484" spans="1:13" x14ac:dyDescent="0.25">
      <c r="A1484" s="2"/>
      <c r="D1484" s="2"/>
      <c r="G1484" s="2"/>
      <c r="J1484" s="2"/>
      <c r="M1484" s="2"/>
    </row>
    <row r="1485" spans="1:13" x14ac:dyDescent="0.25">
      <c r="A1485" s="2"/>
      <c r="D1485" s="2"/>
      <c r="G1485" s="2"/>
      <c r="J1485" s="2"/>
      <c r="M1485" s="2"/>
    </row>
    <row r="1486" spans="1:13" x14ac:dyDescent="0.25">
      <c r="A1486" s="2"/>
      <c r="D1486" s="2"/>
      <c r="G1486" s="2"/>
      <c r="J1486" s="2"/>
      <c r="M1486" s="2"/>
    </row>
    <row r="1487" spans="1:13" x14ac:dyDescent="0.25">
      <c r="A1487" s="2"/>
      <c r="D1487" s="2"/>
      <c r="G1487" s="2"/>
      <c r="J1487" s="2"/>
      <c r="M1487" s="2"/>
    </row>
    <row r="1488" spans="1:13" x14ac:dyDescent="0.25">
      <c r="A1488" s="2"/>
      <c r="D1488" s="2"/>
      <c r="G1488" s="2"/>
      <c r="J1488" s="2"/>
      <c r="M1488" s="2"/>
    </row>
    <row r="1489" spans="1:13" x14ac:dyDescent="0.25">
      <c r="A1489" s="2"/>
      <c r="D1489" s="2"/>
      <c r="G1489" s="2"/>
      <c r="J1489" s="2"/>
      <c r="M1489" s="2"/>
    </row>
    <row r="1490" spans="1:13" x14ac:dyDescent="0.25">
      <c r="A1490" s="2"/>
      <c r="D1490" s="2"/>
      <c r="G1490" s="2"/>
      <c r="J1490" s="2"/>
      <c r="M1490" s="2"/>
    </row>
    <row r="1491" spans="1:13" x14ac:dyDescent="0.25">
      <c r="A1491" s="2"/>
      <c r="D1491" s="2"/>
      <c r="G1491" s="2"/>
      <c r="J1491" s="2"/>
      <c r="M1491" s="2"/>
    </row>
    <row r="1492" spans="1:13" x14ac:dyDescent="0.25">
      <c r="A1492" s="2"/>
      <c r="D1492" s="2"/>
      <c r="G1492" s="2"/>
      <c r="J1492" s="2"/>
      <c r="M1492" s="2"/>
    </row>
    <row r="1493" spans="1:13" x14ac:dyDescent="0.25">
      <c r="A1493" s="2"/>
      <c r="D1493" s="2"/>
      <c r="G1493" s="2"/>
      <c r="J1493" s="2"/>
      <c r="M1493" s="2"/>
    </row>
    <row r="1494" spans="1:13" x14ac:dyDescent="0.25">
      <c r="A1494" s="2"/>
      <c r="D1494" s="2"/>
      <c r="G1494" s="2"/>
      <c r="J1494" s="2"/>
      <c r="M1494" s="2"/>
    </row>
    <row r="1495" spans="1:13" x14ac:dyDescent="0.25">
      <c r="A1495" s="2"/>
      <c r="D1495" s="2"/>
      <c r="G1495" s="2"/>
      <c r="J1495" s="2"/>
      <c r="M1495" s="2"/>
    </row>
    <row r="1496" spans="1:13" x14ac:dyDescent="0.25">
      <c r="A1496" s="2"/>
      <c r="D1496" s="2"/>
      <c r="G1496" s="2"/>
      <c r="J1496" s="2"/>
      <c r="M1496" s="2"/>
    </row>
    <row r="1497" spans="1:13" x14ac:dyDescent="0.25">
      <c r="A1497" s="2"/>
      <c r="D1497" s="2"/>
      <c r="G1497" s="2"/>
      <c r="J1497" s="2"/>
      <c r="M1497" s="2"/>
    </row>
    <row r="1498" spans="1:13" x14ac:dyDescent="0.25">
      <c r="A1498" s="2"/>
      <c r="D1498" s="2"/>
      <c r="G1498" s="2"/>
      <c r="J1498" s="2"/>
      <c r="M1498" s="2"/>
    </row>
    <row r="1499" spans="1:13" x14ac:dyDescent="0.25">
      <c r="A1499" s="2"/>
      <c r="D1499" s="2"/>
      <c r="G1499" s="2"/>
      <c r="J1499" s="2"/>
      <c r="M1499" s="2"/>
    </row>
    <row r="1500" spans="1:13" x14ac:dyDescent="0.25">
      <c r="A1500" s="2"/>
      <c r="D1500" s="2"/>
      <c r="G1500" s="2"/>
      <c r="J1500" s="2"/>
      <c r="M1500" s="2"/>
    </row>
    <row r="1501" spans="1:13" x14ac:dyDescent="0.25">
      <c r="A1501" s="2"/>
      <c r="D1501" s="2"/>
      <c r="G1501" s="2"/>
      <c r="J1501" s="2"/>
      <c r="M1501" s="2"/>
    </row>
    <row r="1502" spans="1:13" x14ac:dyDescent="0.25">
      <c r="A1502" s="2"/>
      <c r="D1502" s="2"/>
      <c r="G1502" s="2"/>
      <c r="J1502" s="2"/>
      <c r="M1502" s="2"/>
    </row>
    <row r="1503" spans="1:13" x14ac:dyDescent="0.25">
      <c r="A1503" s="2"/>
      <c r="D1503" s="2"/>
      <c r="G1503" s="2"/>
      <c r="J1503" s="2"/>
      <c r="M1503" s="2"/>
    </row>
    <row r="1504" spans="1:13" x14ac:dyDescent="0.25">
      <c r="A1504" s="2"/>
      <c r="D1504" s="2"/>
      <c r="G1504" s="2"/>
      <c r="J1504" s="2"/>
      <c r="M1504" s="2"/>
    </row>
    <row r="1505" spans="1:13" x14ac:dyDescent="0.25">
      <c r="A1505" s="2"/>
      <c r="D1505" s="2"/>
      <c r="G1505" s="2"/>
      <c r="J1505" s="2"/>
      <c r="M1505" s="2"/>
    </row>
    <row r="1506" spans="1:13" x14ac:dyDescent="0.25">
      <c r="A1506" s="2"/>
      <c r="D1506" s="2"/>
      <c r="G1506" s="2"/>
      <c r="J1506" s="2"/>
      <c r="M1506" s="2"/>
    </row>
    <row r="1507" spans="1:13" x14ac:dyDescent="0.25">
      <c r="A1507" s="2"/>
      <c r="D1507" s="2"/>
      <c r="G1507" s="2"/>
      <c r="J1507" s="2"/>
      <c r="M1507" s="2"/>
    </row>
    <row r="1508" spans="1:13" x14ac:dyDescent="0.25">
      <c r="A1508" s="2"/>
      <c r="D1508" s="2"/>
      <c r="G1508" s="2"/>
      <c r="J1508" s="2"/>
      <c r="M1508" s="2"/>
    </row>
    <row r="1509" spans="1:13" x14ac:dyDescent="0.25">
      <c r="A1509" s="2"/>
      <c r="D1509" s="2"/>
      <c r="G1509" s="2"/>
      <c r="J1509" s="2"/>
      <c r="M1509" s="2"/>
    </row>
    <row r="1510" spans="1:13" x14ac:dyDescent="0.25">
      <c r="A1510" s="2"/>
      <c r="D1510" s="2"/>
      <c r="G1510" s="2"/>
      <c r="J1510" s="2"/>
      <c r="M1510" s="2"/>
    </row>
    <row r="1511" spans="1:13" x14ac:dyDescent="0.25">
      <c r="A1511" s="2"/>
      <c r="D1511" s="2"/>
      <c r="G1511" s="2"/>
      <c r="J1511" s="2"/>
      <c r="M1511" s="2"/>
    </row>
    <row r="1512" spans="1:13" x14ac:dyDescent="0.25">
      <c r="A1512" s="2"/>
      <c r="D1512" s="2"/>
      <c r="G1512" s="2"/>
      <c r="J1512" s="2"/>
      <c r="M1512" s="2"/>
    </row>
    <row r="1513" spans="1:13" x14ac:dyDescent="0.25">
      <c r="A1513" s="2"/>
      <c r="D1513" s="2"/>
      <c r="G1513" s="2"/>
      <c r="J1513" s="2"/>
      <c r="M1513" s="2"/>
    </row>
    <row r="1514" spans="1:13" x14ac:dyDescent="0.25">
      <c r="A1514" s="2"/>
      <c r="D1514" s="2"/>
      <c r="G1514" s="2"/>
      <c r="J1514" s="2"/>
      <c r="M1514" s="2"/>
    </row>
    <row r="1515" spans="1:13" x14ac:dyDescent="0.25">
      <c r="A1515" s="2"/>
      <c r="D1515" s="2"/>
      <c r="G1515" s="2"/>
      <c r="J1515" s="2"/>
      <c r="M1515" s="2"/>
    </row>
    <row r="1516" spans="1:13" x14ac:dyDescent="0.25">
      <c r="A1516" s="2"/>
      <c r="D1516" s="2"/>
      <c r="G1516" s="2"/>
      <c r="J1516" s="2"/>
      <c r="M1516" s="2"/>
    </row>
    <row r="1517" spans="1:13" x14ac:dyDescent="0.25">
      <c r="A1517" s="2"/>
      <c r="D1517" s="2"/>
      <c r="G1517" s="2"/>
      <c r="J1517" s="2"/>
      <c r="M1517" s="2"/>
    </row>
    <row r="1518" spans="1:13" x14ac:dyDescent="0.25">
      <c r="A1518" s="2"/>
      <c r="D1518" s="2"/>
      <c r="G1518" s="2"/>
      <c r="J1518" s="2"/>
      <c r="M1518" s="2"/>
    </row>
    <row r="1519" spans="1:13" x14ac:dyDescent="0.25">
      <c r="A1519" s="2"/>
      <c r="D1519" s="2"/>
      <c r="G1519" s="2"/>
      <c r="J1519" s="2"/>
      <c r="M1519" s="2"/>
    </row>
    <row r="1520" spans="1:13" x14ac:dyDescent="0.25">
      <c r="A1520" s="2"/>
      <c r="D1520" s="2"/>
      <c r="G1520" s="2"/>
      <c r="J1520" s="2"/>
      <c r="M1520" s="2"/>
    </row>
    <row r="1521" spans="1:13" x14ac:dyDescent="0.25">
      <c r="A1521" s="2"/>
      <c r="D1521" s="2"/>
      <c r="G1521" s="2"/>
      <c r="J1521" s="2"/>
      <c r="M1521" s="2"/>
    </row>
    <row r="1522" spans="1:13" x14ac:dyDescent="0.25">
      <c r="A1522" s="2"/>
      <c r="D1522" s="2"/>
      <c r="G1522" s="2"/>
      <c r="J1522" s="2"/>
      <c r="M1522" s="2"/>
    </row>
    <row r="1523" spans="1:13" x14ac:dyDescent="0.25">
      <c r="A1523" s="2"/>
      <c r="D1523" s="2"/>
      <c r="G1523" s="2"/>
      <c r="J1523" s="2"/>
      <c r="M1523" s="2"/>
    </row>
    <row r="1524" spans="1:13" x14ac:dyDescent="0.25">
      <c r="A1524" s="2"/>
      <c r="D1524" s="2"/>
      <c r="G1524" s="2"/>
      <c r="J1524" s="2"/>
      <c r="M1524" s="2"/>
    </row>
    <row r="1525" spans="1:13" x14ac:dyDescent="0.25">
      <c r="A1525" s="2"/>
      <c r="D1525" s="2"/>
      <c r="G1525" s="2"/>
      <c r="J1525" s="2"/>
      <c r="M1525" s="2"/>
    </row>
    <row r="1526" spans="1:13" x14ac:dyDescent="0.25">
      <c r="A1526" s="2"/>
      <c r="D1526" s="2"/>
      <c r="G1526" s="2"/>
      <c r="J1526" s="2"/>
      <c r="M1526" s="2"/>
    </row>
    <row r="1527" spans="1:13" x14ac:dyDescent="0.25">
      <c r="A1527" s="2"/>
      <c r="D1527" s="2"/>
      <c r="G1527" s="2"/>
      <c r="J1527" s="2"/>
      <c r="M1527" s="2"/>
    </row>
    <row r="1528" spans="1:13" x14ac:dyDescent="0.25">
      <c r="A1528" s="2"/>
      <c r="D1528" s="2"/>
      <c r="G1528" s="2"/>
      <c r="J1528" s="2"/>
      <c r="M1528" s="2"/>
    </row>
    <row r="1529" spans="1:13" x14ac:dyDescent="0.25">
      <c r="A1529" s="2"/>
      <c r="D1529" s="2"/>
      <c r="G1529" s="2"/>
      <c r="J1529" s="2"/>
      <c r="M1529" s="2"/>
    </row>
    <row r="1530" spans="1:13" x14ac:dyDescent="0.25">
      <c r="A1530" s="2"/>
      <c r="D1530" s="2"/>
      <c r="G1530" s="2"/>
      <c r="J1530" s="2"/>
      <c r="M1530" s="2"/>
    </row>
    <row r="1531" spans="1:13" x14ac:dyDescent="0.25">
      <c r="A1531" s="2"/>
      <c r="D1531" s="2"/>
      <c r="G1531" s="2"/>
      <c r="J1531" s="2"/>
      <c r="M1531" s="2"/>
    </row>
    <row r="1532" spans="1:13" x14ac:dyDescent="0.25">
      <c r="A1532" s="2"/>
      <c r="D1532" s="2"/>
      <c r="G1532" s="2"/>
      <c r="J1532" s="2"/>
      <c r="M1532" s="2"/>
    </row>
    <row r="1533" spans="1:13" x14ac:dyDescent="0.25">
      <c r="A1533" s="2"/>
      <c r="D1533" s="2"/>
      <c r="G1533" s="2"/>
      <c r="J1533" s="2"/>
      <c r="M1533" s="2"/>
    </row>
    <row r="1534" spans="1:13" x14ac:dyDescent="0.25">
      <c r="A1534" s="2"/>
      <c r="D1534" s="2"/>
      <c r="G1534" s="2"/>
      <c r="J1534" s="2"/>
      <c r="M1534" s="2"/>
    </row>
    <row r="1535" spans="1:13" x14ac:dyDescent="0.25">
      <c r="A1535" s="2"/>
      <c r="D1535" s="2"/>
      <c r="G1535" s="2"/>
      <c r="J1535" s="2"/>
      <c r="M1535" s="2"/>
    </row>
    <row r="1536" spans="1:13" x14ac:dyDescent="0.25">
      <c r="A1536" s="2"/>
      <c r="D1536" s="2"/>
      <c r="G1536" s="2"/>
      <c r="J1536" s="2"/>
      <c r="M1536" s="2"/>
    </row>
    <row r="1537" spans="1:13" x14ac:dyDescent="0.25">
      <c r="A1537" s="2"/>
      <c r="D1537" s="2"/>
      <c r="G1537" s="2"/>
      <c r="J1537" s="2"/>
      <c r="M1537" s="2"/>
    </row>
    <row r="1538" spans="1:13" x14ac:dyDescent="0.25">
      <c r="A1538" s="2"/>
      <c r="D1538" s="2"/>
      <c r="G1538" s="2"/>
      <c r="J1538" s="2"/>
      <c r="M1538" s="2"/>
    </row>
    <row r="1539" spans="1:13" x14ac:dyDescent="0.25">
      <c r="A1539" s="2"/>
      <c r="D1539" s="2"/>
      <c r="G1539" s="2"/>
      <c r="J1539" s="2"/>
      <c r="M1539" s="2"/>
    </row>
    <row r="1540" spans="1:13" x14ac:dyDescent="0.25">
      <c r="A1540" s="2"/>
      <c r="D1540" s="2"/>
      <c r="G1540" s="2"/>
      <c r="J1540" s="2"/>
      <c r="M1540" s="2"/>
    </row>
    <row r="1541" spans="1:13" x14ac:dyDescent="0.25">
      <c r="A1541" s="2"/>
      <c r="D1541" s="2"/>
      <c r="G1541" s="2"/>
      <c r="J1541" s="2"/>
      <c r="M1541" s="2"/>
    </row>
    <row r="1542" spans="1:13" x14ac:dyDescent="0.25">
      <c r="A1542" s="2"/>
      <c r="D1542" s="2"/>
      <c r="G1542" s="2"/>
      <c r="J1542" s="2"/>
      <c r="M1542" s="2"/>
    </row>
    <row r="1543" spans="1:13" x14ac:dyDescent="0.25">
      <c r="A1543" s="2"/>
      <c r="D1543" s="2"/>
      <c r="G1543" s="2"/>
      <c r="J1543" s="2"/>
      <c r="M1543" s="2"/>
    </row>
    <row r="1544" spans="1:13" x14ac:dyDescent="0.25">
      <c r="A1544" s="2"/>
      <c r="D1544" s="2"/>
      <c r="G1544" s="2"/>
      <c r="J1544" s="2"/>
      <c r="M1544" s="2"/>
    </row>
    <row r="1545" spans="1:13" x14ac:dyDescent="0.25">
      <c r="A1545" s="2"/>
      <c r="D1545" s="2"/>
      <c r="G1545" s="2"/>
      <c r="J1545" s="2"/>
      <c r="M1545" s="2"/>
    </row>
    <row r="1546" spans="1:13" x14ac:dyDescent="0.25">
      <c r="A1546" s="2"/>
      <c r="D1546" s="2"/>
      <c r="G1546" s="2"/>
      <c r="J1546" s="2"/>
      <c r="M1546" s="2"/>
    </row>
    <row r="1547" spans="1:13" x14ac:dyDescent="0.25">
      <c r="A1547" s="2"/>
      <c r="D1547" s="2"/>
      <c r="G1547" s="2"/>
      <c r="J1547" s="2"/>
      <c r="M1547" s="2"/>
    </row>
    <row r="1548" spans="1:13" x14ac:dyDescent="0.25">
      <c r="A1548" s="2"/>
      <c r="D1548" s="2"/>
      <c r="G1548" s="2"/>
      <c r="J1548" s="2"/>
      <c r="M1548" s="2"/>
    </row>
    <row r="1549" spans="1:13" x14ac:dyDescent="0.25">
      <c r="A1549" s="2"/>
      <c r="D1549" s="2"/>
      <c r="G1549" s="2"/>
      <c r="J1549" s="2"/>
      <c r="M1549" s="2"/>
    </row>
    <row r="1550" spans="1:13" x14ac:dyDescent="0.25">
      <c r="A1550" s="2"/>
      <c r="D1550" s="2"/>
      <c r="G1550" s="2"/>
      <c r="J1550" s="2"/>
      <c r="M1550" s="2"/>
    </row>
    <row r="1551" spans="1:13" x14ac:dyDescent="0.25">
      <c r="A1551" s="2"/>
      <c r="D1551" s="2"/>
      <c r="G1551" s="2"/>
      <c r="J1551" s="2"/>
      <c r="M1551" s="2"/>
    </row>
    <row r="1552" spans="1:13" x14ac:dyDescent="0.25">
      <c r="A1552" s="2"/>
      <c r="D1552" s="2"/>
      <c r="G1552" s="2"/>
      <c r="J1552" s="2"/>
      <c r="M1552" s="2"/>
    </row>
    <row r="1553" spans="1:13" x14ac:dyDescent="0.25">
      <c r="A1553" s="2"/>
      <c r="D1553" s="2"/>
      <c r="G1553" s="2"/>
      <c r="J1553" s="2"/>
      <c r="M1553" s="2"/>
    </row>
    <row r="1554" spans="1:13" x14ac:dyDescent="0.25">
      <c r="A1554" s="2"/>
      <c r="D1554" s="2"/>
      <c r="G1554" s="2"/>
      <c r="J1554" s="2"/>
      <c r="M1554" s="2"/>
    </row>
    <row r="1555" spans="1:13" x14ac:dyDescent="0.25">
      <c r="A1555" s="2"/>
      <c r="D1555" s="2"/>
      <c r="G1555" s="2"/>
      <c r="J1555" s="2"/>
      <c r="M1555" s="2"/>
    </row>
    <row r="1556" spans="1:13" x14ac:dyDescent="0.25">
      <c r="A1556" s="2"/>
      <c r="D1556" s="2"/>
      <c r="G1556" s="2"/>
      <c r="J1556" s="2"/>
      <c r="M1556" s="2"/>
    </row>
    <row r="1557" spans="1:13" x14ac:dyDescent="0.25">
      <c r="A1557" s="2"/>
      <c r="D1557" s="2"/>
      <c r="G1557" s="2"/>
      <c r="J1557" s="2"/>
      <c r="M1557" s="2"/>
    </row>
    <row r="1558" spans="1:13" x14ac:dyDescent="0.25">
      <c r="A1558" s="2"/>
      <c r="D1558" s="2"/>
      <c r="G1558" s="2"/>
      <c r="J1558" s="2"/>
      <c r="M1558" s="2"/>
    </row>
    <row r="1559" spans="1:13" x14ac:dyDescent="0.25">
      <c r="A1559" s="2"/>
      <c r="D1559" s="2"/>
      <c r="G1559" s="2"/>
      <c r="J1559" s="2"/>
      <c r="M1559" s="2"/>
    </row>
    <row r="1560" spans="1:13" x14ac:dyDescent="0.25">
      <c r="A1560" s="2"/>
      <c r="D1560" s="2"/>
      <c r="G1560" s="2"/>
      <c r="J1560" s="2"/>
      <c r="M1560" s="2"/>
    </row>
    <row r="1561" spans="1:13" x14ac:dyDescent="0.25">
      <c r="A1561" s="2"/>
      <c r="D1561" s="2"/>
      <c r="G1561" s="2"/>
      <c r="J1561" s="2"/>
      <c r="M1561" s="2"/>
    </row>
    <row r="1562" spans="1:13" x14ac:dyDescent="0.25">
      <c r="A1562" s="2"/>
      <c r="D1562" s="2"/>
      <c r="G1562" s="2"/>
      <c r="J1562" s="2"/>
      <c r="M1562" s="2"/>
    </row>
    <row r="1563" spans="1:13" x14ac:dyDescent="0.25">
      <c r="A1563" s="2"/>
      <c r="D1563" s="2"/>
      <c r="G1563" s="2"/>
      <c r="J1563" s="2"/>
      <c r="M1563" s="2"/>
    </row>
    <row r="1564" spans="1:13" x14ac:dyDescent="0.25">
      <c r="A1564" s="2"/>
      <c r="D1564" s="2"/>
      <c r="G1564" s="2"/>
      <c r="J1564" s="2"/>
      <c r="M1564" s="2"/>
    </row>
    <row r="1565" spans="1:13" x14ac:dyDescent="0.25">
      <c r="A1565" s="2"/>
      <c r="D1565" s="2"/>
      <c r="G1565" s="2"/>
      <c r="J1565" s="2"/>
      <c r="M1565" s="2"/>
    </row>
    <row r="1566" spans="1:13" x14ac:dyDescent="0.25">
      <c r="A1566" s="2"/>
      <c r="D1566" s="2"/>
      <c r="G1566" s="2"/>
      <c r="J1566" s="2"/>
      <c r="M1566" s="2"/>
    </row>
    <row r="1567" spans="1:13" x14ac:dyDescent="0.25">
      <c r="A1567" s="2"/>
      <c r="D1567" s="2"/>
      <c r="G1567" s="2"/>
      <c r="J1567" s="2"/>
      <c r="M1567" s="2"/>
    </row>
    <row r="1568" spans="1:13" x14ac:dyDescent="0.25">
      <c r="A1568" s="2"/>
      <c r="D1568" s="2"/>
      <c r="G1568" s="2"/>
      <c r="J1568" s="2"/>
      <c r="M1568" s="2"/>
    </row>
    <row r="1569" spans="1:13" x14ac:dyDescent="0.25">
      <c r="A1569" s="2"/>
      <c r="D1569" s="2"/>
      <c r="G1569" s="2"/>
      <c r="J1569" s="2"/>
      <c r="M1569" s="2"/>
    </row>
    <row r="1570" spans="1:13" x14ac:dyDescent="0.25">
      <c r="A1570" s="2"/>
      <c r="D1570" s="2"/>
      <c r="G1570" s="2"/>
      <c r="J1570" s="2"/>
      <c r="M1570" s="2"/>
    </row>
    <row r="1571" spans="1:13" x14ac:dyDescent="0.25">
      <c r="A1571" s="2"/>
      <c r="D1571" s="2"/>
      <c r="G1571" s="2"/>
      <c r="J1571" s="2"/>
      <c r="M1571" s="2"/>
    </row>
    <row r="1572" spans="1:13" x14ac:dyDescent="0.25">
      <c r="A1572" s="2"/>
      <c r="D1572" s="2"/>
      <c r="G1572" s="2"/>
      <c r="J1572" s="2"/>
      <c r="M1572" s="2"/>
    </row>
    <row r="1573" spans="1:13" x14ac:dyDescent="0.25">
      <c r="A1573" s="2"/>
      <c r="D1573" s="2"/>
      <c r="G1573" s="2"/>
      <c r="J1573" s="2"/>
      <c r="M1573" s="2"/>
    </row>
    <row r="1574" spans="1:13" x14ac:dyDescent="0.25">
      <c r="A1574" s="2"/>
      <c r="D1574" s="2"/>
      <c r="G1574" s="2"/>
      <c r="J1574" s="2"/>
      <c r="M1574" s="2"/>
    </row>
    <row r="1575" spans="1:13" x14ac:dyDescent="0.25">
      <c r="A1575" s="2"/>
      <c r="D1575" s="2"/>
      <c r="G1575" s="2"/>
      <c r="J1575" s="2"/>
      <c r="M1575" s="2"/>
    </row>
    <row r="1576" spans="1:13" x14ac:dyDescent="0.25">
      <c r="A1576" s="2"/>
      <c r="D1576" s="2"/>
      <c r="G1576" s="2"/>
      <c r="J1576" s="2"/>
      <c r="M1576" s="2"/>
    </row>
    <row r="1577" spans="1:13" x14ac:dyDescent="0.25">
      <c r="A1577" s="2"/>
      <c r="D1577" s="2"/>
      <c r="G1577" s="2"/>
      <c r="J1577" s="2"/>
      <c r="M1577" s="2"/>
    </row>
    <row r="1578" spans="1:13" x14ac:dyDescent="0.25">
      <c r="A1578" s="2"/>
      <c r="D1578" s="2"/>
      <c r="G1578" s="2"/>
      <c r="J1578" s="2"/>
      <c r="M1578" s="2"/>
    </row>
    <row r="1579" spans="1:13" x14ac:dyDescent="0.25">
      <c r="A1579" s="2"/>
      <c r="D1579" s="2"/>
      <c r="G1579" s="2"/>
      <c r="J1579" s="2"/>
      <c r="M1579" s="2"/>
    </row>
    <row r="1580" spans="1:13" x14ac:dyDescent="0.25">
      <c r="A1580" s="2"/>
      <c r="D1580" s="2"/>
      <c r="G1580" s="2"/>
      <c r="J1580" s="2"/>
      <c r="M1580" s="2"/>
    </row>
    <row r="1581" spans="1:13" x14ac:dyDescent="0.25">
      <c r="A1581" s="2"/>
      <c r="D1581" s="2"/>
      <c r="G1581" s="2"/>
      <c r="J1581" s="2"/>
      <c r="M1581" s="2"/>
    </row>
    <row r="1582" spans="1:13" x14ac:dyDescent="0.25">
      <c r="A1582" s="2"/>
      <c r="D1582" s="2"/>
      <c r="G1582" s="2"/>
      <c r="J1582" s="2"/>
      <c r="M1582" s="2"/>
    </row>
    <row r="1583" spans="1:13" x14ac:dyDescent="0.25">
      <c r="A1583" s="2"/>
      <c r="D1583" s="2"/>
      <c r="G1583" s="2"/>
      <c r="J1583" s="2"/>
      <c r="M1583" s="2"/>
    </row>
    <row r="1584" spans="1:13" x14ac:dyDescent="0.25">
      <c r="A1584" s="2"/>
      <c r="D1584" s="2"/>
      <c r="G1584" s="2"/>
      <c r="J1584" s="2"/>
      <c r="M1584" s="2"/>
    </row>
    <row r="1585" spans="1:13" x14ac:dyDescent="0.25">
      <c r="A1585" s="2"/>
      <c r="D1585" s="2"/>
      <c r="G1585" s="2"/>
      <c r="J1585" s="2"/>
      <c r="M1585" s="2"/>
    </row>
    <row r="1586" spans="1:13" x14ac:dyDescent="0.25">
      <c r="A1586" s="2"/>
      <c r="D1586" s="2"/>
      <c r="G1586" s="2"/>
      <c r="J1586" s="2"/>
      <c r="M1586" s="2"/>
    </row>
    <row r="1587" spans="1:13" x14ac:dyDescent="0.25">
      <c r="A1587" s="2"/>
      <c r="D1587" s="2"/>
      <c r="G1587" s="2"/>
      <c r="J1587" s="2"/>
      <c r="M1587" s="2"/>
    </row>
    <row r="1588" spans="1:13" x14ac:dyDescent="0.25">
      <c r="A1588" s="2"/>
      <c r="D1588" s="2"/>
      <c r="G1588" s="2"/>
      <c r="J1588" s="2"/>
      <c r="M1588" s="2"/>
    </row>
    <row r="1589" spans="1:13" x14ac:dyDescent="0.25">
      <c r="A1589" s="2"/>
      <c r="D1589" s="2"/>
      <c r="G1589" s="2"/>
      <c r="J1589" s="2"/>
      <c r="M1589" s="2"/>
    </row>
    <row r="1590" spans="1:13" x14ac:dyDescent="0.25">
      <c r="A1590" s="2"/>
      <c r="D1590" s="2"/>
      <c r="G1590" s="2"/>
      <c r="J1590" s="2"/>
      <c r="M1590" s="2"/>
    </row>
    <row r="1591" spans="1:13" x14ac:dyDescent="0.25">
      <c r="A1591" s="2"/>
      <c r="D1591" s="2"/>
      <c r="G1591" s="2"/>
      <c r="J1591" s="2"/>
      <c r="M1591" s="2"/>
    </row>
    <row r="1592" spans="1:13" x14ac:dyDescent="0.25">
      <c r="A1592" s="2"/>
      <c r="D1592" s="2"/>
      <c r="G1592" s="2"/>
      <c r="J1592" s="2"/>
      <c r="M1592" s="2"/>
    </row>
    <row r="1593" spans="1:13" x14ac:dyDescent="0.25">
      <c r="A1593" s="2"/>
      <c r="D1593" s="2"/>
      <c r="G1593" s="2"/>
      <c r="J1593" s="2"/>
      <c r="M1593" s="2"/>
    </row>
    <row r="1594" spans="1:13" x14ac:dyDescent="0.25">
      <c r="A1594" s="2"/>
      <c r="D1594" s="2"/>
      <c r="G1594" s="2"/>
      <c r="J1594" s="2"/>
      <c r="M1594" s="2"/>
    </row>
    <row r="1595" spans="1:13" x14ac:dyDescent="0.25">
      <c r="A1595" s="2"/>
      <c r="D1595" s="2"/>
      <c r="G1595" s="2"/>
      <c r="J1595" s="2"/>
      <c r="M1595" s="2"/>
    </row>
    <row r="1596" spans="1:13" x14ac:dyDescent="0.25">
      <c r="A1596" s="2"/>
      <c r="D1596" s="2"/>
      <c r="G1596" s="2"/>
      <c r="J1596" s="2"/>
      <c r="M1596" s="2"/>
    </row>
    <row r="1597" spans="1:13" x14ac:dyDescent="0.25">
      <c r="A1597" s="2"/>
      <c r="D1597" s="2"/>
      <c r="G1597" s="2"/>
      <c r="J1597" s="2"/>
      <c r="M1597" s="2"/>
    </row>
    <row r="1598" spans="1:13" x14ac:dyDescent="0.25">
      <c r="A1598" s="2"/>
      <c r="D1598" s="2"/>
      <c r="G1598" s="2"/>
      <c r="J1598" s="2"/>
      <c r="M1598" s="2"/>
    </row>
    <row r="1599" spans="1:13" x14ac:dyDescent="0.25">
      <c r="A1599" s="2"/>
      <c r="D1599" s="2"/>
      <c r="G1599" s="2"/>
      <c r="J1599" s="2"/>
      <c r="M1599" s="2"/>
    </row>
    <row r="1600" spans="1:13" x14ac:dyDescent="0.25">
      <c r="A1600" s="2"/>
      <c r="D1600" s="2"/>
      <c r="G1600" s="2"/>
      <c r="J1600" s="2"/>
      <c r="M1600" s="2"/>
    </row>
    <row r="1601" spans="1:13" x14ac:dyDescent="0.25">
      <c r="A1601" s="2"/>
      <c r="D1601" s="2"/>
      <c r="G1601" s="2"/>
      <c r="J1601" s="2"/>
      <c r="M1601" s="2"/>
    </row>
    <row r="1602" spans="1:13" x14ac:dyDescent="0.25">
      <c r="A1602" s="2"/>
      <c r="D1602" s="2"/>
      <c r="G1602" s="2"/>
      <c r="J1602" s="2"/>
      <c r="M1602" s="2"/>
    </row>
    <row r="1603" spans="1:13" x14ac:dyDescent="0.25">
      <c r="A1603" s="2"/>
      <c r="D1603" s="2"/>
      <c r="G1603" s="2"/>
      <c r="J1603" s="2"/>
      <c r="M1603" s="2"/>
    </row>
    <row r="1604" spans="1:13" x14ac:dyDescent="0.25">
      <c r="A1604" s="2"/>
      <c r="D1604" s="2"/>
      <c r="G1604" s="2"/>
      <c r="J1604" s="2"/>
      <c r="M1604" s="2"/>
    </row>
    <row r="1605" spans="1:13" x14ac:dyDescent="0.25">
      <c r="A1605" s="2"/>
      <c r="D1605" s="2"/>
      <c r="G1605" s="2"/>
      <c r="J1605" s="2"/>
      <c r="M1605" s="2"/>
    </row>
    <row r="1606" spans="1:13" x14ac:dyDescent="0.25">
      <c r="A1606" s="2"/>
      <c r="D1606" s="2"/>
      <c r="G1606" s="2"/>
      <c r="J1606" s="2"/>
      <c r="M1606" s="2"/>
    </row>
    <row r="1607" spans="1:13" x14ac:dyDescent="0.25">
      <c r="A1607" s="2"/>
      <c r="D1607" s="2"/>
      <c r="G1607" s="2"/>
      <c r="J1607" s="2"/>
      <c r="M1607" s="2"/>
    </row>
    <row r="1608" spans="1:13" x14ac:dyDescent="0.25">
      <c r="A1608" s="2"/>
      <c r="D1608" s="2"/>
      <c r="G1608" s="2"/>
      <c r="J1608" s="2"/>
      <c r="M1608" s="2"/>
    </row>
    <row r="1609" spans="1:13" x14ac:dyDescent="0.25">
      <c r="A1609" s="2"/>
      <c r="D1609" s="2"/>
      <c r="G1609" s="2"/>
      <c r="J1609" s="2"/>
      <c r="M1609" s="2"/>
    </row>
    <row r="1610" spans="1:13" x14ac:dyDescent="0.25">
      <c r="A1610" s="2"/>
      <c r="D1610" s="2"/>
      <c r="G1610" s="2"/>
      <c r="J1610" s="2"/>
      <c r="M1610" s="2"/>
    </row>
    <row r="1611" spans="1:13" x14ac:dyDescent="0.25">
      <c r="A1611" s="2"/>
      <c r="D1611" s="2"/>
      <c r="G1611" s="2"/>
      <c r="J1611" s="2"/>
      <c r="M1611" s="2"/>
    </row>
    <row r="1612" spans="1:13" x14ac:dyDescent="0.25">
      <c r="A1612" s="2"/>
      <c r="D1612" s="2"/>
      <c r="G1612" s="2"/>
      <c r="J1612" s="2"/>
      <c r="M1612" s="2"/>
    </row>
    <row r="1613" spans="1:13" x14ac:dyDescent="0.25">
      <c r="A1613" s="2"/>
      <c r="D1613" s="2"/>
      <c r="G1613" s="2"/>
      <c r="J1613" s="2"/>
      <c r="M1613" s="2"/>
    </row>
    <row r="1614" spans="1:13" x14ac:dyDescent="0.25">
      <c r="A1614" s="2"/>
      <c r="D1614" s="2"/>
      <c r="G1614" s="2"/>
      <c r="J1614" s="2"/>
      <c r="M1614" s="2"/>
    </row>
    <row r="1615" spans="1:13" x14ac:dyDescent="0.25">
      <c r="A1615" s="2"/>
      <c r="D1615" s="2"/>
      <c r="G1615" s="2"/>
      <c r="J1615" s="2"/>
      <c r="M1615" s="2"/>
    </row>
    <row r="1616" spans="1:13" x14ac:dyDescent="0.25">
      <c r="A1616" s="2"/>
      <c r="D1616" s="2"/>
      <c r="G1616" s="2"/>
      <c r="J1616" s="2"/>
      <c r="M1616" s="2"/>
    </row>
    <row r="1617" spans="1:13" x14ac:dyDescent="0.25">
      <c r="A1617" s="2"/>
      <c r="D1617" s="2"/>
      <c r="G1617" s="2"/>
      <c r="J1617" s="2"/>
      <c r="M1617" s="2"/>
    </row>
    <row r="1618" spans="1:13" x14ac:dyDescent="0.25">
      <c r="A1618" s="2"/>
      <c r="D1618" s="2"/>
      <c r="G1618" s="2"/>
      <c r="J1618" s="2"/>
      <c r="M1618" s="2"/>
    </row>
    <row r="1619" spans="1:13" x14ac:dyDescent="0.25">
      <c r="A1619" s="2"/>
      <c r="D1619" s="2"/>
      <c r="G1619" s="2"/>
      <c r="J1619" s="2"/>
      <c r="M1619" s="2"/>
    </row>
    <row r="1620" spans="1:13" x14ac:dyDescent="0.25">
      <c r="A1620" s="2"/>
      <c r="D1620" s="2"/>
      <c r="G1620" s="2"/>
      <c r="J1620" s="2"/>
      <c r="M1620" s="2"/>
    </row>
    <row r="1621" spans="1:13" x14ac:dyDescent="0.25">
      <c r="A1621" s="2"/>
      <c r="D1621" s="2"/>
      <c r="G1621" s="2"/>
      <c r="J1621" s="2"/>
      <c r="M1621" s="2"/>
    </row>
    <row r="1622" spans="1:13" x14ac:dyDescent="0.25">
      <c r="A1622" s="2"/>
      <c r="D1622" s="2"/>
      <c r="G1622" s="2"/>
      <c r="J1622" s="2"/>
      <c r="M1622" s="2"/>
    </row>
    <row r="1623" spans="1:13" x14ac:dyDescent="0.25">
      <c r="A1623" s="2"/>
      <c r="D1623" s="2"/>
      <c r="G1623" s="2"/>
      <c r="J1623" s="2"/>
      <c r="M1623" s="2"/>
    </row>
    <row r="1624" spans="1:13" x14ac:dyDescent="0.25">
      <c r="A1624" s="2"/>
      <c r="D1624" s="2"/>
      <c r="G1624" s="2"/>
      <c r="J1624" s="2"/>
      <c r="M1624" s="2"/>
    </row>
    <row r="1625" spans="1:13" x14ac:dyDescent="0.25">
      <c r="A1625" s="2"/>
      <c r="D1625" s="2"/>
      <c r="G1625" s="2"/>
      <c r="J1625" s="2"/>
      <c r="M1625" s="2"/>
    </row>
    <row r="1626" spans="1:13" x14ac:dyDescent="0.25">
      <c r="A1626" s="2"/>
      <c r="D1626" s="2"/>
      <c r="G1626" s="2"/>
      <c r="J1626" s="2"/>
      <c r="M1626" s="2"/>
    </row>
    <row r="1627" spans="1:13" x14ac:dyDescent="0.25">
      <c r="A1627" s="2"/>
      <c r="D1627" s="2"/>
      <c r="G1627" s="2"/>
      <c r="J1627" s="2"/>
      <c r="M1627" s="2"/>
    </row>
    <row r="1628" spans="1:13" x14ac:dyDescent="0.25">
      <c r="A1628" s="2"/>
      <c r="D1628" s="2"/>
      <c r="G1628" s="2"/>
      <c r="J1628" s="2"/>
      <c r="M1628" s="2"/>
    </row>
    <row r="1629" spans="1:13" x14ac:dyDescent="0.25">
      <c r="A1629" s="2"/>
      <c r="D1629" s="2"/>
      <c r="G1629" s="2"/>
      <c r="J1629" s="2"/>
      <c r="M1629" s="2"/>
    </row>
    <row r="1630" spans="1:13" x14ac:dyDescent="0.25">
      <c r="A1630" s="2"/>
      <c r="D1630" s="2"/>
      <c r="G1630" s="2"/>
      <c r="J1630" s="2"/>
      <c r="M1630" s="2"/>
    </row>
    <row r="1631" spans="1:13" x14ac:dyDescent="0.25">
      <c r="A1631" s="2"/>
      <c r="D1631" s="2"/>
      <c r="G1631" s="2"/>
      <c r="J1631" s="2"/>
      <c r="M1631" s="2"/>
    </row>
    <row r="1632" spans="1:13" x14ac:dyDescent="0.25">
      <c r="A1632" s="2"/>
      <c r="D1632" s="2"/>
      <c r="G1632" s="2"/>
      <c r="J1632" s="2"/>
      <c r="M1632" s="2"/>
    </row>
    <row r="1633" spans="1:13" x14ac:dyDescent="0.25">
      <c r="A1633" s="2"/>
      <c r="D1633" s="2"/>
      <c r="G1633" s="2"/>
      <c r="J1633" s="2"/>
      <c r="M1633" s="2"/>
    </row>
    <row r="1634" spans="1:13" x14ac:dyDescent="0.25">
      <c r="A1634" s="2"/>
      <c r="D1634" s="2"/>
      <c r="G1634" s="2"/>
      <c r="J1634" s="2"/>
      <c r="M1634" s="2"/>
    </row>
    <row r="1635" spans="1:13" x14ac:dyDescent="0.25">
      <c r="A1635" s="2"/>
      <c r="D1635" s="2"/>
      <c r="G1635" s="2"/>
      <c r="J1635" s="2"/>
      <c r="M1635" s="2"/>
    </row>
    <row r="1636" spans="1:13" x14ac:dyDescent="0.25">
      <c r="A1636" s="2"/>
      <c r="D1636" s="2"/>
      <c r="G1636" s="2"/>
      <c r="J1636" s="2"/>
      <c r="M1636" s="2"/>
    </row>
    <row r="1637" spans="1:13" x14ac:dyDescent="0.25">
      <c r="A1637" s="2"/>
      <c r="D1637" s="2"/>
      <c r="G1637" s="2"/>
      <c r="J1637" s="2"/>
      <c r="M1637" s="2"/>
    </row>
    <row r="1638" spans="1:13" x14ac:dyDescent="0.25">
      <c r="A1638" s="2"/>
      <c r="D1638" s="2"/>
      <c r="G1638" s="2"/>
      <c r="J1638" s="2"/>
      <c r="M1638" s="2"/>
    </row>
    <row r="1639" spans="1:13" x14ac:dyDescent="0.25">
      <c r="A1639" s="2"/>
      <c r="D1639" s="2"/>
      <c r="G1639" s="2"/>
      <c r="J1639" s="2"/>
      <c r="M1639" s="2"/>
    </row>
    <row r="1640" spans="1:13" x14ac:dyDescent="0.25">
      <c r="A1640" s="2"/>
      <c r="D1640" s="2"/>
      <c r="G1640" s="2"/>
      <c r="J1640" s="2"/>
      <c r="M1640" s="2"/>
    </row>
    <row r="1641" spans="1:13" x14ac:dyDescent="0.25">
      <c r="A1641" s="2"/>
      <c r="D1641" s="2"/>
      <c r="G1641" s="2"/>
      <c r="J1641" s="2"/>
      <c r="M1641" s="2"/>
    </row>
    <row r="1642" spans="1:13" x14ac:dyDescent="0.25">
      <c r="A1642" s="2"/>
      <c r="D1642" s="2"/>
      <c r="G1642" s="2"/>
      <c r="J1642" s="2"/>
      <c r="M1642" s="2"/>
    </row>
    <row r="1643" spans="1:13" x14ac:dyDescent="0.25">
      <c r="A1643" s="2"/>
      <c r="D1643" s="2"/>
      <c r="G1643" s="2"/>
      <c r="J1643" s="2"/>
      <c r="M1643" s="2"/>
    </row>
    <row r="1644" spans="1:13" x14ac:dyDescent="0.25">
      <c r="A1644" s="2"/>
      <c r="D1644" s="2"/>
      <c r="G1644" s="2"/>
      <c r="J1644" s="2"/>
      <c r="M1644" s="2"/>
    </row>
    <row r="1645" spans="1:13" x14ac:dyDescent="0.25">
      <c r="A1645" s="2"/>
      <c r="D1645" s="2"/>
      <c r="G1645" s="2"/>
      <c r="J1645" s="2"/>
      <c r="M1645" s="2"/>
    </row>
    <row r="1646" spans="1:13" x14ac:dyDescent="0.25">
      <c r="A1646" s="2"/>
      <c r="D1646" s="2"/>
      <c r="G1646" s="2"/>
      <c r="J1646" s="2"/>
      <c r="M1646" s="2"/>
    </row>
    <row r="1647" spans="1:13" x14ac:dyDescent="0.25">
      <c r="A1647" s="2"/>
      <c r="D1647" s="2"/>
      <c r="G1647" s="2"/>
      <c r="J1647" s="2"/>
      <c r="M1647" s="2"/>
    </row>
    <row r="1648" spans="1:13" x14ac:dyDescent="0.25">
      <c r="A1648" s="2"/>
      <c r="D1648" s="2"/>
      <c r="G1648" s="2"/>
      <c r="J1648" s="2"/>
      <c r="M1648" s="2"/>
    </row>
    <row r="1649" spans="1:13" x14ac:dyDescent="0.25">
      <c r="A1649" s="2"/>
      <c r="D1649" s="2"/>
      <c r="G1649" s="2"/>
      <c r="J1649" s="2"/>
      <c r="M1649" s="2"/>
    </row>
    <row r="1650" spans="1:13" x14ac:dyDescent="0.25">
      <c r="A1650" s="2"/>
      <c r="D1650" s="2"/>
      <c r="G1650" s="2"/>
      <c r="J1650" s="2"/>
      <c r="M1650" s="2"/>
    </row>
    <row r="1651" spans="1:13" x14ac:dyDescent="0.25">
      <c r="A1651" s="2"/>
      <c r="D1651" s="2"/>
      <c r="G1651" s="2"/>
      <c r="J1651" s="2"/>
      <c r="M1651" s="2"/>
    </row>
    <row r="1652" spans="1:13" x14ac:dyDescent="0.25">
      <c r="A1652" s="2"/>
      <c r="D1652" s="2"/>
      <c r="G1652" s="2"/>
      <c r="J1652" s="2"/>
      <c r="M1652" s="2"/>
    </row>
    <row r="1653" spans="1:13" x14ac:dyDescent="0.25">
      <c r="A1653" s="2"/>
      <c r="D1653" s="2"/>
      <c r="G1653" s="2"/>
      <c r="J1653" s="2"/>
      <c r="M1653" s="2"/>
    </row>
    <row r="1654" spans="1:13" x14ac:dyDescent="0.25">
      <c r="A1654" s="2"/>
      <c r="D1654" s="2"/>
      <c r="G1654" s="2"/>
      <c r="J1654" s="2"/>
      <c r="M1654" s="2"/>
    </row>
    <row r="1655" spans="1:13" x14ac:dyDescent="0.25">
      <c r="A1655" s="2"/>
      <c r="D1655" s="2"/>
      <c r="G1655" s="2"/>
      <c r="J1655" s="2"/>
      <c r="M1655" s="2"/>
    </row>
    <row r="1656" spans="1:13" x14ac:dyDescent="0.25">
      <c r="A1656" s="2"/>
      <c r="D1656" s="2"/>
      <c r="G1656" s="2"/>
      <c r="J1656" s="2"/>
      <c r="M1656" s="2"/>
    </row>
    <row r="1657" spans="1:13" x14ac:dyDescent="0.25">
      <c r="A1657" s="2"/>
      <c r="D1657" s="2"/>
      <c r="G1657" s="2"/>
      <c r="J1657" s="2"/>
      <c r="M1657" s="2"/>
    </row>
    <row r="1658" spans="1:13" x14ac:dyDescent="0.25">
      <c r="A1658" s="2"/>
      <c r="D1658" s="2"/>
      <c r="G1658" s="2"/>
      <c r="J1658" s="2"/>
      <c r="M1658" s="2"/>
    </row>
    <row r="1659" spans="1:13" x14ac:dyDescent="0.25">
      <c r="A1659" s="2"/>
      <c r="D1659" s="2"/>
      <c r="G1659" s="2"/>
      <c r="J1659" s="2"/>
      <c r="M1659" s="2"/>
    </row>
    <row r="1660" spans="1:13" x14ac:dyDescent="0.25">
      <c r="A1660" s="2"/>
      <c r="D1660" s="2"/>
      <c r="G1660" s="2"/>
      <c r="J1660" s="2"/>
      <c r="M1660" s="2"/>
    </row>
    <row r="1661" spans="1:13" x14ac:dyDescent="0.25">
      <c r="A1661" s="2"/>
      <c r="D1661" s="2"/>
      <c r="G1661" s="2"/>
      <c r="J1661" s="2"/>
      <c r="M1661" s="2"/>
    </row>
    <row r="1662" spans="1:13" x14ac:dyDescent="0.25">
      <c r="A1662" s="2"/>
      <c r="D1662" s="2"/>
      <c r="G1662" s="2"/>
      <c r="J1662" s="2"/>
      <c r="M1662" s="2"/>
    </row>
    <row r="1663" spans="1:13" x14ac:dyDescent="0.25">
      <c r="A1663" s="2"/>
      <c r="D1663" s="2"/>
      <c r="G1663" s="2"/>
      <c r="J1663" s="2"/>
      <c r="M1663" s="2"/>
    </row>
    <row r="1664" spans="1:13" x14ac:dyDescent="0.25">
      <c r="A1664" s="2"/>
      <c r="D1664" s="2"/>
      <c r="G1664" s="2"/>
      <c r="J1664" s="2"/>
      <c r="M1664" s="2"/>
    </row>
    <row r="1665" spans="1:13" x14ac:dyDescent="0.25">
      <c r="A1665" s="2"/>
      <c r="D1665" s="2"/>
      <c r="G1665" s="2"/>
      <c r="J1665" s="2"/>
      <c r="M1665" s="2"/>
    </row>
    <row r="1666" spans="1:13" x14ac:dyDescent="0.25">
      <c r="A1666" s="2"/>
      <c r="D1666" s="2"/>
      <c r="G1666" s="2"/>
      <c r="J1666" s="2"/>
      <c r="M1666" s="2"/>
    </row>
    <row r="1667" spans="1:13" x14ac:dyDescent="0.25">
      <c r="A1667" s="2"/>
      <c r="D1667" s="2"/>
      <c r="G1667" s="2"/>
      <c r="J1667" s="2"/>
      <c r="M1667" s="2"/>
    </row>
    <row r="1668" spans="1:13" x14ac:dyDescent="0.25">
      <c r="A1668" s="2"/>
      <c r="D1668" s="2"/>
      <c r="G1668" s="2"/>
      <c r="J1668" s="2"/>
      <c r="M1668" s="2"/>
    </row>
    <row r="1669" spans="1:13" x14ac:dyDescent="0.25">
      <c r="A1669" s="2"/>
      <c r="D1669" s="2"/>
      <c r="G1669" s="2"/>
      <c r="J1669" s="2"/>
      <c r="M1669" s="2"/>
    </row>
    <row r="1670" spans="1:13" x14ac:dyDescent="0.25">
      <c r="A1670" s="2"/>
      <c r="D1670" s="2"/>
      <c r="G1670" s="2"/>
      <c r="J1670" s="2"/>
      <c r="M1670" s="2"/>
    </row>
    <row r="1671" spans="1:13" x14ac:dyDescent="0.25">
      <c r="A1671" s="2"/>
      <c r="D1671" s="2"/>
      <c r="G1671" s="2"/>
      <c r="J1671" s="2"/>
      <c r="M1671" s="2"/>
    </row>
    <row r="1672" spans="1:13" x14ac:dyDescent="0.25">
      <c r="A1672" s="2"/>
      <c r="D1672" s="2"/>
      <c r="G1672" s="2"/>
      <c r="J1672" s="2"/>
      <c r="M1672" s="2"/>
    </row>
    <row r="1673" spans="1:13" x14ac:dyDescent="0.25">
      <c r="A1673" s="2"/>
      <c r="D1673" s="2"/>
      <c r="G1673" s="2"/>
      <c r="J1673" s="2"/>
      <c r="M1673" s="2"/>
    </row>
    <row r="1674" spans="1:13" x14ac:dyDescent="0.25">
      <c r="A1674" s="2"/>
      <c r="D1674" s="2"/>
      <c r="G1674" s="2"/>
      <c r="J1674" s="2"/>
      <c r="M1674" s="2"/>
    </row>
    <row r="1675" spans="1:13" x14ac:dyDescent="0.25">
      <c r="A1675" s="2"/>
      <c r="D1675" s="2"/>
      <c r="G1675" s="2"/>
      <c r="J1675" s="2"/>
      <c r="M1675" s="2"/>
    </row>
    <row r="1676" spans="1:13" x14ac:dyDescent="0.25">
      <c r="A1676" s="2"/>
      <c r="D1676" s="2"/>
      <c r="G1676" s="2"/>
      <c r="J1676" s="2"/>
      <c r="M1676" s="2"/>
    </row>
    <row r="1677" spans="1:13" x14ac:dyDescent="0.25">
      <c r="A1677" s="2"/>
      <c r="D1677" s="2"/>
      <c r="G1677" s="2"/>
      <c r="J1677" s="2"/>
      <c r="M1677" s="2"/>
    </row>
    <row r="1678" spans="1:13" x14ac:dyDescent="0.25">
      <c r="A1678" s="2"/>
      <c r="D1678" s="2"/>
      <c r="G1678" s="2"/>
      <c r="J1678" s="2"/>
      <c r="M1678" s="2"/>
    </row>
    <row r="1679" spans="1:13" x14ac:dyDescent="0.25">
      <c r="A1679" s="2"/>
      <c r="D1679" s="2"/>
      <c r="G1679" s="2"/>
      <c r="J1679" s="2"/>
      <c r="M1679" s="2"/>
    </row>
    <row r="1680" spans="1:13" x14ac:dyDescent="0.25">
      <c r="A1680" s="2"/>
      <c r="D1680" s="2"/>
      <c r="G1680" s="2"/>
      <c r="J1680" s="2"/>
      <c r="M1680" s="2"/>
    </row>
    <row r="1681" spans="1:13" x14ac:dyDescent="0.25">
      <c r="A1681" s="2"/>
      <c r="D1681" s="2"/>
      <c r="G1681" s="2"/>
      <c r="J1681" s="2"/>
      <c r="M1681" s="2"/>
    </row>
    <row r="1682" spans="1:13" x14ac:dyDescent="0.25">
      <c r="A1682" s="2"/>
      <c r="D1682" s="2"/>
      <c r="G1682" s="2"/>
      <c r="J1682" s="2"/>
      <c r="M1682" s="2"/>
    </row>
    <row r="1683" spans="1:13" x14ac:dyDescent="0.25">
      <c r="A1683" s="2"/>
      <c r="D1683" s="2"/>
      <c r="G1683" s="2"/>
      <c r="J1683" s="2"/>
      <c r="M1683" s="2"/>
    </row>
    <row r="1684" spans="1:13" x14ac:dyDescent="0.25">
      <c r="A1684" s="2"/>
      <c r="D1684" s="2"/>
      <c r="G1684" s="2"/>
      <c r="J1684" s="2"/>
      <c r="M1684" s="2"/>
    </row>
    <row r="1685" spans="1:13" x14ac:dyDescent="0.25">
      <c r="A1685" s="2"/>
      <c r="D1685" s="2"/>
      <c r="G1685" s="2"/>
      <c r="J1685" s="2"/>
      <c r="M1685" s="2"/>
    </row>
    <row r="1686" spans="1:13" x14ac:dyDescent="0.25">
      <c r="A1686" s="2"/>
      <c r="D1686" s="2"/>
      <c r="G1686" s="2"/>
      <c r="J1686" s="2"/>
      <c r="M1686" s="2"/>
    </row>
    <row r="1687" spans="1:13" x14ac:dyDescent="0.25">
      <c r="A1687" s="2"/>
      <c r="D1687" s="2"/>
      <c r="G1687" s="2"/>
      <c r="J1687" s="2"/>
      <c r="M1687" s="2"/>
    </row>
    <row r="1688" spans="1:13" x14ac:dyDescent="0.25">
      <c r="A1688" s="2"/>
      <c r="D1688" s="2"/>
      <c r="G1688" s="2"/>
      <c r="J1688" s="2"/>
      <c r="M1688" s="2"/>
    </row>
    <row r="1689" spans="1:13" x14ac:dyDescent="0.25">
      <c r="A1689" s="2"/>
      <c r="D1689" s="2"/>
      <c r="G1689" s="2"/>
      <c r="J1689" s="2"/>
      <c r="M1689" s="2"/>
    </row>
    <row r="1690" spans="1:13" x14ac:dyDescent="0.25">
      <c r="A1690" s="2"/>
      <c r="D1690" s="2"/>
      <c r="G1690" s="2"/>
      <c r="J1690" s="2"/>
      <c r="M1690" s="2"/>
    </row>
    <row r="1691" spans="1:13" x14ac:dyDescent="0.25">
      <c r="A1691" s="2"/>
      <c r="D1691" s="2"/>
      <c r="G1691" s="2"/>
      <c r="J1691" s="2"/>
      <c r="M1691" s="2"/>
    </row>
    <row r="1692" spans="1:13" x14ac:dyDescent="0.25">
      <c r="A1692" s="2"/>
      <c r="D1692" s="2"/>
      <c r="G1692" s="2"/>
      <c r="J1692" s="2"/>
      <c r="M1692" s="2"/>
    </row>
    <row r="1693" spans="1:13" x14ac:dyDescent="0.25">
      <c r="A1693" s="2"/>
      <c r="D1693" s="2"/>
      <c r="G1693" s="2"/>
      <c r="J1693" s="2"/>
      <c r="M1693" s="2"/>
    </row>
    <row r="1694" spans="1:13" x14ac:dyDescent="0.25">
      <c r="A1694" s="2"/>
      <c r="D1694" s="2"/>
      <c r="G1694" s="2"/>
      <c r="J1694" s="2"/>
      <c r="M1694" s="2"/>
    </row>
    <row r="1695" spans="1:13" x14ac:dyDescent="0.25">
      <c r="A1695" s="2"/>
      <c r="D1695" s="2"/>
      <c r="G1695" s="2"/>
      <c r="J1695" s="2"/>
      <c r="M1695" s="2"/>
    </row>
    <row r="1696" spans="1:13" x14ac:dyDescent="0.25">
      <c r="A1696" s="2"/>
      <c r="D1696" s="2"/>
      <c r="G1696" s="2"/>
      <c r="J1696" s="2"/>
      <c r="M1696" s="2"/>
    </row>
    <row r="1697" spans="1:13" x14ac:dyDescent="0.25">
      <c r="A1697" s="2"/>
      <c r="D1697" s="2"/>
      <c r="G1697" s="2"/>
      <c r="J1697" s="2"/>
      <c r="M1697" s="2"/>
    </row>
    <row r="1698" spans="1:13" x14ac:dyDescent="0.25">
      <c r="A1698" s="2"/>
      <c r="D1698" s="2"/>
      <c r="G1698" s="2"/>
      <c r="J1698" s="2"/>
      <c r="M1698" s="2"/>
    </row>
    <row r="1699" spans="1:13" x14ac:dyDescent="0.25">
      <c r="A1699" s="2"/>
      <c r="D1699" s="2"/>
      <c r="G1699" s="2"/>
      <c r="J1699" s="2"/>
      <c r="M1699" s="2"/>
    </row>
    <row r="1700" spans="1:13" x14ac:dyDescent="0.25">
      <c r="A1700" s="2"/>
      <c r="D1700" s="2"/>
      <c r="G1700" s="2"/>
      <c r="J1700" s="2"/>
      <c r="M1700" s="2"/>
    </row>
    <row r="1701" spans="1:13" x14ac:dyDescent="0.25">
      <c r="A1701" s="2"/>
      <c r="D1701" s="2"/>
      <c r="G1701" s="2"/>
      <c r="J1701" s="2"/>
      <c r="M1701" s="2"/>
    </row>
    <row r="1702" spans="1:13" x14ac:dyDescent="0.25">
      <c r="A1702" s="2"/>
      <c r="D1702" s="2"/>
      <c r="G1702" s="2"/>
      <c r="J1702" s="2"/>
      <c r="M1702" s="2"/>
    </row>
    <row r="1703" spans="1:13" x14ac:dyDescent="0.25">
      <c r="A1703" s="2"/>
      <c r="D1703" s="2"/>
      <c r="G1703" s="2"/>
      <c r="J1703" s="2"/>
      <c r="M1703" s="2"/>
    </row>
    <row r="1704" spans="1:13" x14ac:dyDescent="0.25">
      <c r="A1704" s="2"/>
      <c r="D1704" s="2"/>
      <c r="G1704" s="2"/>
      <c r="J1704" s="2"/>
      <c r="M1704" s="2"/>
    </row>
    <row r="1705" spans="1:13" x14ac:dyDescent="0.25">
      <c r="A1705" s="2"/>
      <c r="D1705" s="2"/>
      <c r="G1705" s="2"/>
      <c r="J1705" s="2"/>
      <c r="M1705" s="2"/>
    </row>
    <row r="1706" spans="1:13" x14ac:dyDescent="0.25">
      <c r="A1706" s="2"/>
      <c r="D1706" s="2"/>
      <c r="G1706" s="2"/>
      <c r="J1706" s="2"/>
      <c r="M1706" s="2"/>
    </row>
    <row r="1707" spans="1:13" x14ac:dyDescent="0.25">
      <c r="A1707" s="2"/>
      <c r="D1707" s="2"/>
      <c r="G1707" s="2"/>
      <c r="J1707" s="2"/>
      <c r="M1707" s="2"/>
    </row>
    <row r="1708" spans="1:13" x14ac:dyDescent="0.25">
      <c r="A1708" s="2"/>
      <c r="D1708" s="2"/>
      <c r="G1708" s="2"/>
      <c r="J1708" s="2"/>
      <c r="M1708" s="2"/>
    </row>
    <row r="1709" spans="1:13" x14ac:dyDescent="0.25">
      <c r="A1709" s="2"/>
      <c r="D1709" s="2"/>
      <c r="G1709" s="2"/>
      <c r="J1709" s="2"/>
      <c r="M1709" s="2"/>
    </row>
    <row r="1710" spans="1:13" x14ac:dyDescent="0.25">
      <c r="A1710" s="2"/>
      <c r="D1710" s="2"/>
      <c r="G1710" s="2"/>
      <c r="J1710" s="2"/>
      <c r="M1710" s="2"/>
    </row>
    <row r="1711" spans="1:13" x14ac:dyDescent="0.25">
      <c r="A1711" s="2"/>
      <c r="D1711" s="2"/>
      <c r="G1711" s="2"/>
      <c r="J1711" s="2"/>
      <c r="M1711" s="2"/>
    </row>
    <row r="1712" spans="1:13" x14ac:dyDescent="0.25">
      <c r="A1712" s="2"/>
      <c r="D1712" s="2"/>
      <c r="G1712" s="2"/>
      <c r="J1712" s="2"/>
      <c r="M1712" s="2"/>
    </row>
    <row r="1713" spans="1:13" x14ac:dyDescent="0.25">
      <c r="A1713" s="2"/>
      <c r="D1713" s="2"/>
      <c r="G1713" s="2"/>
      <c r="J1713" s="2"/>
      <c r="M1713" s="2"/>
    </row>
    <row r="1714" spans="1:13" x14ac:dyDescent="0.25">
      <c r="A1714" s="2"/>
      <c r="D1714" s="2"/>
      <c r="G1714" s="2"/>
      <c r="J1714" s="2"/>
      <c r="M1714" s="2"/>
    </row>
    <row r="1715" spans="1:13" x14ac:dyDescent="0.25">
      <c r="A1715" s="2"/>
      <c r="D1715" s="2"/>
      <c r="G1715" s="2"/>
      <c r="J1715" s="2"/>
      <c r="M1715" s="2"/>
    </row>
    <row r="1716" spans="1:13" x14ac:dyDescent="0.25">
      <c r="A1716" s="2"/>
      <c r="D1716" s="2"/>
      <c r="G1716" s="2"/>
      <c r="J1716" s="2"/>
      <c r="M1716" s="2"/>
    </row>
    <row r="1717" spans="1:13" x14ac:dyDescent="0.25">
      <c r="A1717" s="2"/>
      <c r="D1717" s="2"/>
      <c r="G1717" s="2"/>
      <c r="J1717" s="2"/>
      <c r="M1717" s="2"/>
    </row>
    <row r="1718" spans="1:13" x14ac:dyDescent="0.25">
      <c r="A1718" s="2"/>
      <c r="D1718" s="2"/>
      <c r="G1718" s="2"/>
      <c r="J1718" s="2"/>
      <c r="M1718" s="2"/>
    </row>
    <row r="1719" spans="1:13" x14ac:dyDescent="0.25">
      <c r="A1719" s="2"/>
      <c r="D1719" s="2"/>
      <c r="G1719" s="2"/>
      <c r="J1719" s="2"/>
      <c r="M1719" s="2"/>
    </row>
    <row r="1720" spans="1:13" x14ac:dyDescent="0.25">
      <c r="A1720" s="2"/>
      <c r="D1720" s="2"/>
      <c r="G1720" s="2"/>
      <c r="J1720" s="2"/>
      <c r="M1720" s="2"/>
    </row>
    <row r="1721" spans="1:13" x14ac:dyDescent="0.25">
      <c r="A1721" s="2"/>
      <c r="D1721" s="2"/>
      <c r="G1721" s="2"/>
      <c r="J1721" s="2"/>
      <c r="M1721" s="2"/>
    </row>
    <row r="1722" spans="1:13" x14ac:dyDescent="0.25">
      <c r="A1722" s="2"/>
      <c r="D1722" s="2"/>
      <c r="G1722" s="2"/>
      <c r="J1722" s="2"/>
      <c r="M1722" s="2"/>
    </row>
    <row r="1723" spans="1:13" x14ac:dyDescent="0.25">
      <c r="A1723" s="2"/>
      <c r="D1723" s="2"/>
      <c r="G1723" s="2"/>
      <c r="J1723" s="2"/>
      <c r="M1723" s="2"/>
    </row>
    <row r="1724" spans="1:13" x14ac:dyDescent="0.25">
      <c r="A1724" s="2"/>
      <c r="D1724" s="2"/>
      <c r="G1724" s="2"/>
      <c r="J1724" s="2"/>
      <c r="M1724" s="2"/>
    </row>
    <row r="1725" spans="1:13" x14ac:dyDescent="0.25">
      <c r="A1725" s="2"/>
      <c r="D1725" s="2"/>
      <c r="G1725" s="2"/>
      <c r="J1725" s="2"/>
      <c r="M1725" s="2"/>
    </row>
    <row r="1726" spans="1:13" x14ac:dyDescent="0.25">
      <c r="A1726" s="2"/>
      <c r="D1726" s="2"/>
      <c r="G1726" s="2"/>
      <c r="J1726" s="2"/>
      <c r="M1726" s="2"/>
    </row>
    <row r="1727" spans="1:13" x14ac:dyDescent="0.25">
      <c r="A1727" s="2"/>
      <c r="D1727" s="2"/>
      <c r="G1727" s="2"/>
      <c r="J1727" s="2"/>
      <c r="M1727" s="2"/>
    </row>
    <row r="1728" spans="1:13" x14ac:dyDescent="0.25">
      <c r="A1728" s="2"/>
      <c r="D1728" s="2"/>
      <c r="G1728" s="2"/>
      <c r="J1728" s="2"/>
      <c r="M1728" s="2"/>
    </row>
    <row r="1729" spans="1:13" x14ac:dyDescent="0.25">
      <c r="A1729" s="2"/>
      <c r="D1729" s="2"/>
      <c r="G1729" s="2"/>
      <c r="J1729" s="2"/>
      <c r="M1729" s="2"/>
    </row>
    <row r="1730" spans="1:13" x14ac:dyDescent="0.25">
      <c r="A1730" s="2"/>
      <c r="D1730" s="2"/>
      <c r="G1730" s="2"/>
      <c r="J1730" s="2"/>
      <c r="M1730" s="2"/>
    </row>
    <row r="1731" spans="1:13" x14ac:dyDescent="0.25">
      <c r="A1731" s="2"/>
      <c r="D1731" s="2"/>
      <c r="G1731" s="2"/>
      <c r="J1731" s="2"/>
      <c r="M1731" s="2"/>
    </row>
    <row r="1732" spans="1:13" x14ac:dyDescent="0.25">
      <c r="A1732" s="2"/>
      <c r="D1732" s="2"/>
      <c r="G1732" s="2"/>
      <c r="J1732" s="2"/>
      <c r="M1732" s="2"/>
    </row>
    <row r="1733" spans="1:13" x14ac:dyDescent="0.25">
      <c r="A1733" s="2"/>
      <c r="D1733" s="2"/>
      <c r="G1733" s="2"/>
      <c r="J1733" s="2"/>
      <c r="M1733" s="2"/>
    </row>
    <row r="1734" spans="1:13" x14ac:dyDescent="0.25">
      <c r="A1734" s="2"/>
      <c r="D1734" s="2"/>
      <c r="G1734" s="2"/>
      <c r="J1734" s="2"/>
      <c r="M1734" s="2"/>
    </row>
    <row r="1735" spans="1:13" x14ac:dyDescent="0.25">
      <c r="A1735" s="2"/>
      <c r="D1735" s="2"/>
      <c r="G1735" s="2"/>
      <c r="J1735" s="2"/>
      <c r="M1735" s="2"/>
    </row>
    <row r="1736" spans="1:13" x14ac:dyDescent="0.25">
      <c r="A1736" s="2"/>
      <c r="D1736" s="2"/>
      <c r="G1736" s="2"/>
      <c r="J1736" s="2"/>
      <c r="M1736" s="2"/>
    </row>
    <row r="1737" spans="1:13" x14ac:dyDescent="0.25">
      <c r="A1737" s="2"/>
      <c r="D1737" s="2"/>
      <c r="G1737" s="2"/>
      <c r="J1737" s="2"/>
      <c r="M1737" s="2"/>
    </row>
    <row r="1738" spans="1:13" x14ac:dyDescent="0.25">
      <c r="A1738" s="2"/>
      <c r="D1738" s="2"/>
      <c r="G1738" s="2"/>
      <c r="J1738" s="2"/>
      <c r="M1738" s="2"/>
    </row>
    <row r="1739" spans="1:13" x14ac:dyDescent="0.25">
      <c r="A1739" s="2"/>
      <c r="D1739" s="2"/>
      <c r="G1739" s="2"/>
      <c r="J1739" s="2"/>
      <c r="M1739" s="2"/>
    </row>
    <row r="1740" spans="1:13" x14ac:dyDescent="0.25">
      <c r="A1740" s="2"/>
      <c r="D1740" s="2"/>
      <c r="G1740" s="2"/>
      <c r="J1740" s="2"/>
      <c r="M1740" s="2"/>
    </row>
    <row r="1741" spans="1:13" x14ac:dyDescent="0.25">
      <c r="A1741" s="2"/>
      <c r="D1741" s="2"/>
      <c r="G1741" s="2"/>
      <c r="J1741" s="2"/>
      <c r="M1741" s="2"/>
    </row>
    <row r="1742" spans="1:13" x14ac:dyDescent="0.25">
      <c r="A1742" s="2"/>
      <c r="D1742" s="2"/>
      <c r="G1742" s="2"/>
      <c r="J1742" s="2"/>
      <c r="M1742" s="2"/>
    </row>
    <row r="1743" spans="1:13" x14ac:dyDescent="0.25">
      <c r="A1743" s="2"/>
      <c r="D1743" s="2"/>
      <c r="G1743" s="2"/>
      <c r="J1743" s="2"/>
      <c r="M1743" s="2"/>
    </row>
    <row r="1744" spans="1:13" x14ac:dyDescent="0.25">
      <c r="A1744" s="2"/>
      <c r="D1744" s="2"/>
      <c r="G1744" s="2"/>
      <c r="J1744" s="2"/>
      <c r="M1744" s="2"/>
    </row>
    <row r="1745" spans="1:13" x14ac:dyDescent="0.25">
      <c r="A1745" s="2"/>
      <c r="D1745" s="2"/>
      <c r="G1745" s="2"/>
      <c r="J1745" s="2"/>
      <c r="M1745" s="2"/>
    </row>
    <row r="1746" spans="1:13" x14ac:dyDescent="0.25">
      <c r="A1746" s="2"/>
      <c r="D1746" s="2"/>
      <c r="G1746" s="2"/>
      <c r="J1746" s="2"/>
      <c r="M1746" s="2"/>
    </row>
    <row r="1747" spans="1:13" x14ac:dyDescent="0.25">
      <c r="A1747" s="2"/>
      <c r="D1747" s="2"/>
      <c r="G1747" s="2"/>
      <c r="J1747" s="2"/>
      <c r="M1747" s="2"/>
    </row>
    <row r="1748" spans="1:13" x14ac:dyDescent="0.25">
      <c r="A1748" s="2"/>
      <c r="D1748" s="2"/>
      <c r="G1748" s="2"/>
      <c r="J1748" s="2"/>
      <c r="M1748" s="2"/>
    </row>
    <row r="1749" spans="1:13" x14ac:dyDescent="0.25">
      <c r="A1749" s="2"/>
      <c r="D1749" s="2"/>
      <c r="G1749" s="2"/>
      <c r="J1749" s="2"/>
      <c r="M1749" s="2"/>
    </row>
    <row r="1750" spans="1:13" x14ac:dyDescent="0.25">
      <c r="A1750" s="2"/>
      <c r="D1750" s="2"/>
      <c r="G1750" s="2"/>
      <c r="J1750" s="2"/>
      <c r="M1750" s="2"/>
    </row>
    <row r="1751" spans="1:13" x14ac:dyDescent="0.25">
      <c r="A1751" s="2"/>
      <c r="D1751" s="2"/>
      <c r="G1751" s="2"/>
      <c r="J1751" s="2"/>
      <c r="M1751" s="2"/>
    </row>
    <row r="1752" spans="1:13" x14ac:dyDescent="0.25">
      <c r="A1752" s="2"/>
      <c r="D1752" s="2"/>
      <c r="G1752" s="2"/>
      <c r="J1752" s="2"/>
      <c r="M1752" s="2"/>
    </row>
    <row r="1753" spans="1:13" x14ac:dyDescent="0.25">
      <c r="A1753" s="2"/>
      <c r="D1753" s="2"/>
      <c r="G1753" s="2"/>
      <c r="J1753" s="2"/>
      <c r="M1753" s="2"/>
    </row>
    <row r="1754" spans="1:13" x14ac:dyDescent="0.25">
      <c r="A1754" s="2"/>
      <c r="D1754" s="2"/>
      <c r="G1754" s="2"/>
      <c r="J1754" s="2"/>
      <c r="M1754" s="2"/>
    </row>
    <row r="1755" spans="1:13" x14ac:dyDescent="0.25">
      <c r="A1755" s="2"/>
      <c r="D1755" s="2"/>
      <c r="G1755" s="2"/>
      <c r="J1755" s="2"/>
      <c r="M1755" s="2"/>
    </row>
    <row r="1756" spans="1:13" x14ac:dyDescent="0.25">
      <c r="A1756" s="2"/>
      <c r="D1756" s="2"/>
      <c r="G1756" s="2"/>
      <c r="J1756" s="2"/>
      <c r="M1756" s="2"/>
    </row>
    <row r="1757" spans="1:13" x14ac:dyDescent="0.25">
      <c r="A1757" s="2"/>
      <c r="D1757" s="2"/>
      <c r="G1757" s="2"/>
      <c r="J1757" s="2"/>
      <c r="M1757" s="2"/>
    </row>
    <row r="1758" spans="1:13" x14ac:dyDescent="0.25">
      <c r="A1758" s="2"/>
      <c r="D1758" s="2"/>
      <c r="G1758" s="2"/>
      <c r="J1758" s="2"/>
      <c r="M1758" s="2"/>
    </row>
    <row r="1759" spans="1:13" x14ac:dyDescent="0.25">
      <c r="A1759" s="2"/>
      <c r="D1759" s="2"/>
      <c r="G1759" s="2"/>
      <c r="J1759" s="2"/>
      <c r="M1759" s="2"/>
    </row>
    <row r="1760" spans="1:13" x14ac:dyDescent="0.25">
      <c r="A1760" s="2"/>
      <c r="D1760" s="2"/>
      <c r="G1760" s="2"/>
      <c r="J1760" s="2"/>
      <c r="M1760" s="2"/>
    </row>
    <row r="1761" spans="1:13" x14ac:dyDescent="0.25">
      <c r="A1761" s="2"/>
      <c r="D1761" s="2"/>
      <c r="G1761" s="2"/>
      <c r="J1761" s="2"/>
      <c r="M1761" s="2"/>
    </row>
    <row r="1762" spans="1:13" x14ac:dyDescent="0.25">
      <c r="A1762" s="2"/>
      <c r="D1762" s="2"/>
      <c r="G1762" s="2"/>
      <c r="J1762" s="2"/>
      <c r="M1762" s="2"/>
    </row>
    <row r="1763" spans="1:13" x14ac:dyDescent="0.25">
      <c r="A1763" s="2"/>
      <c r="D1763" s="2"/>
      <c r="G1763" s="2"/>
      <c r="J1763" s="2"/>
      <c r="M1763" s="2"/>
    </row>
    <row r="1764" spans="1:13" x14ac:dyDescent="0.25">
      <c r="A1764" s="2"/>
      <c r="D1764" s="2"/>
      <c r="G1764" s="2"/>
      <c r="J1764" s="2"/>
      <c r="M1764" s="2"/>
    </row>
    <row r="1765" spans="1:13" x14ac:dyDescent="0.25">
      <c r="A1765" s="2"/>
      <c r="D1765" s="2"/>
      <c r="G1765" s="2"/>
      <c r="J1765" s="2"/>
      <c r="M1765" s="2"/>
    </row>
    <row r="1766" spans="1:13" x14ac:dyDescent="0.25">
      <c r="A1766" s="2"/>
      <c r="D1766" s="2"/>
      <c r="G1766" s="2"/>
      <c r="J1766" s="2"/>
      <c r="M1766" s="2"/>
    </row>
    <row r="1767" spans="1:13" x14ac:dyDescent="0.25">
      <c r="A1767" s="2"/>
      <c r="D1767" s="2"/>
      <c r="G1767" s="2"/>
      <c r="J1767" s="2"/>
      <c r="M1767" s="2"/>
    </row>
    <row r="1768" spans="1:13" x14ac:dyDescent="0.25">
      <c r="A1768" s="2"/>
      <c r="D1768" s="2"/>
      <c r="G1768" s="2"/>
      <c r="J1768" s="2"/>
      <c r="M1768" s="2"/>
    </row>
    <row r="1769" spans="1:13" x14ac:dyDescent="0.25">
      <c r="A1769" s="2"/>
      <c r="D1769" s="2"/>
      <c r="G1769" s="2"/>
      <c r="J1769" s="2"/>
      <c r="M1769" s="2"/>
    </row>
    <row r="1770" spans="1:13" x14ac:dyDescent="0.25">
      <c r="A1770" s="2"/>
      <c r="D1770" s="2"/>
      <c r="G1770" s="2"/>
      <c r="J1770" s="2"/>
      <c r="M1770" s="2"/>
    </row>
    <row r="1771" spans="1:13" x14ac:dyDescent="0.25">
      <c r="A1771" s="2"/>
      <c r="D1771" s="2"/>
      <c r="G1771" s="2"/>
      <c r="J1771" s="2"/>
      <c r="M1771" s="2"/>
    </row>
    <row r="1772" spans="1:13" x14ac:dyDescent="0.25">
      <c r="A1772" s="2"/>
      <c r="D1772" s="2"/>
      <c r="G1772" s="2"/>
      <c r="J1772" s="2"/>
      <c r="M1772" s="2"/>
    </row>
    <row r="1773" spans="1:13" x14ac:dyDescent="0.25">
      <c r="A1773" s="2"/>
      <c r="D1773" s="2"/>
      <c r="G1773" s="2"/>
      <c r="J1773" s="2"/>
      <c r="M1773" s="2"/>
    </row>
    <row r="1774" spans="1:13" x14ac:dyDescent="0.25">
      <c r="A1774" s="2"/>
      <c r="D1774" s="2"/>
      <c r="G1774" s="2"/>
      <c r="J1774" s="2"/>
      <c r="M1774" s="2"/>
    </row>
    <row r="1775" spans="1:13" x14ac:dyDescent="0.25">
      <c r="A1775" s="2"/>
      <c r="D1775" s="2"/>
      <c r="G1775" s="2"/>
      <c r="J1775" s="2"/>
      <c r="M1775" s="2"/>
    </row>
    <row r="1776" spans="1:13" x14ac:dyDescent="0.25">
      <c r="A1776" s="2"/>
      <c r="D1776" s="2"/>
      <c r="G1776" s="2"/>
      <c r="J1776" s="2"/>
      <c r="M1776" s="2"/>
    </row>
    <row r="1777" spans="1:13" x14ac:dyDescent="0.25">
      <c r="A1777" s="2"/>
      <c r="D1777" s="2"/>
      <c r="G1777" s="2"/>
      <c r="J1777" s="2"/>
      <c r="M1777" s="2"/>
    </row>
    <row r="1778" spans="1:13" x14ac:dyDescent="0.25">
      <c r="A1778" s="2"/>
      <c r="D1778" s="2"/>
      <c r="G1778" s="2"/>
      <c r="J1778" s="2"/>
      <c r="M1778" s="2"/>
    </row>
    <row r="1779" spans="1:13" x14ac:dyDescent="0.25">
      <c r="A1779" s="2"/>
      <c r="D1779" s="2"/>
      <c r="G1779" s="2"/>
      <c r="J1779" s="2"/>
      <c r="M1779" s="2"/>
    </row>
    <row r="1780" spans="1:13" x14ac:dyDescent="0.25">
      <c r="A1780" s="2"/>
      <c r="D1780" s="2"/>
      <c r="G1780" s="2"/>
      <c r="J1780" s="2"/>
      <c r="M1780" s="2"/>
    </row>
    <row r="1781" spans="1:13" x14ac:dyDescent="0.25">
      <c r="A1781" s="2"/>
      <c r="D1781" s="2"/>
      <c r="G1781" s="2"/>
      <c r="J1781" s="2"/>
      <c r="M1781" s="2"/>
    </row>
    <row r="1782" spans="1:13" x14ac:dyDescent="0.25">
      <c r="A1782" s="2"/>
      <c r="D1782" s="2"/>
      <c r="G1782" s="2"/>
      <c r="J1782" s="2"/>
      <c r="M1782" s="2"/>
    </row>
    <row r="1783" spans="1:13" x14ac:dyDescent="0.25">
      <c r="A1783" s="2"/>
      <c r="D1783" s="2"/>
      <c r="G1783" s="2"/>
      <c r="J1783" s="2"/>
      <c r="M1783" s="2"/>
    </row>
    <row r="1784" spans="1:13" x14ac:dyDescent="0.25">
      <c r="A1784" s="2"/>
      <c r="D1784" s="2"/>
      <c r="G1784" s="2"/>
      <c r="J1784" s="2"/>
      <c r="M1784" s="2"/>
    </row>
    <row r="1785" spans="1:13" x14ac:dyDescent="0.25">
      <c r="A1785" s="2"/>
      <c r="D1785" s="2"/>
      <c r="G1785" s="2"/>
      <c r="J1785" s="2"/>
      <c r="M1785" s="2"/>
    </row>
    <row r="1786" spans="1:13" x14ac:dyDescent="0.25">
      <c r="A1786" s="2"/>
      <c r="D1786" s="2"/>
      <c r="G1786" s="2"/>
      <c r="J1786" s="2"/>
      <c r="M1786" s="2"/>
    </row>
    <row r="1787" spans="1:13" x14ac:dyDescent="0.25">
      <c r="A1787" s="2"/>
      <c r="D1787" s="2"/>
      <c r="G1787" s="2"/>
      <c r="J1787" s="2"/>
      <c r="M1787" s="2"/>
    </row>
    <row r="1788" spans="1:13" x14ac:dyDescent="0.25">
      <c r="A1788" s="2"/>
      <c r="D1788" s="2"/>
      <c r="G1788" s="2"/>
      <c r="J1788" s="2"/>
      <c r="M1788" s="2"/>
    </row>
    <row r="1789" spans="1:13" x14ac:dyDescent="0.25">
      <c r="A1789" s="2"/>
      <c r="D1789" s="2"/>
      <c r="G1789" s="2"/>
      <c r="J1789" s="2"/>
      <c r="M1789" s="2"/>
    </row>
    <row r="1790" spans="1:13" x14ac:dyDescent="0.25">
      <c r="A1790" s="2"/>
      <c r="D1790" s="2"/>
      <c r="G1790" s="2"/>
      <c r="J1790" s="2"/>
      <c r="M1790" s="2"/>
    </row>
    <row r="1791" spans="1:13" x14ac:dyDescent="0.25">
      <c r="A1791" s="2"/>
      <c r="D1791" s="2"/>
      <c r="G1791" s="2"/>
      <c r="J1791" s="2"/>
      <c r="M1791" s="2"/>
    </row>
    <row r="1792" spans="1:13" x14ac:dyDescent="0.25">
      <c r="A1792" s="2"/>
      <c r="D1792" s="2"/>
      <c r="G1792" s="2"/>
      <c r="J1792" s="2"/>
      <c r="M1792" s="2"/>
    </row>
    <row r="1793" spans="1:13" x14ac:dyDescent="0.25">
      <c r="A1793" s="2"/>
      <c r="D1793" s="2"/>
      <c r="G1793" s="2"/>
      <c r="J1793" s="2"/>
      <c r="M1793" s="2"/>
    </row>
    <row r="1794" spans="1:13" x14ac:dyDescent="0.25">
      <c r="A1794" s="2"/>
      <c r="D1794" s="2"/>
      <c r="G1794" s="2"/>
      <c r="J1794" s="2"/>
      <c r="M1794" s="2"/>
    </row>
    <row r="1795" spans="1:13" x14ac:dyDescent="0.25">
      <c r="A1795" s="2"/>
      <c r="D1795" s="2"/>
      <c r="G1795" s="2"/>
      <c r="J1795" s="2"/>
      <c r="M1795" s="2"/>
    </row>
    <row r="1796" spans="1:13" x14ac:dyDescent="0.25">
      <c r="A1796" s="2"/>
      <c r="D1796" s="2"/>
      <c r="G1796" s="2"/>
      <c r="J1796" s="2"/>
      <c r="M1796" s="2"/>
    </row>
    <row r="1797" spans="1:13" x14ac:dyDescent="0.25">
      <c r="A1797" s="2"/>
      <c r="D1797" s="2"/>
      <c r="G1797" s="2"/>
      <c r="J1797" s="2"/>
      <c r="M1797" s="2"/>
    </row>
    <row r="1798" spans="1:13" x14ac:dyDescent="0.25">
      <c r="A1798" s="2"/>
      <c r="D1798" s="2"/>
      <c r="G1798" s="2"/>
      <c r="J1798" s="2"/>
      <c r="M1798" s="2"/>
    </row>
    <row r="1799" spans="1:13" x14ac:dyDescent="0.25">
      <c r="A1799" s="2"/>
      <c r="D1799" s="2"/>
      <c r="G1799" s="2"/>
      <c r="J1799" s="2"/>
      <c r="M1799" s="2"/>
    </row>
    <row r="1800" spans="1:13" x14ac:dyDescent="0.25">
      <c r="A1800" s="2"/>
      <c r="D1800" s="2"/>
      <c r="G1800" s="2"/>
      <c r="J1800" s="2"/>
      <c r="M1800" s="2"/>
    </row>
    <row r="1801" spans="1:13" x14ac:dyDescent="0.25">
      <c r="A1801" s="2"/>
      <c r="D1801" s="2"/>
      <c r="G1801" s="2"/>
      <c r="J1801" s="2"/>
      <c r="M1801" s="2"/>
    </row>
    <row r="1802" spans="1:13" x14ac:dyDescent="0.25">
      <c r="A1802" s="2"/>
      <c r="D1802" s="2"/>
      <c r="G1802" s="2"/>
      <c r="J1802" s="2"/>
      <c r="M1802" s="2"/>
    </row>
    <row r="1803" spans="1:13" x14ac:dyDescent="0.25">
      <c r="A1803" s="2"/>
      <c r="D1803" s="2"/>
      <c r="G1803" s="2"/>
      <c r="J1803" s="2"/>
      <c r="M1803" s="2"/>
    </row>
    <row r="1804" spans="1:13" x14ac:dyDescent="0.25">
      <c r="A1804" s="2"/>
      <c r="D1804" s="2"/>
      <c r="G1804" s="2"/>
      <c r="J1804" s="2"/>
      <c r="M1804" s="2"/>
    </row>
    <row r="1805" spans="1:13" x14ac:dyDescent="0.25">
      <c r="A1805" s="2"/>
      <c r="D1805" s="2"/>
      <c r="G1805" s="2"/>
      <c r="J1805" s="2"/>
      <c r="M1805" s="2"/>
    </row>
    <row r="1806" spans="1:13" x14ac:dyDescent="0.25">
      <c r="A1806" s="2"/>
      <c r="D1806" s="2"/>
      <c r="G1806" s="2"/>
      <c r="J1806" s="2"/>
      <c r="M1806" s="2"/>
    </row>
    <row r="1807" spans="1:13" x14ac:dyDescent="0.25">
      <c r="A1807" s="2"/>
      <c r="D1807" s="2"/>
      <c r="G1807" s="2"/>
      <c r="J1807" s="2"/>
      <c r="M1807" s="2"/>
    </row>
    <row r="1808" spans="1:13" x14ac:dyDescent="0.25">
      <c r="A1808" s="2"/>
      <c r="D1808" s="2"/>
      <c r="G1808" s="2"/>
      <c r="J1808" s="2"/>
      <c r="M1808" s="2"/>
    </row>
    <row r="1809" spans="1:13" x14ac:dyDescent="0.25">
      <c r="A1809" s="2"/>
      <c r="D1809" s="2"/>
      <c r="G1809" s="2"/>
      <c r="J1809" s="2"/>
      <c r="M1809" s="2"/>
    </row>
    <row r="1810" spans="1:13" x14ac:dyDescent="0.25">
      <c r="A1810" s="2"/>
      <c r="D1810" s="2"/>
      <c r="G1810" s="2"/>
      <c r="J1810" s="2"/>
      <c r="M1810" s="2"/>
    </row>
    <row r="1811" spans="1:13" x14ac:dyDescent="0.25">
      <c r="A1811" s="2"/>
      <c r="D1811" s="2"/>
      <c r="G1811" s="2"/>
      <c r="J1811" s="2"/>
      <c r="M1811" s="2"/>
    </row>
    <row r="1812" spans="1:13" x14ac:dyDescent="0.25">
      <c r="A1812" s="2"/>
      <c r="D1812" s="2"/>
      <c r="G1812" s="2"/>
      <c r="J1812" s="2"/>
      <c r="M1812" s="2"/>
    </row>
    <row r="1813" spans="1:13" x14ac:dyDescent="0.25">
      <c r="A1813" s="2"/>
      <c r="D1813" s="2"/>
      <c r="G1813" s="2"/>
      <c r="J1813" s="2"/>
      <c r="M1813" s="2"/>
    </row>
    <row r="1814" spans="1:13" x14ac:dyDescent="0.25">
      <c r="A1814" s="2"/>
      <c r="D1814" s="2"/>
      <c r="G1814" s="2"/>
      <c r="J1814" s="2"/>
      <c r="M1814" s="2"/>
    </row>
    <row r="1815" spans="1:13" x14ac:dyDescent="0.25">
      <c r="A1815" s="2"/>
      <c r="D1815" s="2"/>
      <c r="G1815" s="2"/>
      <c r="J1815" s="2"/>
      <c r="M1815" s="2"/>
    </row>
    <row r="1816" spans="1:13" x14ac:dyDescent="0.25">
      <c r="A1816" s="2"/>
      <c r="D1816" s="2"/>
      <c r="G1816" s="2"/>
      <c r="J1816" s="2"/>
      <c r="M1816" s="2"/>
    </row>
    <row r="1817" spans="1:13" x14ac:dyDescent="0.25">
      <c r="A1817" s="2"/>
      <c r="D1817" s="2"/>
      <c r="G1817" s="2"/>
      <c r="J1817" s="2"/>
      <c r="M1817" s="2"/>
    </row>
    <row r="1818" spans="1:13" x14ac:dyDescent="0.25">
      <c r="A1818" s="2"/>
      <c r="D1818" s="2"/>
      <c r="G1818" s="2"/>
      <c r="J1818" s="2"/>
      <c r="M1818" s="2"/>
    </row>
    <row r="1819" spans="1:13" x14ac:dyDescent="0.25">
      <c r="A1819" s="2"/>
      <c r="D1819" s="2"/>
      <c r="G1819" s="2"/>
      <c r="J1819" s="2"/>
      <c r="M1819" s="2"/>
    </row>
    <row r="1820" spans="1:13" x14ac:dyDescent="0.25">
      <c r="A1820" s="2"/>
      <c r="D1820" s="2"/>
      <c r="G1820" s="2"/>
      <c r="J1820" s="2"/>
      <c r="M1820" s="2"/>
    </row>
    <row r="1821" spans="1:13" x14ac:dyDescent="0.25">
      <c r="A1821" s="2"/>
      <c r="D1821" s="2"/>
      <c r="G1821" s="2"/>
      <c r="J1821" s="2"/>
      <c r="M1821" s="2"/>
    </row>
    <row r="1822" spans="1:13" x14ac:dyDescent="0.25">
      <c r="A1822" s="2"/>
      <c r="D1822" s="2"/>
      <c r="G1822" s="2"/>
      <c r="J1822" s="2"/>
      <c r="M1822" s="2"/>
    </row>
    <row r="1823" spans="1:13" x14ac:dyDescent="0.25">
      <c r="A1823" s="2"/>
      <c r="D1823" s="2"/>
      <c r="G1823" s="2"/>
      <c r="J1823" s="2"/>
      <c r="M1823" s="2"/>
    </row>
    <row r="1824" spans="1:13" x14ac:dyDescent="0.25">
      <c r="A1824" s="2"/>
      <c r="D1824" s="2"/>
      <c r="G1824" s="2"/>
      <c r="J1824" s="2"/>
      <c r="M1824" s="2"/>
    </row>
    <row r="1825" spans="1:13" x14ac:dyDescent="0.25">
      <c r="A1825" s="2"/>
      <c r="D1825" s="2"/>
      <c r="G1825" s="2"/>
      <c r="J1825" s="2"/>
      <c r="M1825" s="2"/>
    </row>
    <row r="1826" spans="1:13" x14ac:dyDescent="0.25">
      <c r="A1826" s="2"/>
      <c r="D1826" s="2"/>
      <c r="G1826" s="2"/>
      <c r="J1826" s="2"/>
      <c r="M1826" s="2"/>
    </row>
    <row r="1827" spans="1:13" x14ac:dyDescent="0.25">
      <c r="A1827" s="2"/>
      <c r="D1827" s="2"/>
      <c r="G1827" s="2"/>
      <c r="J1827" s="2"/>
      <c r="M1827" s="2"/>
    </row>
    <row r="1828" spans="1:13" x14ac:dyDescent="0.25">
      <c r="A1828" s="2"/>
      <c r="D1828" s="2"/>
      <c r="G1828" s="2"/>
      <c r="J1828" s="2"/>
      <c r="M1828" s="2"/>
    </row>
    <row r="1829" spans="1:13" x14ac:dyDescent="0.25">
      <c r="A1829" s="2"/>
      <c r="D1829" s="2"/>
      <c r="G1829" s="2"/>
      <c r="J1829" s="2"/>
      <c r="M1829" s="2"/>
    </row>
    <row r="1830" spans="1:13" x14ac:dyDescent="0.25">
      <c r="A1830" s="2"/>
      <c r="D1830" s="2"/>
      <c r="G1830" s="2"/>
      <c r="J1830" s="2"/>
      <c r="M1830" s="2"/>
    </row>
    <row r="1831" spans="1:13" x14ac:dyDescent="0.25">
      <c r="A1831" s="2"/>
      <c r="D1831" s="2"/>
      <c r="G1831" s="2"/>
      <c r="J1831" s="2"/>
      <c r="M1831" s="2"/>
    </row>
    <row r="1832" spans="1:13" x14ac:dyDescent="0.25">
      <c r="A1832" s="2"/>
      <c r="D1832" s="2"/>
      <c r="G1832" s="2"/>
      <c r="J1832" s="2"/>
      <c r="M1832" s="2"/>
    </row>
    <row r="1833" spans="1:13" x14ac:dyDescent="0.25">
      <c r="A1833" s="2"/>
      <c r="D1833" s="2"/>
      <c r="G1833" s="2"/>
      <c r="J1833" s="2"/>
      <c r="M1833" s="2"/>
    </row>
    <row r="1834" spans="1:13" x14ac:dyDescent="0.25">
      <c r="A1834" s="2"/>
      <c r="D1834" s="2"/>
      <c r="G1834" s="2"/>
      <c r="J1834" s="2"/>
      <c r="M1834" s="2"/>
    </row>
    <row r="1835" spans="1:13" x14ac:dyDescent="0.25">
      <c r="A1835" s="2"/>
      <c r="D1835" s="2"/>
      <c r="G1835" s="2"/>
      <c r="J1835" s="2"/>
      <c r="M1835" s="2"/>
    </row>
    <row r="1836" spans="1:13" x14ac:dyDescent="0.25">
      <c r="A1836" s="2"/>
      <c r="D1836" s="2"/>
      <c r="G1836" s="2"/>
      <c r="J1836" s="2"/>
      <c r="M1836" s="2"/>
    </row>
    <row r="1837" spans="1:13" x14ac:dyDescent="0.25">
      <c r="A1837" s="2"/>
      <c r="D1837" s="2"/>
      <c r="G1837" s="2"/>
      <c r="J1837" s="2"/>
      <c r="M1837" s="2"/>
    </row>
    <row r="1838" spans="1:13" x14ac:dyDescent="0.25">
      <c r="A1838" s="2"/>
      <c r="D1838" s="2"/>
      <c r="G1838" s="2"/>
      <c r="J1838" s="2"/>
      <c r="M1838" s="2"/>
    </row>
    <row r="1839" spans="1:13" x14ac:dyDescent="0.25">
      <c r="A1839" s="2"/>
      <c r="D1839" s="2"/>
      <c r="G1839" s="2"/>
      <c r="J1839" s="2"/>
      <c r="M1839" s="2"/>
    </row>
    <row r="1840" spans="1:13" x14ac:dyDescent="0.25">
      <c r="A1840" s="2"/>
      <c r="D1840" s="2"/>
      <c r="G1840" s="2"/>
      <c r="J1840" s="2"/>
      <c r="M1840" s="2"/>
    </row>
    <row r="1841" spans="1:13" x14ac:dyDescent="0.25">
      <c r="A1841" s="2"/>
      <c r="D1841" s="2"/>
      <c r="G1841" s="2"/>
      <c r="J1841" s="2"/>
      <c r="M1841" s="2"/>
    </row>
    <row r="1842" spans="1:13" x14ac:dyDescent="0.25">
      <c r="A1842" s="2"/>
      <c r="D1842" s="2"/>
      <c r="G1842" s="2"/>
      <c r="J1842" s="2"/>
      <c r="M1842" s="2"/>
    </row>
    <row r="1843" spans="1:13" x14ac:dyDescent="0.25">
      <c r="A1843" s="2"/>
      <c r="D1843" s="2"/>
      <c r="G1843" s="2"/>
      <c r="J1843" s="2"/>
      <c r="M1843" s="2"/>
    </row>
    <row r="1844" spans="1:13" x14ac:dyDescent="0.25">
      <c r="A1844" s="2"/>
      <c r="D1844" s="2"/>
      <c r="G1844" s="2"/>
      <c r="J1844" s="2"/>
      <c r="M1844" s="2"/>
    </row>
    <row r="1845" spans="1:13" x14ac:dyDescent="0.25">
      <c r="A1845" s="2"/>
      <c r="D1845" s="2"/>
      <c r="G1845" s="2"/>
      <c r="J1845" s="2"/>
      <c r="M1845" s="2"/>
    </row>
    <row r="1846" spans="1:13" x14ac:dyDescent="0.25">
      <c r="A1846" s="2"/>
      <c r="D1846" s="2"/>
      <c r="G1846" s="2"/>
      <c r="J1846" s="2"/>
      <c r="M1846" s="2"/>
    </row>
    <row r="1847" spans="1:13" x14ac:dyDescent="0.25">
      <c r="A1847" s="2"/>
      <c r="D1847" s="2"/>
      <c r="G1847" s="2"/>
      <c r="J1847" s="2"/>
      <c r="M1847" s="2"/>
    </row>
    <row r="1848" spans="1:13" x14ac:dyDescent="0.25">
      <c r="A1848" s="2"/>
      <c r="D1848" s="2"/>
      <c r="G1848" s="2"/>
      <c r="J1848" s="2"/>
      <c r="M1848" s="2"/>
    </row>
    <row r="1849" spans="1:13" x14ac:dyDescent="0.25">
      <c r="A1849" s="2"/>
      <c r="D1849" s="2"/>
      <c r="G1849" s="2"/>
      <c r="J1849" s="2"/>
      <c r="M1849" s="2"/>
    </row>
    <row r="1850" spans="1:13" x14ac:dyDescent="0.25">
      <c r="A1850" s="2"/>
      <c r="D1850" s="2"/>
      <c r="G1850" s="2"/>
      <c r="J1850" s="2"/>
      <c r="M1850" s="2"/>
    </row>
    <row r="1851" spans="1:13" x14ac:dyDescent="0.25">
      <c r="A1851" s="2"/>
      <c r="D1851" s="2"/>
      <c r="G1851" s="2"/>
      <c r="J1851" s="2"/>
      <c r="M1851" s="2"/>
    </row>
    <row r="1852" spans="1:13" x14ac:dyDescent="0.25">
      <c r="A1852" s="2"/>
      <c r="D1852" s="2"/>
      <c r="G1852" s="2"/>
      <c r="J1852" s="2"/>
      <c r="M1852" s="2"/>
    </row>
    <row r="1853" spans="1:13" x14ac:dyDescent="0.25">
      <c r="A1853" s="2"/>
      <c r="D1853" s="2"/>
      <c r="G1853" s="2"/>
      <c r="J1853" s="2"/>
      <c r="M1853" s="2"/>
    </row>
    <row r="1854" spans="1:13" x14ac:dyDescent="0.25">
      <c r="A1854" s="2"/>
      <c r="D1854" s="2"/>
      <c r="G1854" s="2"/>
      <c r="J1854" s="2"/>
      <c r="M1854" s="2"/>
    </row>
    <row r="1855" spans="1:13" x14ac:dyDescent="0.25">
      <c r="A1855" s="2"/>
      <c r="D1855" s="2"/>
      <c r="G1855" s="2"/>
      <c r="J1855" s="2"/>
      <c r="M1855" s="2"/>
    </row>
    <row r="1856" spans="1:13" x14ac:dyDescent="0.25">
      <c r="A1856" s="2"/>
      <c r="D1856" s="2"/>
      <c r="G1856" s="2"/>
      <c r="J1856" s="2"/>
      <c r="M1856" s="2"/>
    </row>
    <row r="1857" spans="1:13" x14ac:dyDescent="0.25">
      <c r="A1857" s="2"/>
      <c r="D1857" s="2"/>
      <c r="G1857" s="2"/>
      <c r="J1857" s="2"/>
      <c r="M1857" s="2"/>
    </row>
    <row r="1858" spans="1:13" x14ac:dyDescent="0.25">
      <c r="A1858" s="2"/>
      <c r="D1858" s="2"/>
      <c r="G1858" s="2"/>
      <c r="J1858" s="2"/>
      <c r="M1858" s="2"/>
    </row>
    <row r="1859" spans="1:13" x14ac:dyDescent="0.25">
      <c r="A1859" s="2"/>
      <c r="D1859" s="2"/>
      <c r="G1859" s="2"/>
      <c r="J1859" s="2"/>
      <c r="M1859" s="2"/>
    </row>
    <row r="1860" spans="1:13" x14ac:dyDescent="0.25">
      <c r="A1860" s="2"/>
      <c r="D1860" s="2"/>
      <c r="G1860" s="2"/>
      <c r="J1860" s="2"/>
      <c r="M1860" s="2"/>
    </row>
    <row r="1861" spans="1:13" x14ac:dyDescent="0.25">
      <c r="A1861" s="2"/>
      <c r="D1861" s="2"/>
      <c r="G1861" s="2"/>
      <c r="J1861" s="2"/>
      <c r="M1861" s="2"/>
    </row>
    <row r="1862" spans="1:13" x14ac:dyDescent="0.25">
      <c r="A1862" s="2"/>
      <c r="D1862" s="2"/>
      <c r="G1862" s="2"/>
      <c r="J1862" s="2"/>
      <c r="M1862" s="2"/>
    </row>
    <row r="1863" spans="1:13" x14ac:dyDescent="0.25">
      <c r="A1863" s="2"/>
      <c r="D1863" s="2"/>
      <c r="G1863" s="2"/>
      <c r="J1863" s="2"/>
      <c r="M1863" s="2"/>
    </row>
    <row r="1864" spans="1:13" x14ac:dyDescent="0.25">
      <c r="A1864" s="2"/>
      <c r="D1864" s="2"/>
      <c r="G1864" s="2"/>
      <c r="J1864" s="2"/>
      <c r="M1864" s="2"/>
    </row>
    <row r="1865" spans="1:13" x14ac:dyDescent="0.25">
      <c r="A1865" s="2"/>
      <c r="D1865" s="2"/>
      <c r="G1865" s="2"/>
      <c r="J1865" s="2"/>
      <c r="M1865" s="2"/>
    </row>
    <row r="1866" spans="1:13" x14ac:dyDescent="0.25">
      <c r="A1866" s="2"/>
      <c r="D1866" s="2"/>
      <c r="G1866" s="2"/>
      <c r="J1866" s="2"/>
      <c r="M1866" s="2"/>
    </row>
    <row r="1867" spans="1:13" x14ac:dyDescent="0.25">
      <c r="A1867" s="2"/>
      <c r="D1867" s="2"/>
      <c r="G1867" s="2"/>
      <c r="J1867" s="2"/>
      <c r="M1867" s="2"/>
    </row>
    <row r="1868" spans="1:13" x14ac:dyDescent="0.25">
      <c r="A1868" s="2"/>
      <c r="D1868" s="2"/>
      <c r="G1868" s="2"/>
      <c r="J1868" s="2"/>
      <c r="M1868" s="2"/>
    </row>
    <row r="1869" spans="1:13" x14ac:dyDescent="0.25">
      <c r="A1869" s="2"/>
      <c r="D1869" s="2"/>
      <c r="G1869" s="2"/>
      <c r="J1869" s="2"/>
      <c r="M1869" s="2"/>
    </row>
    <row r="1870" spans="1:13" x14ac:dyDescent="0.25">
      <c r="A1870" s="2"/>
      <c r="D1870" s="2"/>
      <c r="G1870" s="2"/>
      <c r="J1870" s="2"/>
      <c r="M1870" s="2"/>
    </row>
    <row r="1871" spans="1:13" x14ac:dyDescent="0.25">
      <c r="A1871" s="2"/>
      <c r="D1871" s="2"/>
      <c r="G1871" s="2"/>
      <c r="J1871" s="2"/>
      <c r="M1871" s="2"/>
    </row>
    <row r="1872" spans="1:13" x14ac:dyDescent="0.25">
      <c r="A1872" s="2"/>
      <c r="D1872" s="2"/>
      <c r="G1872" s="2"/>
      <c r="J1872" s="2"/>
      <c r="M1872" s="2"/>
    </row>
    <row r="1873" spans="1:13" x14ac:dyDescent="0.25">
      <c r="A1873" s="2"/>
      <c r="D1873" s="2"/>
      <c r="G1873" s="2"/>
      <c r="J1873" s="2"/>
      <c r="M1873" s="2"/>
    </row>
    <row r="1874" spans="1:13" x14ac:dyDescent="0.25">
      <c r="A1874" s="2"/>
      <c r="D1874" s="2"/>
      <c r="G1874" s="2"/>
      <c r="J1874" s="2"/>
      <c r="M1874" s="2"/>
    </row>
    <row r="1875" spans="1:13" x14ac:dyDescent="0.25">
      <c r="A1875" s="2"/>
      <c r="D1875" s="2"/>
      <c r="G1875" s="2"/>
      <c r="J1875" s="2"/>
      <c r="M1875" s="2"/>
    </row>
    <row r="1876" spans="1:13" x14ac:dyDescent="0.25">
      <c r="A1876" s="2"/>
      <c r="D1876" s="2"/>
      <c r="G1876" s="2"/>
      <c r="J1876" s="2"/>
      <c r="M1876" s="2"/>
    </row>
    <row r="1877" spans="1:13" x14ac:dyDescent="0.25">
      <c r="A1877" s="2"/>
      <c r="D1877" s="2"/>
      <c r="G1877" s="2"/>
      <c r="J1877" s="2"/>
      <c r="M1877" s="2"/>
    </row>
    <row r="1878" spans="1:13" x14ac:dyDescent="0.25">
      <c r="A1878" s="2"/>
      <c r="D1878" s="2"/>
      <c r="G1878" s="2"/>
      <c r="J1878" s="2"/>
      <c r="M1878" s="2"/>
    </row>
    <row r="1879" spans="1:13" x14ac:dyDescent="0.25">
      <c r="A1879" s="2"/>
      <c r="D1879" s="2"/>
      <c r="G1879" s="2"/>
      <c r="J1879" s="2"/>
      <c r="M1879" s="2"/>
    </row>
    <row r="1880" spans="1:13" x14ac:dyDescent="0.25">
      <c r="A1880" s="2"/>
      <c r="D1880" s="2"/>
      <c r="G1880" s="2"/>
      <c r="J1880" s="2"/>
      <c r="M1880" s="2"/>
    </row>
    <row r="1881" spans="1:13" x14ac:dyDescent="0.25">
      <c r="A1881" s="2"/>
      <c r="D1881" s="2"/>
      <c r="G1881" s="2"/>
      <c r="J1881" s="2"/>
      <c r="M1881" s="2"/>
    </row>
    <row r="1882" spans="1:13" x14ac:dyDescent="0.25">
      <c r="A1882" s="2"/>
      <c r="D1882" s="2"/>
      <c r="G1882" s="2"/>
      <c r="J1882" s="2"/>
      <c r="M1882" s="2"/>
    </row>
    <row r="1883" spans="1:13" x14ac:dyDescent="0.25">
      <c r="A1883" s="2"/>
      <c r="D1883" s="2"/>
      <c r="G1883" s="2"/>
      <c r="J1883" s="2"/>
      <c r="M1883" s="2"/>
    </row>
    <row r="1884" spans="1:13" x14ac:dyDescent="0.25">
      <c r="A1884" s="2"/>
      <c r="D1884" s="2"/>
      <c r="G1884" s="2"/>
      <c r="J1884" s="2"/>
      <c r="M1884" s="2"/>
    </row>
    <row r="1885" spans="1:13" x14ac:dyDescent="0.25">
      <c r="A1885" s="2"/>
      <c r="D1885" s="2"/>
      <c r="G1885" s="2"/>
      <c r="J1885" s="2"/>
      <c r="M1885" s="2"/>
    </row>
    <row r="1886" spans="1:13" x14ac:dyDescent="0.25">
      <c r="A1886" s="2"/>
      <c r="D1886" s="2"/>
      <c r="G1886" s="2"/>
      <c r="J1886" s="2"/>
      <c r="M1886" s="2"/>
    </row>
    <row r="1887" spans="1:13" x14ac:dyDescent="0.25">
      <c r="A1887" s="2"/>
      <c r="D1887" s="2"/>
      <c r="G1887" s="2"/>
      <c r="J1887" s="2"/>
      <c r="M1887" s="2"/>
    </row>
    <row r="1888" spans="1:13" x14ac:dyDescent="0.25">
      <c r="A1888" s="2"/>
      <c r="D1888" s="2"/>
      <c r="G1888" s="2"/>
      <c r="J1888" s="2"/>
      <c r="M1888" s="2"/>
    </row>
    <row r="1889" spans="1:13" x14ac:dyDescent="0.25">
      <c r="A1889" s="2"/>
      <c r="D1889" s="2"/>
      <c r="G1889" s="2"/>
      <c r="J1889" s="2"/>
      <c r="M1889" s="2"/>
    </row>
    <row r="1890" spans="1:13" x14ac:dyDescent="0.25">
      <c r="A1890" s="2"/>
      <c r="D1890" s="2"/>
      <c r="G1890" s="2"/>
      <c r="J1890" s="2"/>
      <c r="M1890" s="2"/>
    </row>
    <row r="1891" spans="1:13" x14ac:dyDescent="0.25">
      <c r="A1891" s="2"/>
      <c r="D1891" s="2"/>
      <c r="G1891" s="2"/>
      <c r="J1891" s="2"/>
      <c r="M1891" s="2"/>
    </row>
    <row r="1892" spans="1:13" x14ac:dyDescent="0.25">
      <c r="A1892" s="2"/>
      <c r="D1892" s="2"/>
      <c r="G1892" s="2"/>
      <c r="J1892" s="2"/>
      <c r="M1892" s="2"/>
    </row>
    <row r="1893" spans="1:13" x14ac:dyDescent="0.25">
      <c r="A1893" s="2"/>
      <c r="D1893" s="2"/>
      <c r="G1893" s="2"/>
      <c r="J1893" s="2"/>
      <c r="M1893" s="2"/>
    </row>
    <row r="1894" spans="1:13" x14ac:dyDescent="0.25">
      <c r="A1894" s="2"/>
      <c r="D1894" s="2"/>
      <c r="G1894" s="2"/>
      <c r="J1894" s="2"/>
      <c r="M1894" s="2"/>
    </row>
    <row r="1895" spans="1:13" x14ac:dyDescent="0.25">
      <c r="A1895" s="2"/>
      <c r="D1895" s="2"/>
      <c r="G1895" s="2"/>
      <c r="J1895" s="2"/>
      <c r="M1895" s="2"/>
    </row>
    <row r="1896" spans="1:13" x14ac:dyDescent="0.25">
      <c r="A1896" s="2"/>
      <c r="D1896" s="2"/>
      <c r="G1896" s="2"/>
      <c r="J1896" s="2"/>
      <c r="M1896" s="2"/>
    </row>
    <row r="1897" spans="1:13" x14ac:dyDescent="0.25">
      <c r="A1897" s="2"/>
      <c r="D1897" s="2"/>
      <c r="G1897" s="2"/>
      <c r="J1897" s="2"/>
      <c r="M1897" s="2"/>
    </row>
    <row r="1898" spans="1:13" x14ac:dyDescent="0.25">
      <c r="A1898" s="2"/>
      <c r="D1898" s="2"/>
      <c r="G1898" s="2"/>
      <c r="J1898" s="2"/>
      <c r="M1898" s="2"/>
    </row>
    <row r="1899" spans="1:13" x14ac:dyDescent="0.25">
      <c r="A1899" s="2"/>
      <c r="D1899" s="2"/>
      <c r="G1899" s="2"/>
      <c r="J1899" s="2"/>
      <c r="M1899" s="2"/>
    </row>
    <row r="1900" spans="1:13" x14ac:dyDescent="0.25">
      <c r="A1900" s="2"/>
      <c r="D1900" s="2"/>
      <c r="G1900" s="2"/>
      <c r="J1900" s="2"/>
      <c r="M1900" s="2"/>
    </row>
    <row r="1901" spans="1:13" x14ac:dyDescent="0.25">
      <c r="A1901" s="2"/>
      <c r="D1901" s="2"/>
      <c r="G1901" s="2"/>
      <c r="J1901" s="2"/>
      <c r="M1901" s="2"/>
    </row>
    <row r="1902" spans="1:13" x14ac:dyDescent="0.25">
      <c r="A1902" s="2"/>
      <c r="D1902" s="2"/>
      <c r="G1902" s="2"/>
      <c r="J1902" s="2"/>
      <c r="M1902" s="2"/>
    </row>
    <row r="1903" spans="1:13" x14ac:dyDescent="0.25">
      <c r="A1903" s="2"/>
      <c r="D1903" s="2"/>
      <c r="G1903" s="2"/>
      <c r="J1903" s="2"/>
      <c r="M1903" s="2"/>
    </row>
    <row r="1904" spans="1:13" x14ac:dyDescent="0.25">
      <c r="A1904" s="2"/>
      <c r="D1904" s="2"/>
      <c r="G1904" s="2"/>
      <c r="J1904" s="2"/>
      <c r="M1904" s="2"/>
    </row>
    <row r="1905" spans="1:13" x14ac:dyDescent="0.25">
      <c r="A1905" s="2"/>
      <c r="D1905" s="2"/>
      <c r="G1905" s="2"/>
      <c r="J1905" s="2"/>
      <c r="M1905" s="2"/>
    </row>
    <row r="1906" spans="1:13" x14ac:dyDescent="0.25">
      <c r="A1906" s="2"/>
      <c r="D1906" s="2"/>
      <c r="G1906" s="2"/>
      <c r="J1906" s="2"/>
      <c r="M1906" s="2"/>
    </row>
    <row r="1907" spans="1:13" x14ac:dyDescent="0.25">
      <c r="A1907" s="2"/>
      <c r="D1907" s="2"/>
      <c r="G1907" s="2"/>
      <c r="J1907" s="2"/>
      <c r="M1907" s="2"/>
    </row>
    <row r="1908" spans="1:13" x14ac:dyDescent="0.25">
      <c r="A1908" s="2"/>
      <c r="D1908" s="2"/>
      <c r="G1908" s="2"/>
      <c r="J1908" s="2"/>
      <c r="M1908" s="2"/>
    </row>
    <row r="1909" spans="1:13" x14ac:dyDescent="0.25">
      <c r="A1909" s="2"/>
      <c r="D1909" s="2"/>
      <c r="G1909" s="2"/>
      <c r="J1909" s="2"/>
      <c r="M1909" s="2"/>
    </row>
    <row r="1910" spans="1:13" x14ac:dyDescent="0.25">
      <c r="A1910" s="2"/>
      <c r="D1910" s="2"/>
      <c r="G1910" s="2"/>
      <c r="J1910" s="2"/>
      <c r="M1910" s="2"/>
    </row>
    <row r="1911" spans="1:13" x14ac:dyDescent="0.25">
      <c r="A1911" s="2"/>
      <c r="D1911" s="2"/>
      <c r="G1911" s="2"/>
      <c r="J1911" s="2"/>
      <c r="M1911" s="2"/>
    </row>
    <row r="1912" spans="1:13" x14ac:dyDescent="0.25">
      <c r="A1912" s="2"/>
      <c r="D1912" s="2"/>
      <c r="G1912" s="2"/>
      <c r="J1912" s="2"/>
      <c r="M1912" s="2"/>
    </row>
    <row r="1913" spans="1:13" x14ac:dyDescent="0.25">
      <c r="A1913" s="2"/>
      <c r="D1913" s="2"/>
      <c r="G1913" s="2"/>
      <c r="J1913" s="2"/>
      <c r="M1913" s="2"/>
    </row>
    <row r="1914" spans="1:13" x14ac:dyDescent="0.25">
      <c r="A1914" s="2"/>
      <c r="D1914" s="2"/>
      <c r="G1914" s="2"/>
      <c r="J1914" s="2"/>
      <c r="M1914" s="2"/>
    </row>
    <row r="1915" spans="1:13" x14ac:dyDescent="0.25">
      <c r="A1915" s="2"/>
      <c r="D1915" s="2"/>
      <c r="G1915" s="2"/>
      <c r="J1915" s="2"/>
      <c r="M1915" s="2"/>
    </row>
    <row r="1916" spans="1:13" x14ac:dyDescent="0.25">
      <c r="A1916" s="2"/>
      <c r="D1916" s="2"/>
      <c r="G1916" s="2"/>
      <c r="J1916" s="2"/>
      <c r="M1916" s="2"/>
    </row>
    <row r="1917" spans="1:13" x14ac:dyDescent="0.25">
      <c r="A1917" s="2"/>
      <c r="D1917" s="2"/>
      <c r="G1917" s="2"/>
      <c r="J1917" s="2"/>
      <c r="M1917" s="2"/>
    </row>
    <row r="1918" spans="1:13" x14ac:dyDescent="0.25">
      <c r="A1918" s="2"/>
      <c r="D1918" s="2"/>
      <c r="G1918" s="2"/>
      <c r="J1918" s="2"/>
      <c r="M1918" s="2"/>
    </row>
    <row r="1919" spans="1:13" x14ac:dyDescent="0.25">
      <c r="A1919" s="2"/>
      <c r="D1919" s="2"/>
      <c r="G1919" s="2"/>
      <c r="J1919" s="2"/>
      <c r="M1919" s="2"/>
    </row>
    <row r="1920" spans="1:13" x14ac:dyDescent="0.25">
      <c r="A1920" s="2"/>
      <c r="D1920" s="2"/>
      <c r="G1920" s="2"/>
      <c r="J1920" s="2"/>
      <c r="M1920" s="2"/>
    </row>
    <row r="1921" spans="1:13" x14ac:dyDescent="0.25">
      <c r="A1921" s="2"/>
      <c r="D1921" s="2"/>
      <c r="G1921" s="2"/>
      <c r="J1921" s="2"/>
      <c r="M1921" s="2"/>
    </row>
    <row r="1922" spans="1:13" x14ac:dyDescent="0.25">
      <c r="A1922" s="2"/>
      <c r="D1922" s="2"/>
      <c r="G1922" s="2"/>
      <c r="J1922" s="2"/>
      <c r="M1922" s="2"/>
    </row>
    <row r="1923" spans="1:13" x14ac:dyDescent="0.25">
      <c r="A1923" s="2"/>
      <c r="D1923" s="2"/>
      <c r="G1923" s="2"/>
      <c r="J1923" s="2"/>
      <c r="M1923" s="2"/>
    </row>
    <row r="1924" spans="1:13" x14ac:dyDescent="0.25">
      <c r="A1924" s="2"/>
      <c r="D1924" s="2"/>
      <c r="G1924" s="2"/>
      <c r="J1924" s="2"/>
      <c r="M1924" s="2"/>
    </row>
    <row r="1925" spans="1:13" x14ac:dyDescent="0.25">
      <c r="A1925" s="2"/>
      <c r="D1925" s="2"/>
      <c r="G1925" s="2"/>
      <c r="J1925" s="2"/>
      <c r="M1925" s="2"/>
    </row>
    <row r="1926" spans="1:13" x14ac:dyDescent="0.25">
      <c r="A1926" s="2"/>
      <c r="D1926" s="2"/>
      <c r="G1926" s="2"/>
      <c r="J1926" s="2"/>
      <c r="M1926" s="2"/>
    </row>
    <row r="1927" spans="1:13" x14ac:dyDescent="0.25">
      <c r="A1927" s="2"/>
      <c r="D1927" s="2"/>
      <c r="G1927" s="2"/>
      <c r="J1927" s="2"/>
      <c r="M1927" s="2"/>
    </row>
    <row r="1928" spans="1:13" x14ac:dyDescent="0.25">
      <c r="A1928" s="2"/>
      <c r="D1928" s="2"/>
      <c r="G1928" s="2"/>
      <c r="J1928" s="2"/>
      <c r="M1928" s="2"/>
    </row>
    <row r="1929" spans="1:13" x14ac:dyDescent="0.25">
      <c r="A1929" s="2"/>
      <c r="D1929" s="2"/>
      <c r="G1929" s="2"/>
      <c r="J1929" s="2"/>
      <c r="M1929" s="2"/>
    </row>
    <row r="1930" spans="1:13" x14ac:dyDescent="0.25">
      <c r="A1930" s="2"/>
      <c r="D1930" s="2"/>
      <c r="G1930" s="2"/>
      <c r="J1930" s="2"/>
      <c r="M1930" s="2"/>
    </row>
    <row r="1931" spans="1:13" x14ac:dyDescent="0.25">
      <c r="A1931" s="2"/>
      <c r="D1931" s="2"/>
      <c r="G1931" s="2"/>
      <c r="J1931" s="2"/>
      <c r="M1931" s="2"/>
    </row>
    <row r="1932" spans="1:13" x14ac:dyDescent="0.25">
      <c r="A1932" s="2"/>
      <c r="D1932" s="2"/>
      <c r="G1932" s="2"/>
      <c r="J1932" s="2"/>
      <c r="M1932" s="2"/>
    </row>
    <row r="1933" spans="1:13" x14ac:dyDescent="0.25">
      <c r="A1933" s="2"/>
      <c r="D1933" s="2"/>
      <c r="G1933" s="2"/>
      <c r="J1933" s="2"/>
      <c r="M1933" s="2"/>
    </row>
    <row r="1934" spans="1:13" x14ac:dyDescent="0.25">
      <c r="A1934" s="2"/>
      <c r="D1934" s="2"/>
      <c r="G1934" s="2"/>
      <c r="J1934" s="2"/>
      <c r="M1934" s="2"/>
    </row>
    <row r="1935" spans="1:13" x14ac:dyDescent="0.25">
      <c r="A1935" s="2"/>
      <c r="D1935" s="2"/>
      <c r="G1935" s="2"/>
      <c r="J1935" s="2"/>
      <c r="M1935" s="2"/>
    </row>
    <row r="1936" spans="1:13" x14ac:dyDescent="0.25">
      <c r="A1936" s="2"/>
      <c r="D1936" s="2"/>
      <c r="G1936" s="2"/>
      <c r="J1936" s="2"/>
      <c r="M1936" s="2"/>
    </row>
    <row r="1937" spans="1:13" x14ac:dyDescent="0.25">
      <c r="A1937" s="2"/>
      <c r="D1937" s="2"/>
      <c r="G1937" s="2"/>
      <c r="J1937" s="2"/>
      <c r="M1937" s="2"/>
    </row>
    <row r="1938" spans="1:13" x14ac:dyDescent="0.25">
      <c r="A1938" s="2"/>
      <c r="D1938" s="2"/>
      <c r="G1938" s="2"/>
      <c r="J1938" s="2"/>
      <c r="M1938" s="2"/>
    </row>
    <row r="1939" spans="1:13" x14ac:dyDescent="0.25">
      <c r="A1939" s="2"/>
      <c r="D1939" s="2"/>
      <c r="G1939" s="2"/>
      <c r="J1939" s="2"/>
      <c r="M1939" s="2"/>
    </row>
    <row r="1940" spans="1:13" x14ac:dyDescent="0.25">
      <c r="A1940" s="2"/>
      <c r="D1940" s="2"/>
      <c r="G1940" s="2"/>
      <c r="J1940" s="2"/>
      <c r="M1940" s="2"/>
    </row>
    <row r="1941" spans="1:13" x14ac:dyDescent="0.25">
      <c r="A1941" s="2"/>
      <c r="D1941" s="2"/>
      <c r="G1941" s="2"/>
      <c r="J1941" s="2"/>
      <c r="M1941" s="2"/>
    </row>
    <row r="1942" spans="1:13" x14ac:dyDescent="0.25">
      <c r="A1942" s="2"/>
      <c r="D1942" s="2"/>
      <c r="G1942" s="2"/>
      <c r="J1942" s="2"/>
      <c r="M1942" s="2"/>
    </row>
    <row r="1943" spans="1:13" x14ac:dyDescent="0.25">
      <c r="A1943" s="2"/>
      <c r="D1943" s="2"/>
      <c r="G1943" s="2"/>
      <c r="J1943" s="2"/>
      <c r="M1943" s="2"/>
    </row>
    <row r="1944" spans="1:13" x14ac:dyDescent="0.25">
      <c r="A1944" s="2"/>
      <c r="D1944" s="2"/>
      <c r="G1944" s="2"/>
      <c r="J1944" s="2"/>
      <c r="M1944" s="2"/>
    </row>
    <row r="1945" spans="1:13" x14ac:dyDescent="0.25">
      <c r="A1945" s="2"/>
      <c r="D1945" s="2"/>
      <c r="G1945" s="2"/>
      <c r="J1945" s="2"/>
      <c r="M1945" s="2"/>
    </row>
    <row r="1946" spans="1:13" x14ac:dyDescent="0.25">
      <c r="A1946" s="2"/>
      <c r="D1946" s="2"/>
      <c r="G1946" s="2"/>
      <c r="J1946" s="2"/>
      <c r="M1946" s="2"/>
    </row>
    <row r="1947" spans="1:13" x14ac:dyDescent="0.25">
      <c r="A1947" s="2"/>
      <c r="D1947" s="2"/>
      <c r="G1947" s="2"/>
      <c r="J1947" s="2"/>
      <c r="M1947" s="2"/>
    </row>
    <row r="1948" spans="1:13" x14ac:dyDescent="0.25">
      <c r="A1948" s="2"/>
      <c r="D1948" s="2"/>
      <c r="G1948" s="2"/>
      <c r="J1948" s="2"/>
      <c r="M1948" s="2"/>
    </row>
    <row r="1949" spans="1:13" x14ac:dyDescent="0.25">
      <c r="A1949" s="2"/>
      <c r="D1949" s="2"/>
      <c r="G1949" s="2"/>
      <c r="J1949" s="2"/>
      <c r="M1949" s="2"/>
    </row>
    <row r="1950" spans="1:13" x14ac:dyDescent="0.25">
      <c r="A1950" s="2"/>
      <c r="D1950" s="2"/>
      <c r="G1950" s="2"/>
      <c r="J1950" s="2"/>
      <c r="M1950" s="2"/>
    </row>
    <row r="1951" spans="1:13" x14ac:dyDescent="0.25">
      <c r="A1951" s="2"/>
      <c r="D1951" s="2"/>
      <c r="G1951" s="2"/>
      <c r="J1951" s="2"/>
      <c r="M1951" s="2"/>
    </row>
    <row r="1952" spans="1:13" x14ac:dyDescent="0.25">
      <c r="A1952" s="2"/>
      <c r="D1952" s="2"/>
      <c r="G1952" s="2"/>
      <c r="J1952" s="2"/>
      <c r="M1952" s="2"/>
    </row>
    <row r="1953" spans="1:13" x14ac:dyDescent="0.25">
      <c r="A1953" s="2"/>
      <c r="D1953" s="2"/>
      <c r="G1953" s="2"/>
      <c r="J1953" s="2"/>
      <c r="M1953" s="2"/>
    </row>
    <row r="1954" spans="1:13" x14ac:dyDescent="0.25">
      <c r="A1954" s="2"/>
      <c r="D1954" s="2"/>
      <c r="G1954" s="2"/>
      <c r="J1954" s="2"/>
      <c r="M1954" s="2"/>
    </row>
    <row r="1955" spans="1:13" x14ac:dyDescent="0.25">
      <c r="A1955" s="2"/>
      <c r="D1955" s="2"/>
      <c r="G1955" s="2"/>
      <c r="J1955" s="2"/>
      <c r="M1955" s="2"/>
    </row>
    <row r="1956" spans="1:13" x14ac:dyDescent="0.25">
      <c r="A1956" s="2"/>
      <c r="D1956" s="2"/>
      <c r="G1956" s="2"/>
      <c r="J1956" s="2"/>
      <c r="M1956" s="2"/>
    </row>
    <row r="1957" spans="1:13" x14ac:dyDescent="0.25">
      <c r="A1957" s="2"/>
      <c r="D1957" s="2"/>
      <c r="G1957" s="2"/>
      <c r="J1957" s="2"/>
      <c r="M1957" s="2"/>
    </row>
    <row r="1958" spans="1:13" x14ac:dyDescent="0.25">
      <c r="A1958" s="2"/>
      <c r="D1958" s="2"/>
      <c r="G1958" s="2"/>
      <c r="J1958" s="2"/>
      <c r="M1958" s="2"/>
    </row>
    <row r="1959" spans="1:13" x14ac:dyDescent="0.25">
      <c r="A1959" s="2"/>
      <c r="D1959" s="2"/>
      <c r="G1959" s="2"/>
      <c r="J1959" s="2"/>
      <c r="M1959" s="2"/>
    </row>
    <row r="1960" spans="1:13" x14ac:dyDescent="0.25">
      <c r="A1960" s="2"/>
      <c r="D1960" s="2"/>
      <c r="G1960" s="2"/>
      <c r="J1960" s="2"/>
      <c r="M1960" s="2"/>
    </row>
    <row r="1961" spans="1:13" x14ac:dyDescent="0.25">
      <c r="A1961" s="2"/>
      <c r="D1961" s="2"/>
      <c r="G1961" s="2"/>
      <c r="J1961" s="2"/>
      <c r="M1961" s="2"/>
    </row>
    <row r="1962" spans="1:13" x14ac:dyDescent="0.25">
      <c r="A1962" s="2"/>
      <c r="D1962" s="2"/>
      <c r="G1962" s="2"/>
      <c r="J1962" s="2"/>
      <c r="M1962" s="2"/>
    </row>
    <row r="1963" spans="1:13" x14ac:dyDescent="0.25">
      <c r="A1963" s="2"/>
      <c r="D1963" s="2"/>
      <c r="G1963" s="2"/>
      <c r="J1963" s="2"/>
      <c r="M1963" s="2"/>
    </row>
    <row r="1964" spans="1:13" x14ac:dyDescent="0.25">
      <c r="A1964" s="2"/>
      <c r="D1964" s="2"/>
      <c r="G1964" s="2"/>
      <c r="J1964" s="2"/>
      <c r="M1964" s="2"/>
    </row>
    <row r="1965" spans="1:13" x14ac:dyDescent="0.25">
      <c r="A1965" s="2"/>
      <c r="D1965" s="2"/>
      <c r="G1965" s="2"/>
      <c r="J1965" s="2"/>
      <c r="M1965" s="2"/>
    </row>
    <row r="1966" spans="1:13" x14ac:dyDescent="0.25">
      <c r="A1966" s="2"/>
      <c r="D1966" s="2"/>
      <c r="G1966" s="2"/>
      <c r="J1966" s="2"/>
      <c r="M1966" s="2"/>
    </row>
    <row r="1967" spans="1:13" x14ac:dyDescent="0.25">
      <c r="A1967" s="2"/>
      <c r="D1967" s="2"/>
      <c r="G1967" s="2"/>
      <c r="J1967" s="2"/>
      <c r="M1967" s="2"/>
    </row>
    <row r="1968" spans="1:13" x14ac:dyDescent="0.25">
      <c r="A1968" s="2"/>
      <c r="D1968" s="2"/>
      <c r="G1968" s="2"/>
      <c r="J1968" s="2"/>
      <c r="M1968" s="2"/>
    </row>
    <row r="1969" spans="1:13" x14ac:dyDescent="0.25">
      <c r="A1969" s="2"/>
      <c r="D1969" s="2"/>
      <c r="G1969" s="2"/>
      <c r="J1969" s="2"/>
      <c r="M1969" s="2"/>
    </row>
    <row r="1970" spans="1:13" x14ac:dyDescent="0.25">
      <c r="A1970" s="2"/>
      <c r="D1970" s="2"/>
      <c r="G1970" s="2"/>
      <c r="J1970" s="2"/>
      <c r="M1970" s="2"/>
    </row>
    <row r="1971" spans="1:13" x14ac:dyDescent="0.25">
      <c r="A1971" s="2"/>
      <c r="D1971" s="2"/>
      <c r="G1971" s="2"/>
      <c r="J1971" s="2"/>
      <c r="M1971" s="2"/>
    </row>
    <row r="1972" spans="1:13" x14ac:dyDescent="0.25">
      <c r="A1972" s="2"/>
      <c r="D1972" s="2"/>
      <c r="G1972" s="2"/>
      <c r="J1972" s="2"/>
      <c r="M1972" s="2"/>
    </row>
    <row r="1973" spans="1:13" x14ac:dyDescent="0.25">
      <c r="A1973" s="2"/>
      <c r="D1973" s="2"/>
      <c r="G1973" s="2"/>
      <c r="J1973" s="2"/>
      <c r="M1973" s="2"/>
    </row>
    <row r="1974" spans="1:13" x14ac:dyDescent="0.25">
      <c r="A1974" s="2"/>
      <c r="D1974" s="2"/>
      <c r="G1974" s="2"/>
      <c r="J1974" s="2"/>
      <c r="M1974" s="2"/>
    </row>
    <row r="1975" spans="1:13" x14ac:dyDescent="0.25">
      <c r="A1975" s="2"/>
      <c r="D1975" s="2"/>
      <c r="G1975" s="2"/>
      <c r="J1975" s="2"/>
      <c r="M1975" s="2"/>
    </row>
    <row r="1976" spans="1:13" x14ac:dyDescent="0.25">
      <c r="A1976" s="2"/>
      <c r="D1976" s="2"/>
      <c r="G1976" s="2"/>
      <c r="J1976" s="2"/>
      <c r="M1976" s="2"/>
    </row>
    <row r="1977" spans="1:13" x14ac:dyDescent="0.25">
      <c r="A1977" s="2"/>
      <c r="D1977" s="2"/>
      <c r="G1977" s="2"/>
      <c r="J1977" s="2"/>
      <c r="M1977" s="2"/>
    </row>
    <row r="1978" spans="1:13" x14ac:dyDescent="0.25">
      <c r="A1978" s="2"/>
      <c r="D1978" s="2"/>
      <c r="G1978" s="2"/>
      <c r="J1978" s="2"/>
      <c r="M1978" s="2"/>
    </row>
    <row r="1979" spans="1:13" x14ac:dyDescent="0.25">
      <c r="A1979" s="2"/>
      <c r="D1979" s="2"/>
      <c r="G1979" s="2"/>
      <c r="J1979" s="2"/>
      <c r="M1979" s="2"/>
    </row>
    <row r="1980" spans="1:13" x14ac:dyDescent="0.25">
      <c r="A1980" s="2"/>
      <c r="D1980" s="2"/>
      <c r="G1980" s="2"/>
      <c r="J1980" s="2"/>
      <c r="M1980" s="2"/>
    </row>
    <row r="1981" spans="1:13" x14ac:dyDescent="0.25">
      <c r="A1981" s="2"/>
      <c r="D1981" s="2"/>
      <c r="G1981" s="2"/>
      <c r="J1981" s="2"/>
      <c r="M1981" s="2"/>
    </row>
    <row r="1982" spans="1:13" x14ac:dyDescent="0.25">
      <c r="A1982" s="2"/>
      <c r="D1982" s="2"/>
      <c r="G1982" s="2"/>
      <c r="J1982" s="2"/>
      <c r="M1982" s="2"/>
    </row>
    <row r="1983" spans="1:13" x14ac:dyDescent="0.25">
      <c r="A1983" s="2"/>
      <c r="D1983" s="2"/>
      <c r="G1983" s="2"/>
      <c r="J1983" s="2"/>
      <c r="M1983" s="2"/>
    </row>
    <row r="1984" spans="1:13" x14ac:dyDescent="0.25">
      <c r="A1984" s="2"/>
      <c r="D1984" s="2"/>
      <c r="G1984" s="2"/>
      <c r="J1984" s="2"/>
      <c r="M1984" s="2"/>
    </row>
    <row r="1985" spans="1:13" x14ac:dyDescent="0.25">
      <c r="A1985" s="2"/>
      <c r="D1985" s="2"/>
      <c r="G1985" s="2"/>
      <c r="J1985" s="2"/>
      <c r="M1985" s="2"/>
    </row>
    <row r="1986" spans="1:13" x14ac:dyDescent="0.25">
      <c r="A1986" s="2"/>
      <c r="D1986" s="2"/>
      <c r="G1986" s="2"/>
      <c r="J1986" s="2"/>
      <c r="M1986" s="2"/>
    </row>
    <row r="1987" spans="1:13" x14ac:dyDescent="0.25">
      <c r="A1987" s="2"/>
      <c r="D1987" s="2"/>
      <c r="G1987" s="2"/>
      <c r="J1987" s="2"/>
      <c r="M1987" s="2"/>
    </row>
    <row r="1988" spans="1:13" x14ac:dyDescent="0.25">
      <c r="A1988" s="2"/>
      <c r="D1988" s="2"/>
      <c r="G1988" s="2"/>
      <c r="J1988" s="2"/>
      <c r="M1988" s="2"/>
    </row>
    <row r="1989" spans="1:13" x14ac:dyDescent="0.25">
      <c r="A1989" s="2"/>
      <c r="D1989" s="2"/>
      <c r="G1989" s="2"/>
      <c r="J1989" s="2"/>
      <c r="M1989" s="2"/>
    </row>
    <row r="1990" spans="1:13" x14ac:dyDescent="0.25">
      <c r="A1990" s="2"/>
      <c r="D1990" s="2"/>
      <c r="G1990" s="2"/>
      <c r="J1990" s="2"/>
      <c r="M1990" s="2"/>
    </row>
    <row r="1991" spans="1:13" x14ac:dyDescent="0.25">
      <c r="A1991" s="2"/>
      <c r="D1991" s="2"/>
      <c r="G1991" s="2"/>
      <c r="J1991" s="2"/>
      <c r="M1991" s="2"/>
    </row>
    <row r="1992" spans="1:13" x14ac:dyDescent="0.25">
      <c r="A1992" s="2"/>
      <c r="D1992" s="2"/>
      <c r="G1992" s="2"/>
      <c r="J1992" s="2"/>
      <c r="M1992" s="2"/>
    </row>
    <row r="1993" spans="1:13" x14ac:dyDescent="0.25">
      <c r="A1993" s="2"/>
      <c r="D1993" s="2"/>
      <c r="G1993" s="2"/>
      <c r="J1993" s="2"/>
      <c r="M1993" s="2"/>
    </row>
    <row r="1994" spans="1:13" x14ac:dyDescent="0.25">
      <c r="A1994" s="2"/>
      <c r="D1994" s="2"/>
      <c r="G1994" s="2"/>
      <c r="J1994" s="2"/>
      <c r="M1994" s="2"/>
    </row>
    <row r="1995" spans="1:13" x14ac:dyDescent="0.25">
      <c r="A1995" s="2"/>
      <c r="D1995" s="2"/>
      <c r="G1995" s="2"/>
      <c r="J1995" s="2"/>
      <c r="M1995" s="2"/>
    </row>
    <row r="1996" spans="1:13" x14ac:dyDescent="0.25">
      <c r="A1996" s="2"/>
      <c r="D1996" s="2"/>
      <c r="G1996" s="2"/>
      <c r="J1996" s="2"/>
      <c r="M1996" s="2"/>
    </row>
    <row r="1997" spans="1:13" x14ac:dyDescent="0.25">
      <c r="A1997" s="2"/>
      <c r="D1997" s="2"/>
      <c r="G1997" s="2"/>
      <c r="J1997" s="2"/>
      <c r="M1997" s="2"/>
    </row>
    <row r="1998" spans="1:13" x14ac:dyDescent="0.25">
      <c r="A1998" s="2"/>
      <c r="D1998" s="2"/>
      <c r="G1998" s="2"/>
      <c r="J1998" s="2"/>
      <c r="M1998" s="2"/>
    </row>
    <row r="1999" spans="1:13" x14ac:dyDescent="0.25">
      <c r="A1999" s="2"/>
      <c r="D1999" s="2"/>
      <c r="G1999" s="2"/>
      <c r="J1999" s="2"/>
      <c r="M1999" s="2"/>
    </row>
    <row r="2000" spans="1:13" x14ac:dyDescent="0.25">
      <c r="A2000" s="2"/>
      <c r="D2000" s="2"/>
      <c r="G2000" s="2"/>
      <c r="J2000" s="2"/>
      <c r="M2000" s="2"/>
    </row>
    <row r="2001" spans="1:13" x14ac:dyDescent="0.25">
      <c r="A2001" s="2"/>
      <c r="D2001" s="2"/>
      <c r="G2001" s="2"/>
      <c r="J2001" s="2"/>
      <c r="M2001" s="2"/>
    </row>
    <row r="2002" spans="1:13" x14ac:dyDescent="0.25">
      <c r="A2002" s="2"/>
      <c r="D2002" s="2"/>
      <c r="G2002" s="2"/>
      <c r="J2002" s="2"/>
      <c r="M2002" s="2"/>
    </row>
    <row r="2003" spans="1:13" x14ac:dyDescent="0.25">
      <c r="A2003" s="2"/>
      <c r="D2003" s="2"/>
      <c r="G2003" s="2"/>
      <c r="J2003" s="2"/>
      <c r="M2003" s="2"/>
    </row>
    <row r="2004" spans="1:13" x14ac:dyDescent="0.25">
      <c r="A2004" s="2"/>
      <c r="D2004" s="2"/>
      <c r="G2004" s="2"/>
      <c r="J2004" s="2"/>
      <c r="M2004" s="2"/>
    </row>
    <row r="2005" spans="1:13" x14ac:dyDescent="0.25">
      <c r="A2005" s="2"/>
      <c r="D2005" s="2"/>
      <c r="G2005" s="2"/>
      <c r="J2005" s="2"/>
      <c r="M2005" s="2"/>
    </row>
    <row r="2006" spans="1:13" x14ac:dyDescent="0.25">
      <c r="A2006" s="2"/>
      <c r="D2006" s="2"/>
      <c r="G2006" s="2"/>
      <c r="J2006" s="2"/>
      <c r="M2006" s="2"/>
    </row>
    <row r="2007" spans="1:13" x14ac:dyDescent="0.25">
      <c r="A2007" s="2"/>
      <c r="D2007" s="2"/>
      <c r="G2007" s="2"/>
      <c r="J2007" s="2"/>
      <c r="M2007" s="2"/>
    </row>
    <row r="2008" spans="1:13" x14ac:dyDescent="0.25">
      <c r="A2008" s="2"/>
      <c r="D2008" s="2"/>
      <c r="G2008" s="2"/>
      <c r="J2008" s="2"/>
      <c r="M2008" s="2"/>
    </row>
    <row r="2009" spans="1:13" x14ac:dyDescent="0.25">
      <c r="A2009" s="2"/>
      <c r="D2009" s="2"/>
      <c r="G2009" s="2"/>
      <c r="J2009" s="2"/>
      <c r="M2009" s="2"/>
    </row>
    <row r="2010" spans="1:13" x14ac:dyDescent="0.25">
      <c r="A2010" s="2"/>
      <c r="D2010" s="2"/>
      <c r="G2010" s="2"/>
      <c r="J2010" s="2"/>
      <c r="M2010" s="2"/>
    </row>
    <row r="2011" spans="1:13" x14ac:dyDescent="0.25">
      <c r="A2011" s="2"/>
      <c r="D2011" s="2"/>
      <c r="G2011" s="2"/>
      <c r="J2011" s="2"/>
      <c r="M2011" s="2"/>
    </row>
    <row r="2012" spans="1:13" x14ac:dyDescent="0.25">
      <c r="A2012" s="2"/>
      <c r="D2012" s="2"/>
      <c r="G2012" s="2"/>
      <c r="J2012" s="2"/>
      <c r="M2012" s="2"/>
    </row>
    <row r="2013" spans="1:13" x14ac:dyDescent="0.25">
      <c r="A2013" s="2"/>
      <c r="D2013" s="2"/>
      <c r="G2013" s="2"/>
      <c r="J2013" s="2"/>
      <c r="M2013" s="2"/>
    </row>
    <row r="2014" spans="1:13" x14ac:dyDescent="0.25">
      <c r="A2014" s="2"/>
      <c r="D2014" s="2"/>
      <c r="G2014" s="2"/>
      <c r="J2014" s="2"/>
      <c r="M2014" s="2"/>
    </row>
    <row r="2015" spans="1:13" x14ac:dyDescent="0.25">
      <c r="A2015" s="2"/>
      <c r="D2015" s="2"/>
      <c r="G2015" s="2"/>
      <c r="J2015" s="2"/>
      <c r="M2015" s="2"/>
    </row>
    <row r="2016" spans="1:13" x14ac:dyDescent="0.25">
      <c r="A2016" s="2"/>
      <c r="D2016" s="2"/>
      <c r="G2016" s="2"/>
      <c r="J2016" s="2"/>
      <c r="M2016" s="2"/>
    </row>
    <row r="2017" spans="1:13" x14ac:dyDescent="0.25">
      <c r="A2017" s="2"/>
      <c r="D2017" s="2"/>
      <c r="G2017" s="2"/>
      <c r="J2017" s="2"/>
      <c r="M2017" s="2"/>
    </row>
    <row r="2018" spans="1:13" x14ac:dyDescent="0.25">
      <c r="A2018" s="2"/>
      <c r="D2018" s="2"/>
      <c r="G2018" s="2"/>
      <c r="J2018" s="2"/>
      <c r="M2018" s="2"/>
    </row>
    <row r="2019" spans="1:13" x14ac:dyDescent="0.25">
      <c r="A2019" s="2"/>
      <c r="D2019" s="2"/>
      <c r="G2019" s="2"/>
      <c r="J2019" s="2"/>
      <c r="M2019" s="2"/>
    </row>
    <row r="2020" spans="1:13" x14ac:dyDescent="0.25">
      <c r="A2020" s="2"/>
      <c r="D2020" s="2"/>
      <c r="G2020" s="2"/>
      <c r="J2020" s="2"/>
      <c r="M2020" s="2"/>
    </row>
    <row r="2021" spans="1:13" x14ac:dyDescent="0.25">
      <c r="A2021" s="2"/>
      <c r="D2021" s="2"/>
      <c r="G2021" s="2"/>
      <c r="J2021" s="2"/>
      <c r="M2021" s="2"/>
    </row>
    <row r="2022" spans="1:13" x14ac:dyDescent="0.25">
      <c r="A2022" s="2"/>
      <c r="D2022" s="2"/>
      <c r="G2022" s="2"/>
      <c r="J2022" s="2"/>
      <c r="M2022" s="2"/>
    </row>
    <row r="2023" spans="1:13" x14ac:dyDescent="0.25">
      <c r="A2023" s="2"/>
      <c r="D2023" s="2"/>
      <c r="G2023" s="2"/>
      <c r="J2023" s="2"/>
      <c r="M2023" s="2"/>
    </row>
    <row r="2024" spans="1:13" x14ac:dyDescent="0.25">
      <c r="A2024" s="2"/>
      <c r="D2024" s="2"/>
      <c r="G2024" s="2"/>
      <c r="J2024" s="2"/>
      <c r="M2024" s="2"/>
    </row>
    <row r="2025" spans="1:13" x14ac:dyDescent="0.25">
      <c r="A2025" s="2"/>
      <c r="D2025" s="2"/>
      <c r="G2025" s="2"/>
      <c r="J2025" s="2"/>
      <c r="M2025" s="2"/>
    </row>
    <row r="2026" spans="1:13" x14ac:dyDescent="0.25">
      <c r="A2026" s="2"/>
      <c r="D2026" s="2"/>
      <c r="G2026" s="2"/>
      <c r="J2026" s="2"/>
      <c r="M2026" s="2"/>
    </row>
    <row r="2027" spans="1:13" x14ac:dyDescent="0.25">
      <c r="A2027" s="2"/>
      <c r="D2027" s="2"/>
      <c r="G2027" s="2"/>
      <c r="J2027" s="2"/>
      <c r="M2027" s="2"/>
    </row>
    <row r="2028" spans="1:13" x14ac:dyDescent="0.25">
      <c r="A2028" s="2"/>
      <c r="D2028" s="2"/>
      <c r="G2028" s="2"/>
      <c r="J2028" s="2"/>
      <c r="M2028" s="2"/>
    </row>
    <row r="2029" spans="1:13" x14ac:dyDescent="0.25">
      <c r="A2029" s="2"/>
      <c r="D2029" s="2"/>
      <c r="G2029" s="2"/>
      <c r="J2029" s="2"/>
      <c r="M2029" s="2"/>
    </row>
    <row r="2030" spans="1:13" x14ac:dyDescent="0.25">
      <c r="A2030" s="2"/>
      <c r="D2030" s="2"/>
      <c r="G2030" s="2"/>
      <c r="J2030" s="2"/>
      <c r="M2030" s="2"/>
    </row>
    <row r="2031" spans="1:13" x14ac:dyDescent="0.25">
      <c r="A2031" s="2"/>
      <c r="D2031" s="2"/>
      <c r="G2031" s="2"/>
      <c r="J2031" s="2"/>
      <c r="M2031" s="2"/>
    </row>
    <row r="2032" spans="1:13" x14ac:dyDescent="0.25">
      <c r="A2032" s="2"/>
      <c r="D2032" s="2"/>
      <c r="G2032" s="2"/>
      <c r="J2032" s="2"/>
      <c r="M2032" s="2"/>
    </row>
    <row r="2033" spans="1:13" x14ac:dyDescent="0.25">
      <c r="A2033" s="2"/>
      <c r="D2033" s="2"/>
      <c r="G2033" s="2"/>
      <c r="J2033" s="2"/>
      <c r="M2033" s="2"/>
    </row>
    <row r="2034" spans="1:13" x14ac:dyDescent="0.25">
      <c r="A2034" s="2"/>
      <c r="D2034" s="2"/>
      <c r="G2034" s="2"/>
      <c r="J2034" s="2"/>
      <c r="M2034" s="2"/>
    </row>
    <row r="2035" spans="1:13" x14ac:dyDescent="0.25">
      <c r="A2035" s="2"/>
      <c r="D2035" s="2"/>
      <c r="G2035" s="2"/>
      <c r="J2035" s="2"/>
      <c r="M2035" s="2"/>
    </row>
    <row r="2036" spans="1:13" x14ac:dyDescent="0.25">
      <c r="A2036" s="2"/>
      <c r="D2036" s="2"/>
      <c r="G2036" s="2"/>
      <c r="J2036" s="2"/>
      <c r="M2036" s="2"/>
    </row>
    <row r="2037" spans="1:13" x14ac:dyDescent="0.25">
      <c r="A2037" s="2"/>
      <c r="D2037" s="2"/>
      <c r="G2037" s="2"/>
      <c r="J2037" s="2"/>
      <c r="M2037" s="2"/>
    </row>
    <row r="2038" spans="1:13" x14ac:dyDescent="0.25">
      <c r="A2038" s="2"/>
      <c r="D2038" s="2"/>
      <c r="G2038" s="2"/>
      <c r="J2038" s="2"/>
      <c r="M2038" s="2"/>
    </row>
    <row r="2039" spans="1:13" x14ac:dyDescent="0.25">
      <c r="A2039" s="2"/>
      <c r="D2039" s="2"/>
      <c r="G2039" s="2"/>
      <c r="J2039" s="2"/>
      <c r="M2039" s="2"/>
    </row>
    <row r="2040" spans="1:13" x14ac:dyDescent="0.25">
      <c r="A2040" s="2"/>
      <c r="D2040" s="2"/>
      <c r="G2040" s="2"/>
      <c r="J2040" s="2"/>
      <c r="M2040" s="2"/>
    </row>
    <row r="2041" spans="1:13" x14ac:dyDescent="0.25">
      <c r="A2041" s="2"/>
      <c r="D2041" s="2"/>
      <c r="G2041" s="2"/>
      <c r="J2041" s="2"/>
      <c r="M2041" s="2"/>
    </row>
    <row r="2042" spans="1:13" x14ac:dyDescent="0.25">
      <c r="A2042" s="2"/>
      <c r="D2042" s="2"/>
      <c r="G2042" s="2"/>
      <c r="J2042" s="2"/>
      <c r="M2042" s="2"/>
    </row>
    <row r="2043" spans="1:13" x14ac:dyDescent="0.25">
      <c r="A2043" s="2"/>
      <c r="D2043" s="2"/>
      <c r="G2043" s="2"/>
      <c r="J2043" s="2"/>
      <c r="M2043" s="2"/>
    </row>
    <row r="2044" spans="1:13" x14ac:dyDescent="0.25">
      <c r="A2044" s="2"/>
      <c r="D2044" s="2"/>
      <c r="G2044" s="2"/>
      <c r="J2044" s="2"/>
      <c r="M2044" s="2"/>
    </row>
    <row r="2045" spans="1:13" x14ac:dyDescent="0.25">
      <c r="A2045" s="2"/>
      <c r="D2045" s="2"/>
      <c r="G2045" s="2"/>
      <c r="J2045" s="2"/>
      <c r="M2045" s="2"/>
    </row>
    <row r="2046" spans="1:13" x14ac:dyDescent="0.25">
      <c r="A2046" s="2"/>
      <c r="D2046" s="2"/>
      <c r="G2046" s="2"/>
      <c r="J2046" s="2"/>
      <c r="M2046" s="2"/>
    </row>
    <row r="2047" spans="1:13" x14ac:dyDescent="0.25">
      <c r="A2047" s="2"/>
      <c r="D2047" s="2"/>
      <c r="G2047" s="2"/>
      <c r="J2047" s="2"/>
      <c r="M2047" s="2"/>
    </row>
    <row r="2048" spans="1:13" x14ac:dyDescent="0.25">
      <c r="A2048" s="2"/>
      <c r="D2048" s="2"/>
      <c r="G2048" s="2"/>
      <c r="J2048" s="2"/>
      <c r="M2048" s="2"/>
    </row>
    <row r="2049" spans="1:13" x14ac:dyDescent="0.25">
      <c r="A2049" s="2"/>
      <c r="D2049" s="2"/>
      <c r="G2049" s="2"/>
      <c r="J2049" s="2"/>
      <c r="M2049" s="2"/>
    </row>
    <row r="2050" spans="1:13" x14ac:dyDescent="0.25">
      <c r="A2050" s="2"/>
      <c r="D2050" s="2"/>
      <c r="G2050" s="2"/>
      <c r="J2050" s="2"/>
      <c r="M2050" s="2"/>
    </row>
    <row r="2051" spans="1:13" x14ac:dyDescent="0.25">
      <c r="A2051" s="2"/>
      <c r="D2051" s="2"/>
      <c r="G2051" s="2"/>
      <c r="J2051" s="2"/>
      <c r="M2051" s="2"/>
    </row>
    <row r="2052" spans="1:13" x14ac:dyDescent="0.25">
      <c r="A2052" s="2"/>
      <c r="D2052" s="2"/>
      <c r="G2052" s="2"/>
      <c r="J2052" s="2"/>
      <c r="M2052" s="2"/>
    </row>
    <row r="2053" spans="1:13" x14ac:dyDescent="0.25">
      <c r="A2053" s="2"/>
      <c r="D2053" s="2"/>
      <c r="G2053" s="2"/>
      <c r="J2053" s="2"/>
      <c r="M2053" s="2"/>
    </row>
    <row r="2054" spans="1:13" x14ac:dyDescent="0.25">
      <c r="A2054" s="2"/>
      <c r="D2054" s="2"/>
      <c r="G2054" s="2"/>
      <c r="J2054" s="2"/>
      <c r="M2054" s="2"/>
    </row>
    <row r="2055" spans="1:13" x14ac:dyDescent="0.25">
      <c r="A2055" s="2"/>
      <c r="D2055" s="2"/>
      <c r="G2055" s="2"/>
      <c r="J2055" s="2"/>
      <c r="M2055" s="2"/>
    </row>
    <row r="2056" spans="1:13" x14ac:dyDescent="0.25">
      <c r="A2056" s="2"/>
      <c r="D2056" s="2"/>
      <c r="G2056" s="2"/>
      <c r="J2056" s="2"/>
      <c r="M2056" s="2"/>
    </row>
    <row r="2057" spans="1:13" x14ac:dyDescent="0.25">
      <c r="A2057" s="2"/>
      <c r="D2057" s="2"/>
      <c r="G2057" s="2"/>
      <c r="J2057" s="2"/>
      <c r="M2057" s="2"/>
    </row>
    <row r="2058" spans="1:13" x14ac:dyDescent="0.25">
      <c r="A2058" s="2"/>
      <c r="D2058" s="2"/>
      <c r="G2058" s="2"/>
      <c r="J2058" s="2"/>
      <c r="M2058" s="2"/>
    </row>
    <row r="2059" spans="1:13" x14ac:dyDescent="0.25">
      <c r="A2059" s="2"/>
      <c r="D2059" s="2"/>
      <c r="G2059" s="2"/>
      <c r="J2059" s="2"/>
      <c r="M2059" s="2"/>
    </row>
    <row r="2060" spans="1:13" x14ac:dyDescent="0.25">
      <c r="A2060" s="2"/>
      <c r="D2060" s="2"/>
      <c r="G2060" s="2"/>
      <c r="J2060" s="2"/>
      <c r="M2060" s="2"/>
    </row>
    <row r="2061" spans="1:13" x14ac:dyDescent="0.25">
      <c r="A2061" s="2"/>
      <c r="D2061" s="2"/>
      <c r="G2061" s="2"/>
      <c r="J2061" s="2"/>
      <c r="M2061" s="2"/>
    </row>
    <row r="2062" spans="1:13" x14ac:dyDescent="0.25">
      <c r="A2062" s="2"/>
      <c r="D2062" s="2"/>
      <c r="G2062" s="2"/>
      <c r="J2062" s="2"/>
      <c r="M2062" s="2"/>
    </row>
    <row r="2063" spans="1:13" x14ac:dyDescent="0.25">
      <c r="A2063" s="2"/>
      <c r="D2063" s="2"/>
      <c r="G2063" s="2"/>
      <c r="J2063" s="2"/>
      <c r="M2063" s="2"/>
    </row>
    <row r="2064" spans="1:13" x14ac:dyDescent="0.25">
      <c r="A2064" s="2"/>
      <c r="D2064" s="2"/>
      <c r="G2064" s="2"/>
      <c r="J2064" s="2"/>
      <c r="M2064" s="2"/>
    </row>
    <row r="2065" spans="1:13" x14ac:dyDescent="0.25">
      <c r="A2065" s="2"/>
      <c r="D2065" s="2"/>
      <c r="G2065" s="2"/>
      <c r="J2065" s="2"/>
      <c r="M2065" s="2"/>
    </row>
    <row r="2066" spans="1:13" x14ac:dyDescent="0.25">
      <c r="A2066" s="2"/>
      <c r="D2066" s="2"/>
      <c r="G2066" s="2"/>
      <c r="J2066" s="2"/>
      <c r="M2066" s="2"/>
    </row>
    <row r="2067" spans="1:13" x14ac:dyDescent="0.25">
      <c r="A2067" s="2"/>
      <c r="D2067" s="2"/>
      <c r="G2067" s="2"/>
      <c r="J2067" s="2"/>
      <c r="M2067" s="2"/>
    </row>
    <row r="2068" spans="1:13" x14ac:dyDescent="0.25">
      <c r="A2068" s="2"/>
      <c r="D2068" s="2"/>
      <c r="G2068" s="2"/>
      <c r="J2068" s="2"/>
      <c r="M2068" s="2"/>
    </row>
    <row r="2069" spans="1:13" x14ac:dyDescent="0.25">
      <c r="A2069" s="2"/>
      <c r="D2069" s="2"/>
      <c r="G2069" s="2"/>
      <c r="J2069" s="2"/>
      <c r="M2069" s="2"/>
    </row>
    <row r="2070" spans="1:13" x14ac:dyDescent="0.25">
      <c r="A2070" s="2"/>
      <c r="D2070" s="2"/>
      <c r="G2070" s="2"/>
      <c r="J2070" s="2"/>
      <c r="M2070" s="2"/>
    </row>
    <row r="2071" spans="1:13" x14ac:dyDescent="0.25">
      <c r="A2071" s="2"/>
      <c r="D2071" s="2"/>
      <c r="G2071" s="2"/>
      <c r="J2071" s="2"/>
      <c r="M2071" s="2"/>
    </row>
    <row r="2072" spans="1:13" x14ac:dyDescent="0.25">
      <c r="A2072" s="2"/>
      <c r="D2072" s="2"/>
      <c r="G2072" s="2"/>
      <c r="J2072" s="2"/>
      <c r="M2072" s="2"/>
    </row>
    <row r="2073" spans="1:13" x14ac:dyDescent="0.25">
      <c r="A2073" s="2"/>
      <c r="D2073" s="2"/>
      <c r="G2073" s="2"/>
      <c r="J2073" s="2"/>
      <c r="M2073" s="2"/>
    </row>
    <row r="2074" spans="1:13" x14ac:dyDescent="0.25">
      <c r="A2074" s="2"/>
      <c r="D2074" s="2"/>
      <c r="G2074" s="2"/>
      <c r="J2074" s="2"/>
      <c r="M2074" s="2"/>
    </row>
    <row r="2075" spans="1:13" x14ac:dyDescent="0.25">
      <c r="A2075" s="2"/>
      <c r="D2075" s="2"/>
      <c r="G2075" s="2"/>
      <c r="J2075" s="2"/>
      <c r="M2075" s="2"/>
    </row>
    <row r="2076" spans="1:13" x14ac:dyDescent="0.25">
      <c r="A2076" s="2"/>
      <c r="D2076" s="2"/>
      <c r="G2076" s="2"/>
      <c r="J2076" s="2"/>
      <c r="M2076" s="2"/>
    </row>
    <row r="2077" spans="1:13" x14ac:dyDescent="0.25">
      <c r="A2077" s="2"/>
      <c r="D2077" s="2"/>
      <c r="G2077" s="2"/>
      <c r="J2077" s="2"/>
      <c r="M2077" s="2"/>
    </row>
    <row r="2078" spans="1:13" x14ac:dyDescent="0.25">
      <c r="A2078" s="2"/>
      <c r="D2078" s="2"/>
      <c r="G2078" s="2"/>
      <c r="J2078" s="2"/>
      <c r="M2078" s="2"/>
    </row>
    <row r="2079" spans="1:13" x14ac:dyDescent="0.25">
      <c r="A2079" s="2"/>
      <c r="D2079" s="2"/>
      <c r="G2079" s="2"/>
      <c r="J2079" s="2"/>
      <c r="M2079" s="2"/>
    </row>
    <row r="2080" spans="1:13" x14ac:dyDescent="0.25">
      <c r="A2080" s="2"/>
      <c r="D2080" s="2"/>
      <c r="G2080" s="2"/>
      <c r="J2080" s="2"/>
      <c r="M2080" s="2"/>
    </row>
    <row r="2081" spans="1:13" x14ac:dyDescent="0.25">
      <c r="A2081" s="2"/>
      <c r="D2081" s="2"/>
      <c r="G2081" s="2"/>
      <c r="J2081" s="2"/>
      <c r="M2081" s="2"/>
    </row>
    <row r="2082" spans="1:13" x14ac:dyDescent="0.25">
      <c r="A2082" s="2"/>
      <c r="D2082" s="2"/>
      <c r="G2082" s="2"/>
      <c r="J2082" s="2"/>
      <c r="M2082" s="2"/>
    </row>
    <row r="2083" spans="1:13" x14ac:dyDescent="0.25">
      <c r="A2083" s="2"/>
      <c r="D2083" s="2"/>
      <c r="G2083" s="2"/>
      <c r="J2083" s="2"/>
      <c r="M2083" s="2"/>
    </row>
    <row r="2084" spans="1:13" x14ac:dyDescent="0.25">
      <c r="A2084" s="2"/>
      <c r="D2084" s="2"/>
      <c r="G2084" s="2"/>
      <c r="J2084" s="2"/>
      <c r="M2084" s="2"/>
    </row>
    <row r="2085" spans="1:13" x14ac:dyDescent="0.25">
      <c r="A2085" s="2"/>
      <c r="D2085" s="2"/>
      <c r="G2085" s="2"/>
      <c r="J2085" s="2"/>
      <c r="M2085" s="2"/>
    </row>
    <row r="2086" spans="1:13" x14ac:dyDescent="0.25">
      <c r="A2086" s="2"/>
      <c r="D2086" s="2"/>
      <c r="G2086" s="2"/>
      <c r="J2086" s="2"/>
      <c r="M2086" s="2"/>
    </row>
    <row r="2087" spans="1:13" x14ac:dyDescent="0.25">
      <c r="A2087" s="2"/>
      <c r="D2087" s="2"/>
      <c r="G2087" s="2"/>
      <c r="J2087" s="2"/>
      <c r="M2087" s="2"/>
    </row>
    <row r="2088" spans="1:13" x14ac:dyDescent="0.25">
      <c r="A2088" s="2"/>
      <c r="D2088" s="2"/>
      <c r="G2088" s="2"/>
      <c r="J2088" s="2"/>
      <c r="M2088" s="2"/>
    </row>
    <row r="2089" spans="1:13" x14ac:dyDescent="0.25">
      <c r="A2089" s="2"/>
      <c r="D2089" s="2"/>
      <c r="G2089" s="2"/>
      <c r="J2089" s="2"/>
      <c r="M2089" s="2"/>
    </row>
    <row r="2090" spans="1:13" x14ac:dyDescent="0.25">
      <c r="A2090" s="2"/>
      <c r="D2090" s="2"/>
      <c r="G2090" s="2"/>
      <c r="J2090" s="2"/>
      <c r="M2090" s="2"/>
    </row>
    <row r="2091" spans="1:13" x14ac:dyDescent="0.25">
      <c r="A2091" s="2"/>
      <c r="D2091" s="2"/>
      <c r="G2091" s="2"/>
      <c r="J2091" s="2"/>
      <c r="M2091" s="2"/>
    </row>
    <row r="2092" spans="1:13" x14ac:dyDescent="0.25">
      <c r="A2092" s="2"/>
      <c r="D2092" s="2"/>
      <c r="G2092" s="2"/>
      <c r="J2092" s="2"/>
      <c r="M2092" s="2"/>
    </row>
    <row r="2093" spans="1:13" x14ac:dyDescent="0.25">
      <c r="A2093" s="2"/>
      <c r="D2093" s="2"/>
      <c r="G2093" s="2"/>
      <c r="J2093" s="2"/>
      <c r="M2093" s="2"/>
    </row>
    <row r="2094" spans="1:13" x14ac:dyDescent="0.25">
      <c r="A2094" s="2"/>
      <c r="D2094" s="2"/>
      <c r="G2094" s="2"/>
      <c r="J2094" s="2"/>
      <c r="M2094" s="2"/>
    </row>
    <row r="2095" spans="1:13" x14ac:dyDescent="0.25">
      <c r="A2095" s="2"/>
      <c r="D2095" s="2"/>
      <c r="G2095" s="2"/>
      <c r="J2095" s="2"/>
      <c r="M2095" s="2"/>
    </row>
    <row r="2096" spans="1:13" x14ac:dyDescent="0.25">
      <c r="A2096" s="2"/>
      <c r="D2096" s="2"/>
      <c r="G2096" s="2"/>
      <c r="J2096" s="2"/>
      <c r="M2096" s="2"/>
    </row>
    <row r="2097" spans="1:13" x14ac:dyDescent="0.25">
      <c r="A2097" s="2"/>
      <c r="D2097" s="2"/>
      <c r="G2097" s="2"/>
      <c r="J2097" s="2"/>
      <c r="M2097" s="2"/>
    </row>
    <row r="2098" spans="1:13" x14ac:dyDescent="0.25">
      <c r="A2098" s="2"/>
      <c r="D2098" s="2"/>
      <c r="G2098" s="2"/>
      <c r="J2098" s="2"/>
      <c r="M2098" s="2"/>
    </row>
    <row r="2099" spans="1:13" x14ac:dyDescent="0.25">
      <c r="A2099" s="2"/>
      <c r="D2099" s="2"/>
      <c r="G2099" s="2"/>
      <c r="J2099" s="2"/>
      <c r="M2099" s="2"/>
    </row>
    <row r="2100" spans="1:13" x14ac:dyDescent="0.25">
      <c r="A2100" s="2"/>
      <c r="D2100" s="2"/>
      <c r="G2100" s="2"/>
      <c r="J2100" s="2"/>
      <c r="M2100" s="2"/>
    </row>
    <row r="2101" spans="1:13" x14ac:dyDescent="0.25">
      <c r="A2101" s="2"/>
      <c r="D2101" s="2"/>
      <c r="G2101" s="2"/>
      <c r="J2101" s="2"/>
      <c r="M2101" s="2"/>
    </row>
    <row r="2102" spans="1:13" x14ac:dyDescent="0.25">
      <c r="A2102" s="2"/>
      <c r="D2102" s="2"/>
      <c r="G2102" s="2"/>
      <c r="J2102" s="2"/>
      <c r="M2102" s="2"/>
    </row>
    <row r="2103" spans="1:13" x14ac:dyDescent="0.25">
      <c r="A2103" s="2"/>
      <c r="D2103" s="2"/>
      <c r="G2103" s="2"/>
      <c r="J2103" s="2"/>
      <c r="M2103" s="2"/>
    </row>
    <row r="2104" spans="1:13" x14ac:dyDescent="0.25">
      <c r="A2104" s="2"/>
      <c r="D2104" s="2"/>
      <c r="G2104" s="2"/>
      <c r="J2104" s="2"/>
      <c r="M2104" s="2"/>
    </row>
    <row r="2105" spans="1:13" x14ac:dyDescent="0.25">
      <c r="A2105" s="2"/>
      <c r="D2105" s="2"/>
      <c r="G2105" s="2"/>
      <c r="J2105" s="2"/>
      <c r="M2105" s="2"/>
    </row>
    <row r="2106" spans="1:13" x14ac:dyDescent="0.25">
      <c r="A2106" s="2"/>
      <c r="D2106" s="2"/>
      <c r="G2106" s="2"/>
      <c r="J2106" s="2"/>
      <c r="M2106" s="2"/>
    </row>
    <row r="2107" spans="1:13" x14ac:dyDescent="0.25">
      <c r="A2107" s="2"/>
      <c r="D2107" s="2"/>
      <c r="G2107" s="2"/>
      <c r="J2107" s="2"/>
      <c r="M2107" s="2"/>
    </row>
    <row r="2108" spans="1:13" x14ac:dyDescent="0.25">
      <c r="A2108" s="2"/>
      <c r="D2108" s="2"/>
      <c r="G2108" s="2"/>
      <c r="J2108" s="2"/>
      <c r="M2108" s="2"/>
    </row>
    <row r="2109" spans="1:13" x14ac:dyDescent="0.25">
      <c r="A2109" s="2"/>
      <c r="D2109" s="2"/>
      <c r="G2109" s="2"/>
      <c r="J2109" s="2"/>
      <c r="M2109" s="2"/>
    </row>
    <row r="2110" spans="1:13" x14ac:dyDescent="0.25">
      <c r="A2110" s="2"/>
      <c r="D2110" s="2"/>
      <c r="G2110" s="2"/>
      <c r="J2110" s="2"/>
      <c r="M2110" s="2"/>
    </row>
    <row r="2111" spans="1:13" x14ac:dyDescent="0.25">
      <c r="A2111" s="2"/>
      <c r="D2111" s="2"/>
      <c r="G2111" s="2"/>
      <c r="J2111" s="2"/>
      <c r="M2111" s="2"/>
    </row>
    <row r="2112" spans="1:13" x14ac:dyDescent="0.25">
      <c r="A2112" s="2"/>
      <c r="D2112" s="2"/>
      <c r="G2112" s="2"/>
      <c r="J2112" s="2"/>
      <c r="M2112" s="2"/>
    </row>
    <row r="2113" spans="1:13" x14ac:dyDescent="0.25">
      <c r="A2113" s="2"/>
      <c r="D2113" s="2"/>
      <c r="G2113" s="2"/>
      <c r="J2113" s="2"/>
      <c r="M2113" s="2"/>
    </row>
    <row r="2114" spans="1:13" x14ac:dyDescent="0.25">
      <c r="A2114" s="2"/>
      <c r="D2114" s="2"/>
      <c r="G2114" s="2"/>
      <c r="J2114" s="2"/>
      <c r="M2114" s="2"/>
    </row>
    <row r="2115" spans="1:13" x14ac:dyDescent="0.25">
      <c r="A2115" s="2"/>
      <c r="D2115" s="2"/>
      <c r="G2115" s="2"/>
      <c r="J2115" s="2"/>
      <c r="M2115" s="2"/>
    </row>
    <row r="2116" spans="1:13" x14ac:dyDescent="0.25">
      <c r="A2116" s="2"/>
      <c r="D2116" s="2"/>
      <c r="G2116" s="2"/>
      <c r="J2116" s="2"/>
      <c r="M2116" s="2"/>
    </row>
    <row r="2117" spans="1:13" x14ac:dyDescent="0.25">
      <c r="A2117" s="2"/>
      <c r="D2117" s="2"/>
      <c r="G2117" s="2"/>
      <c r="J2117" s="2"/>
      <c r="M2117" s="2"/>
    </row>
    <row r="2118" spans="1:13" x14ac:dyDescent="0.25">
      <c r="A2118" s="2"/>
      <c r="D2118" s="2"/>
      <c r="G2118" s="2"/>
      <c r="J2118" s="2"/>
      <c r="M2118" s="2"/>
    </row>
    <row r="2119" spans="1:13" x14ac:dyDescent="0.25">
      <c r="A2119" s="2"/>
      <c r="D2119" s="2"/>
      <c r="G2119" s="2"/>
      <c r="J2119" s="2"/>
      <c r="M2119" s="2"/>
    </row>
    <row r="2120" spans="1:13" x14ac:dyDescent="0.25">
      <c r="A2120" s="2"/>
      <c r="D2120" s="2"/>
      <c r="G2120" s="2"/>
      <c r="J2120" s="2"/>
      <c r="M2120" s="2"/>
    </row>
    <row r="2121" spans="1:13" x14ac:dyDescent="0.25">
      <c r="A2121" s="2"/>
      <c r="D2121" s="2"/>
      <c r="G2121" s="2"/>
      <c r="J2121" s="2"/>
      <c r="M2121" s="2"/>
    </row>
    <row r="2122" spans="1:13" x14ac:dyDescent="0.25">
      <c r="A2122" s="2"/>
      <c r="D2122" s="2"/>
      <c r="G2122" s="2"/>
      <c r="J2122" s="2"/>
      <c r="M2122" s="2"/>
    </row>
    <row r="2123" spans="1:13" x14ac:dyDescent="0.25">
      <c r="A2123" s="2"/>
      <c r="D2123" s="2"/>
      <c r="G2123" s="2"/>
      <c r="J2123" s="2"/>
      <c r="M2123" s="2"/>
    </row>
    <row r="2124" spans="1:13" x14ac:dyDescent="0.25">
      <c r="A2124" s="2"/>
      <c r="D2124" s="2"/>
      <c r="G2124" s="2"/>
      <c r="J2124" s="2"/>
      <c r="M2124" s="2"/>
    </row>
    <row r="2125" spans="1:13" x14ac:dyDescent="0.25">
      <c r="A2125" s="2"/>
      <c r="D2125" s="2"/>
      <c r="G2125" s="2"/>
      <c r="J2125" s="2"/>
      <c r="M2125" s="2"/>
    </row>
    <row r="2126" spans="1:13" x14ac:dyDescent="0.25">
      <c r="A2126" s="2"/>
      <c r="D2126" s="2"/>
      <c r="G2126" s="2"/>
      <c r="J2126" s="2"/>
      <c r="M2126" s="2"/>
    </row>
    <row r="2127" spans="1:13" x14ac:dyDescent="0.25">
      <c r="A2127" s="2"/>
      <c r="D2127" s="2"/>
      <c r="G2127" s="2"/>
      <c r="J2127" s="2"/>
      <c r="M2127" s="2"/>
    </row>
    <row r="2128" spans="1:13" x14ac:dyDescent="0.25">
      <c r="A2128" s="2"/>
      <c r="D2128" s="2"/>
      <c r="G2128" s="2"/>
      <c r="J2128" s="2"/>
      <c r="M2128" s="2"/>
    </row>
    <row r="2129" spans="1:13" x14ac:dyDescent="0.25">
      <c r="A2129" s="2"/>
      <c r="D2129" s="2"/>
      <c r="G2129" s="2"/>
      <c r="J2129" s="2"/>
      <c r="M2129" s="2"/>
    </row>
    <row r="2130" spans="1:13" x14ac:dyDescent="0.25">
      <c r="A2130" s="2"/>
      <c r="D2130" s="2"/>
      <c r="G2130" s="2"/>
      <c r="J2130" s="2"/>
      <c r="M2130" s="2"/>
    </row>
    <row r="2131" spans="1:13" x14ac:dyDescent="0.25">
      <c r="A2131" s="2"/>
      <c r="D2131" s="2"/>
      <c r="G2131" s="2"/>
      <c r="J2131" s="2"/>
      <c r="M2131" s="2"/>
    </row>
    <row r="2132" spans="1:13" x14ac:dyDescent="0.25">
      <c r="A2132" s="2"/>
      <c r="D2132" s="2"/>
      <c r="G2132" s="2"/>
      <c r="J2132" s="2"/>
      <c r="M2132" s="2"/>
    </row>
    <row r="2133" spans="1:13" x14ac:dyDescent="0.25">
      <c r="A2133" s="2"/>
      <c r="D2133" s="2"/>
      <c r="G2133" s="2"/>
      <c r="J2133" s="2"/>
      <c r="M2133" s="2"/>
    </row>
    <row r="2134" spans="1:13" x14ac:dyDescent="0.25">
      <c r="A2134" s="2"/>
      <c r="D2134" s="2"/>
      <c r="G2134" s="2"/>
      <c r="J2134" s="2"/>
      <c r="M2134" s="2"/>
    </row>
    <row r="2135" spans="1:13" x14ac:dyDescent="0.25">
      <c r="A2135" s="2"/>
      <c r="D2135" s="2"/>
      <c r="G2135" s="2"/>
      <c r="J2135" s="2"/>
      <c r="M2135" s="2"/>
    </row>
    <row r="2136" spans="1:13" x14ac:dyDescent="0.25">
      <c r="A2136" s="2"/>
      <c r="D2136" s="2"/>
      <c r="G2136" s="2"/>
      <c r="J2136" s="2"/>
      <c r="M2136" s="2"/>
    </row>
    <row r="2137" spans="1:13" x14ac:dyDescent="0.25">
      <c r="A2137" s="2"/>
      <c r="D2137" s="2"/>
      <c r="G2137" s="2"/>
      <c r="J2137" s="2"/>
      <c r="M2137" s="2"/>
    </row>
    <row r="2138" spans="1:13" x14ac:dyDescent="0.25">
      <c r="A2138" s="2"/>
      <c r="D2138" s="2"/>
      <c r="G2138" s="2"/>
      <c r="J2138" s="2"/>
      <c r="M2138" s="2"/>
    </row>
    <row r="2139" spans="1:13" x14ac:dyDescent="0.25">
      <c r="A2139" s="2"/>
      <c r="D2139" s="2"/>
      <c r="G2139" s="2"/>
      <c r="J2139" s="2"/>
      <c r="M2139" s="2"/>
    </row>
    <row r="2140" spans="1:13" x14ac:dyDescent="0.25">
      <c r="A2140" s="2"/>
      <c r="D2140" s="2"/>
      <c r="G2140" s="2"/>
      <c r="J2140" s="2"/>
      <c r="M2140" s="2"/>
    </row>
    <row r="2141" spans="1:13" x14ac:dyDescent="0.25">
      <c r="A2141" s="2"/>
      <c r="D2141" s="2"/>
      <c r="G2141" s="2"/>
      <c r="J2141" s="2"/>
      <c r="M2141" s="2"/>
    </row>
    <row r="2142" spans="1:13" x14ac:dyDescent="0.25">
      <c r="A2142" s="2"/>
      <c r="D2142" s="2"/>
      <c r="G2142" s="2"/>
      <c r="J2142" s="2"/>
      <c r="M2142" s="2"/>
    </row>
    <row r="2143" spans="1:13" x14ac:dyDescent="0.25">
      <c r="A2143" s="2"/>
      <c r="D2143" s="2"/>
      <c r="G2143" s="2"/>
      <c r="J2143" s="2"/>
      <c r="M2143" s="2"/>
    </row>
    <row r="2144" spans="1:13" x14ac:dyDescent="0.25">
      <c r="A2144" s="2"/>
      <c r="D2144" s="2"/>
      <c r="G2144" s="2"/>
      <c r="J2144" s="2"/>
      <c r="M2144" s="2"/>
    </row>
    <row r="2145" spans="1:13" x14ac:dyDescent="0.25">
      <c r="A2145" s="2"/>
      <c r="D2145" s="2"/>
      <c r="G2145" s="2"/>
      <c r="J2145" s="2"/>
      <c r="M2145" s="2"/>
    </row>
    <row r="2146" spans="1:13" x14ac:dyDescent="0.25">
      <c r="A2146" s="2"/>
      <c r="D2146" s="2"/>
      <c r="G2146" s="2"/>
      <c r="J2146" s="2"/>
      <c r="M2146" s="2"/>
    </row>
    <row r="2147" spans="1:13" x14ac:dyDescent="0.25">
      <c r="A2147" s="2"/>
      <c r="D2147" s="2"/>
      <c r="G2147" s="2"/>
      <c r="J2147" s="2"/>
      <c r="M2147" s="2"/>
    </row>
    <row r="2148" spans="1:13" x14ac:dyDescent="0.25">
      <c r="A2148" s="2"/>
      <c r="D2148" s="2"/>
      <c r="G2148" s="2"/>
      <c r="J2148" s="2"/>
      <c r="M2148" s="2"/>
    </row>
    <row r="2149" spans="1:13" x14ac:dyDescent="0.25">
      <c r="A2149" s="2"/>
      <c r="D2149" s="2"/>
      <c r="G2149" s="2"/>
      <c r="J2149" s="2"/>
      <c r="M2149" s="2"/>
    </row>
    <row r="2150" spans="1:13" x14ac:dyDescent="0.25">
      <c r="A2150" s="2"/>
      <c r="D2150" s="2"/>
      <c r="G2150" s="2"/>
      <c r="J2150" s="2"/>
      <c r="M2150" s="2"/>
    </row>
    <row r="2151" spans="1:13" x14ac:dyDescent="0.25">
      <c r="A2151" s="2"/>
      <c r="D2151" s="2"/>
      <c r="G2151" s="2"/>
      <c r="J2151" s="2"/>
      <c r="M2151" s="2"/>
    </row>
    <row r="2152" spans="1:13" x14ac:dyDescent="0.25">
      <c r="A2152" s="2"/>
      <c r="D2152" s="2"/>
      <c r="G2152" s="2"/>
      <c r="J2152" s="2"/>
      <c r="M2152" s="2"/>
    </row>
    <row r="2153" spans="1:13" x14ac:dyDescent="0.25">
      <c r="A2153" s="2"/>
      <c r="D2153" s="2"/>
      <c r="G2153" s="2"/>
      <c r="J2153" s="2"/>
      <c r="M2153" s="2"/>
    </row>
    <row r="2154" spans="1:13" x14ac:dyDescent="0.25">
      <c r="A2154" s="2"/>
      <c r="D2154" s="2"/>
      <c r="G2154" s="2"/>
      <c r="J2154" s="2"/>
      <c r="M2154" s="2"/>
    </row>
    <row r="2155" spans="1:13" x14ac:dyDescent="0.25">
      <c r="A2155" s="2"/>
      <c r="D2155" s="2"/>
      <c r="G2155" s="2"/>
      <c r="J2155" s="2"/>
      <c r="M2155" s="2"/>
    </row>
    <row r="2156" spans="1:13" x14ac:dyDescent="0.25">
      <c r="A2156" s="2"/>
      <c r="D2156" s="2"/>
      <c r="G2156" s="2"/>
      <c r="J2156" s="2"/>
      <c r="M2156" s="2"/>
    </row>
    <row r="2157" spans="1:13" x14ac:dyDescent="0.25">
      <c r="A2157" s="2"/>
      <c r="D2157" s="2"/>
      <c r="G2157" s="2"/>
      <c r="J2157" s="2"/>
      <c r="M2157" s="2"/>
    </row>
    <row r="2158" spans="1:13" x14ac:dyDescent="0.25">
      <c r="A2158" s="2"/>
      <c r="D2158" s="2"/>
      <c r="G2158" s="2"/>
      <c r="J2158" s="2"/>
      <c r="M2158" s="2"/>
    </row>
    <row r="2159" spans="1:13" x14ac:dyDescent="0.25">
      <c r="A2159" s="2"/>
      <c r="D2159" s="2"/>
      <c r="G2159" s="2"/>
      <c r="J2159" s="2"/>
      <c r="M2159" s="2"/>
    </row>
    <row r="2160" spans="1:13" x14ac:dyDescent="0.25">
      <c r="A2160" s="2"/>
      <c r="D2160" s="2"/>
      <c r="G2160" s="2"/>
      <c r="J2160" s="2"/>
      <c r="M2160" s="2"/>
    </row>
    <row r="2161" spans="1:13" x14ac:dyDescent="0.25">
      <c r="A2161" s="2"/>
      <c r="D2161" s="2"/>
      <c r="G2161" s="2"/>
      <c r="J2161" s="2"/>
      <c r="M2161" s="2"/>
    </row>
    <row r="2162" spans="1:13" x14ac:dyDescent="0.25">
      <c r="A2162" s="2"/>
      <c r="D2162" s="2"/>
      <c r="G2162" s="2"/>
      <c r="J2162" s="2"/>
      <c r="M2162" s="2"/>
    </row>
    <row r="2163" spans="1:13" x14ac:dyDescent="0.25">
      <c r="A2163" s="2"/>
      <c r="D2163" s="2"/>
      <c r="G2163" s="2"/>
      <c r="J2163" s="2"/>
      <c r="M2163" s="2"/>
    </row>
    <row r="2164" spans="1:13" x14ac:dyDescent="0.25">
      <c r="A2164" s="2"/>
      <c r="D2164" s="2"/>
      <c r="G2164" s="2"/>
      <c r="J2164" s="2"/>
      <c r="M2164" s="2"/>
    </row>
    <row r="2165" spans="1:13" x14ac:dyDescent="0.25">
      <c r="A2165" s="2"/>
      <c r="D2165" s="2"/>
      <c r="G2165" s="2"/>
      <c r="J2165" s="2"/>
      <c r="M2165" s="2"/>
    </row>
    <row r="2166" spans="1:13" x14ac:dyDescent="0.25">
      <c r="A2166" s="2"/>
      <c r="D2166" s="2"/>
      <c r="G2166" s="2"/>
      <c r="J2166" s="2"/>
      <c r="M2166" s="2"/>
    </row>
    <row r="2167" spans="1:13" x14ac:dyDescent="0.25">
      <c r="A2167" s="2"/>
      <c r="D2167" s="2"/>
      <c r="G2167" s="2"/>
      <c r="J2167" s="2"/>
      <c r="M2167" s="2"/>
    </row>
    <row r="2168" spans="1:13" x14ac:dyDescent="0.25">
      <c r="A2168" s="2"/>
      <c r="D2168" s="2"/>
      <c r="G2168" s="2"/>
      <c r="J2168" s="2"/>
      <c r="M2168" s="2"/>
    </row>
    <row r="2169" spans="1:13" x14ac:dyDescent="0.25">
      <c r="A2169" s="2"/>
      <c r="D2169" s="2"/>
      <c r="G2169" s="2"/>
      <c r="J2169" s="2"/>
      <c r="M2169" s="2"/>
    </row>
    <row r="2170" spans="1:13" x14ac:dyDescent="0.25">
      <c r="A2170" s="2"/>
      <c r="D2170" s="2"/>
      <c r="G2170" s="2"/>
      <c r="J2170" s="2"/>
      <c r="M2170" s="2"/>
    </row>
    <row r="2171" spans="1:13" x14ac:dyDescent="0.25">
      <c r="A2171" s="2"/>
      <c r="D2171" s="2"/>
      <c r="G2171" s="2"/>
      <c r="J2171" s="2"/>
      <c r="M2171" s="2"/>
    </row>
    <row r="2172" spans="1:13" x14ac:dyDescent="0.25">
      <c r="A2172" s="2"/>
      <c r="D2172" s="2"/>
      <c r="G2172" s="2"/>
      <c r="J2172" s="2"/>
      <c r="M2172" s="2"/>
    </row>
    <row r="2173" spans="1:13" x14ac:dyDescent="0.25">
      <c r="A2173" s="2"/>
      <c r="D2173" s="2"/>
      <c r="G2173" s="2"/>
      <c r="J2173" s="2"/>
      <c r="M2173" s="2"/>
    </row>
    <row r="2174" spans="1:13" x14ac:dyDescent="0.25">
      <c r="A2174" s="2"/>
      <c r="D2174" s="2"/>
      <c r="G2174" s="2"/>
      <c r="J2174" s="2"/>
      <c r="M2174" s="2"/>
    </row>
    <row r="2175" spans="1:13" x14ac:dyDescent="0.25">
      <c r="A2175" s="2"/>
      <c r="D2175" s="2"/>
      <c r="G2175" s="2"/>
      <c r="J2175" s="2"/>
      <c r="M2175" s="2"/>
    </row>
    <row r="2176" spans="1:13" x14ac:dyDescent="0.25">
      <c r="A2176" s="2"/>
      <c r="D2176" s="2"/>
      <c r="G2176" s="2"/>
      <c r="J2176" s="2"/>
      <c r="M2176" s="2"/>
    </row>
    <row r="2177" spans="1:13" x14ac:dyDescent="0.25">
      <c r="A2177" s="2"/>
      <c r="D2177" s="2"/>
      <c r="G2177" s="2"/>
      <c r="J2177" s="2"/>
      <c r="M2177" s="2"/>
    </row>
    <row r="2178" spans="1:13" x14ac:dyDescent="0.25">
      <c r="A2178" s="2"/>
      <c r="D2178" s="2"/>
      <c r="G2178" s="2"/>
      <c r="J2178" s="2"/>
      <c r="M2178" s="2"/>
    </row>
    <row r="2179" spans="1:13" x14ac:dyDescent="0.25">
      <c r="A2179" s="2"/>
      <c r="D2179" s="2"/>
      <c r="G2179" s="2"/>
      <c r="J2179" s="2"/>
      <c r="M2179" s="2"/>
    </row>
    <row r="2180" spans="1:13" x14ac:dyDescent="0.25">
      <c r="A2180" s="2"/>
      <c r="D2180" s="2"/>
      <c r="G2180" s="2"/>
      <c r="J2180" s="2"/>
      <c r="M2180" s="2"/>
    </row>
    <row r="2181" spans="1:13" x14ac:dyDescent="0.25">
      <c r="A2181" s="2"/>
      <c r="D2181" s="2"/>
      <c r="G2181" s="2"/>
      <c r="J2181" s="2"/>
      <c r="M2181" s="2"/>
    </row>
    <row r="2182" spans="1:13" x14ac:dyDescent="0.25">
      <c r="A2182" s="2"/>
      <c r="D2182" s="2"/>
      <c r="G2182" s="2"/>
      <c r="J2182" s="2"/>
      <c r="M2182" s="2"/>
    </row>
    <row r="2183" spans="1:13" x14ac:dyDescent="0.25">
      <c r="A2183" s="2"/>
      <c r="D2183" s="2"/>
      <c r="G2183" s="2"/>
      <c r="J2183" s="2"/>
      <c r="M2183" s="2"/>
    </row>
    <row r="2184" spans="1:13" x14ac:dyDescent="0.25">
      <c r="A2184" s="2"/>
      <c r="D2184" s="2"/>
      <c r="G2184" s="2"/>
      <c r="J2184" s="2"/>
      <c r="M2184" s="2"/>
    </row>
    <row r="2185" spans="1:13" x14ac:dyDescent="0.25">
      <c r="A2185" s="2"/>
      <c r="D2185" s="2"/>
      <c r="G2185" s="2"/>
      <c r="J2185" s="2"/>
      <c r="M2185" s="2"/>
    </row>
    <row r="2186" spans="1:13" x14ac:dyDescent="0.25">
      <c r="A2186" s="2"/>
      <c r="D2186" s="2"/>
      <c r="G2186" s="2"/>
      <c r="J2186" s="2"/>
      <c r="M2186" s="2"/>
    </row>
    <row r="2187" spans="1:13" x14ac:dyDescent="0.25">
      <c r="A2187" s="2"/>
      <c r="D2187" s="2"/>
      <c r="G2187" s="2"/>
      <c r="J2187" s="2"/>
      <c r="M2187" s="2"/>
    </row>
    <row r="2188" spans="1:13" x14ac:dyDescent="0.25">
      <c r="A2188" s="2"/>
      <c r="D2188" s="2"/>
      <c r="G2188" s="2"/>
      <c r="J2188" s="2"/>
      <c r="M2188" s="2"/>
    </row>
    <row r="2189" spans="1:13" x14ac:dyDescent="0.25">
      <c r="A2189" s="2"/>
      <c r="D2189" s="2"/>
      <c r="G2189" s="2"/>
      <c r="J2189" s="2"/>
      <c r="M2189" s="2"/>
    </row>
    <row r="2190" spans="1:13" x14ac:dyDescent="0.25">
      <c r="A2190" s="2"/>
      <c r="D2190" s="2"/>
      <c r="G2190" s="2"/>
      <c r="J2190" s="2"/>
      <c r="M2190" s="2"/>
    </row>
    <row r="2191" spans="1:13" x14ac:dyDescent="0.25">
      <c r="A2191" s="2"/>
      <c r="D2191" s="2"/>
      <c r="G2191" s="2"/>
      <c r="J2191" s="2"/>
      <c r="M2191" s="2"/>
    </row>
    <row r="2192" spans="1:13" x14ac:dyDescent="0.25">
      <c r="A2192" s="2"/>
      <c r="D2192" s="2"/>
      <c r="G2192" s="2"/>
      <c r="J2192" s="2"/>
      <c r="M2192" s="2"/>
    </row>
    <row r="2193" spans="1:13" x14ac:dyDescent="0.25">
      <c r="A2193" s="2"/>
      <c r="D2193" s="2"/>
      <c r="G2193" s="2"/>
      <c r="J2193" s="2"/>
      <c r="M2193" s="2"/>
    </row>
    <row r="2194" spans="1:13" x14ac:dyDescent="0.25">
      <c r="A2194" s="2"/>
      <c r="D2194" s="2"/>
      <c r="G2194" s="2"/>
      <c r="J2194" s="2"/>
      <c r="M2194" s="2"/>
    </row>
    <row r="2195" spans="1:13" x14ac:dyDescent="0.25">
      <c r="A2195" s="2"/>
      <c r="D2195" s="2"/>
      <c r="G2195" s="2"/>
      <c r="J2195" s="2"/>
      <c r="M2195" s="2"/>
    </row>
    <row r="2196" spans="1:13" x14ac:dyDescent="0.25">
      <c r="A2196" s="2"/>
      <c r="D2196" s="2"/>
      <c r="G2196" s="2"/>
      <c r="J2196" s="2"/>
      <c r="M2196" s="2"/>
    </row>
    <row r="2197" spans="1:13" x14ac:dyDescent="0.25">
      <c r="A2197" s="2"/>
      <c r="D2197" s="2"/>
      <c r="G2197" s="2"/>
      <c r="J2197" s="2"/>
      <c r="M2197" s="2"/>
    </row>
    <row r="2198" spans="1:13" x14ac:dyDescent="0.25">
      <c r="A2198" s="2"/>
      <c r="D2198" s="2"/>
      <c r="G2198" s="2"/>
      <c r="J2198" s="2"/>
      <c r="M2198" s="2"/>
    </row>
    <row r="2199" spans="1:13" x14ac:dyDescent="0.25">
      <c r="A2199" s="2"/>
      <c r="D2199" s="2"/>
      <c r="G2199" s="2"/>
      <c r="J2199" s="2"/>
      <c r="M2199" s="2"/>
    </row>
    <row r="2200" spans="1:13" x14ac:dyDescent="0.25">
      <c r="A2200" s="2"/>
      <c r="D2200" s="2"/>
      <c r="G2200" s="2"/>
      <c r="J2200" s="2"/>
      <c r="M2200" s="2"/>
    </row>
    <row r="2201" spans="1:13" x14ac:dyDescent="0.25">
      <c r="A2201" s="2"/>
      <c r="D2201" s="2"/>
      <c r="G2201" s="2"/>
      <c r="J2201" s="2"/>
      <c r="M2201" s="2"/>
    </row>
    <row r="2202" spans="1:13" x14ac:dyDescent="0.25">
      <c r="A2202" s="2"/>
      <c r="D2202" s="2"/>
      <c r="G2202" s="2"/>
      <c r="J2202" s="2"/>
      <c r="M2202" s="2"/>
    </row>
    <row r="2203" spans="1:13" x14ac:dyDescent="0.25">
      <c r="A2203" s="2"/>
      <c r="D2203" s="2"/>
      <c r="G2203" s="2"/>
      <c r="J2203" s="2"/>
      <c r="M2203" s="2"/>
    </row>
    <row r="2204" spans="1:13" x14ac:dyDescent="0.25">
      <c r="A2204" s="2"/>
      <c r="D2204" s="2"/>
      <c r="G2204" s="2"/>
      <c r="J2204" s="2"/>
      <c r="M2204" s="2"/>
    </row>
    <row r="2205" spans="1:13" x14ac:dyDescent="0.25">
      <c r="A2205" s="2"/>
      <c r="D2205" s="2"/>
      <c r="G2205" s="2"/>
      <c r="J2205" s="2"/>
      <c r="M2205" s="2"/>
    </row>
    <row r="2206" spans="1:13" x14ac:dyDescent="0.25">
      <c r="A2206" s="2"/>
      <c r="D2206" s="2"/>
      <c r="G2206" s="2"/>
      <c r="J2206" s="2"/>
      <c r="M2206" s="2"/>
    </row>
    <row r="2207" spans="1:13" x14ac:dyDescent="0.25">
      <c r="A2207" s="2"/>
      <c r="D2207" s="2"/>
      <c r="G2207" s="2"/>
      <c r="J2207" s="2"/>
      <c r="M2207" s="2"/>
    </row>
    <row r="2208" spans="1:13" x14ac:dyDescent="0.25">
      <c r="A2208" s="2"/>
      <c r="D2208" s="2"/>
      <c r="G2208" s="2"/>
      <c r="J2208" s="2"/>
      <c r="M2208" s="2"/>
    </row>
    <row r="2209" spans="1:13" x14ac:dyDescent="0.25">
      <c r="A2209" s="2"/>
      <c r="D2209" s="2"/>
      <c r="G2209" s="2"/>
      <c r="J2209" s="2"/>
      <c r="M2209" s="2"/>
    </row>
    <row r="2210" spans="1:13" x14ac:dyDescent="0.25">
      <c r="A2210" s="2"/>
      <c r="D2210" s="2"/>
      <c r="G2210" s="2"/>
      <c r="J2210" s="2"/>
      <c r="M2210" s="2"/>
    </row>
    <row r="2211" spans="1:13" x14ac:dyDescent="0.25">
      <c r="A2211" s="2"/>
      <c r="D2211" s="2"/>
      <c r="G2211" s="2"/>
      <c r="J2211" s="2"/>
      <c r="M2211" s="2"/>
    </row>
    <row r="2212" spans="1:13" x14ac:dyDescent="0.25">
      <c r="A2212" s="2"/>
      <c r="D2212" s="2"/>
      <c r="G2212" s="2"/>
      <c r="J2212" s="2"/>
      <c r="M2212" s="2"/>
    </row>
    <row r="2213" spans="1:13" x14ac:dyDescent="0.25">
      <c r="A2213" s="2"/>
      <c r="D2213" s="2"/>
      <c r="G2213" s="2"/>
      <c r="J2213" s="2"/>
      <c r="M2213" s="2"/>
    </row>
    <row r="2214" spans="1:13" x14ac:dyDescent="0.25">
      <c r="A2214" s="2"/>
      <c r="D2214" s="2"/>
      <c r="G2214" s="2"/>
      <c r="J2214" s="2"/>
      <c r="M2214" s="2"/>
    </row>
    <row r="2215" spans="1:13" x14ac:dyDescent="0.25">
      <c r="A2215" s="2"/>
      <c r="D2215" s="2"/>
      <c r="G2215" s="2"/>
      <c r="J2215" s="2"/>
      <c r="M2215" s="2"/>
    </row>
    <row r="2216" spans="1:13" x14ac:dyDescent="0.25">
      <c r="A2216" s="2"/>
      <c r="D2216" s="2"/>
      <c r="G2216" s="2"/>
      <c r="J2216" s="2"/>
      <c r="M2216" s="2"/>
    </row>
    <row r="2217" spans="1:13" x14ac:dyDescent="0.25">
      <c r="A2217" s="2"/>
      <c r="D2217" s="2"/>
      <c r="G2217" s="2"/>
      <c r="J2217" s="2"/>
      <c r="M2217" s="2"/>
    </row>
    <row r="2218" spans="1:13" x14ac:dyDescent="0.25">
      <c r="A2218" s="2"/>
      <c r="D2218" s="2"/>
      <c r="G2218" s="2"/>
      <c r="J2218" s="2"/>
      <c r="M2218" s="2"/>
    </row>
    <row r="2219" spans="1:13" x14ac:dyDescent="0.25">
      <c r="A2219" s="2"/>
      <c r="D2219" s="2"/>
      <c r="G2219" s="2"/>
      <c r="J2219" s="2"/>
      <c r="M2219" s="2"/>
    </row>
    <row r="2220" spans="1:13" x14ac:dyDescent="0.25">
      <c r="A2220" s="2"/>
      <c r="D2220" s="2"/>
      <c r="G2220" s="2"/>
      <c r="J2220" s="2"/>
      <c r="M2220" s="2"/>
    </row>
    <row r="2221" spans="1:13" x14ac:dyDescent="0.25">
      <c r="A2221" s="2"/>
      <c r="D2221" s="2"/>
      <c r="G2221" s="2"/>
      <c r="J2221" s="2"/>
      <c r="M2221" s="2"/>
    </row>
    <row r="2222" spans="1:13" x14ac:dyDescent="0.25">
      <c r="A2222" s="2"/>
      <c r="D2222" s="2"/>
      <c r="G2222" s="2"/>
      <c r="J2222" s="2"/>
      <c r="M2222" s="2"/>
    </row>
    <row r="2223" spans="1:13" x14ac:dyDescent="0.25">
      <c r="A2223" s="2"/>
      <c r="D2223" s="2"/>
      <c r="G2223" s="2"/>
      <c r="J2223" s="2"/>
      <c r="M2223" s="2"/>
    </row>
    <row r="2224" spans="1:13" x14ac:dyDescent="0.25">
      <c r="A2224" s="2"/>
      <c r="D2224" s="2"/>
      <c r="G2224" s="2"/>
      <c r="J2224" s="2"/>
      <c r="M2224" s="2"/>
    </row>
    <row r="2225" spans="1:13" x14ac:dyDescent="0.25">
      <c r="A2225" s="2"/>
      <c r="D2225" s="2"/>
      <c r="G2225" s="2"/>
      <c r="J2225" s="2"/>
      <c r="M2225" s="2"/>
    </row>
    <row r="2226" spans="1:13" x14ac:dyDescent="0.25">
      <c r="A2226" s="2"/>
      <c r="D2226" s="2"/>
      <c r="G2226" s="2"/>
      <c r="J2226" s="2"/>
      <c r="M2226" s="2"/>
    </row>
    <row r="2227" spans="1:13" x14ac:dyDescent="0.25">
      <c r="A2227" s="2"/>
      <c r="D2227" s="2"/>
      <c r="G2227" s="2"/>
      <c r="J2227" s="2"/>
      <c r="M2227" s="2"/>
    </row>
    <row r="2228" spans="1:13" x14ac:dyDescent="0.25">
      <c r="A2228" s="2"/>
      <c r="D2228" s="2"/>
      <c r="G2228" s="2"/>
      <c r="J2228" s="2"/>
      <c r="M2228" s="2"/>
    </row>
    <row r="2229" spans="1:13" x14ac:dyDescent="0.25">
      <c r="A2229" s="2"/>
      <c r="D2229" s="2"/>
      <c r="G2229" s="2"/>
      <c r="J2229" s="2"/>
      <c r="M2229" s="2"/>
    </row>
    <row r="2230" spans="1:13" x14ac:dyDescent="0.25">
      <c r="A2230" s="2"/>
      <c r="D2230" s="2"/>
      <c r="G2230" s="2"/>
      <c r="J2230" s="2"/>
      <c r="M2230" s="2"/>
    </row>
    <row r="2231" spans="1:13" x14ac:dyDescent="0.25">
      <c r="A2231" s="2"/>
      <c r="D2231" s="2"/>
      <c r="G2231" s="2"/>
      <c r="J2231" s="2"/>
      <c r="M2231" s="2"/>
    </row>
    <row r="2232" spans="1:13" x14ac:dyDescent="0.25">
      <c r="A2232" s="2"/>
      <c r="D2232" s="2"/>
      <c r="G2232" s="2"/>
      <c r="J2232" s="2"/>
      <c r="M2232" s="2"/>
    </row>
    <row r="2233" spans="1:13" x14ac:dyDescent="0.25">
      <c r="A2233" s="2"/>
      <c r="D2233" s="2"/>
      <c r="G2233" s="2"/>
      <c r="J2233" s="2"/>
      <c r="M2233" s="2"/>
    </row>
    <row r="2234" spans="1:13" x14ac:dyDescent="0.25">
      <c r="A2234" s="2"/>
      <c r="D2234" s="2"/>
      <c r="G2234" s="2"/>
      <c r="J2234" s="2"/>
      <c r="M2234" s="2"/>
    </row>
    <row r="2235" spans="1:13" x14ac:dyDescent="0.25">
      <c r="A2235" s="2"/>
      <c r="D2235" s="2"/>
      <c r="G2235" s="2"/>
      <c r="J2235" s="2"/>
      <c r="M2235" s="2"/>
    </row>
    <row r="2236" spans="1:13" x14ac:dyDescent="0.25">
      <c r="A2236" s="2"/>
      <c r="D2236" s="2"/>
      <c r="G2236" s="2"/>
      <c r="J2236" s="2"/>
      <c r="M2236" s="2"/>
    </row>
    <row r="2237" spans="1:13" x14ac:dyDescent="0.25">
      <c r="A2237" s="2"/>
      <c r="D2237" s="2"/>
      <c r="G2237" s="2"/>
      <c r="J2237" s="2"/>
      <c r="M2237" s="2"/>
    </row>
    <row r="2238" spans="1:13" x14ac:dyDescent="0.25">
      <c r="A2238" s="2"/>
      <c r="D2238" s="2"/>
      <c r="G2238" s="2"/>
      <c r="J2238" s="2"/>
      <c r="M2238" s="2"/>
    </row>
    <row r="2239" spans="1:13" x14ac:dyDescent="0.25">
      <c r="A2239" s="2"/>
      <c r="D2239" s="2"/>
      <c r="G2239" s="2"/>
      <c r="J2239" s="2"/>
      <c r="M2239" s="2"/>
    </row>
    <row r="2240" spans="1:13" x14ac:dyDescent="0.25">
      <c r="A2240" s="2"/>
      <c r="D2240" s="2"/>
      <c r="G2240" s="2"/>
      <c r="J2240" s="2"/>
      <c r="M2240" s="2"/>
    </row>
    <row r="2241" spans="1:13" x14ac:dyDescent="0.25">
      <c r="A2241" s="2"/>
      <c r="D2241" s="2"/>
      <c r="G2241" s="2"/>
      <c r="J2241" s="2"/>
      <c r="M2241" s="2"/>
    </row>
    <row r="2242" spans="1:13" x14ac:dyDescent="0.25">
      <c r="A2242" s="2"/>
      <c r="D2242" s="2"/>
      <c r="G2242" s="2"/>
      <c r="J2242" s="2"/>
      <c r="M2242" s="2"/>
    </row>
    <row r="2243" spans="1:13" x14ac:dyDescent="0.25">
      <c r="A2243" s="2"/>
      <c r="D2243" s="2"/>
      <c r="G2243" s="2"/>
      <c r="J2243" s="2"/>
      <c r="M2243" s="2"/>
    </row>
    <row r="2244" spans="1:13" x14ac:dyDescent="0.25">
      <c r="A2244" s="2"/>
      <c r="D2244" s="2"/>
      <c r="G2244" s="2"/>
      <c r="J2244" s="2"/>
      <c r="M2244" s="2"/>
    </row>
    <row r="2245" spans="1:13" x14ac:dyDescent="0.25">
      <c r="A2245" s="2"/>
      <c r="D2245" s="2"/>
      <c r="G2245" s="2"/>
      <c r="J2245" s="2"/>
      <c r="M2245" s="2"/>
    </row>
    <row r="2246" spans="1:13" x14ac:dyDescent="0.25">
      <c r="A2246" s="2"/>
      <c r="D2246" s="2"/>
      <c r="G2246" s="2"/>
      <c r="J2246" s="2"/>
      <c r="M2246" s="2"/>
    </row>
    <row r="2247" spans="1:13" x14ac:dyDescent="0.25">
      <c r="A2247" s="2"/>
      <c r="D2247" s="2"/>
      <c r="G2247" s="2"/>
      <c r="J2247" s="2"/>
      <c r="M2247" s="2"/>
    </row>
    <row r="2248" spans="1:13" x14ac:dyDescent="0.25">
      <c r="A2248" s="2"/>
      <c r="D2248" s="2"/>
      <c r="G2248" s="2"/>
      <c r="J2248" s="2"/>
      <c r="M2248" s="2"/>
    </row>
    <row r="2249" spans="1:13" x14ac:dyDescent="0.25">
      <c r="A2249" s="2"/>
      <c r="D2249" s="2"/>
      <c r="G2249" s="2"/>
      <c r="J2249" s="2"/>
      <c r="M2249" s="2"/>
    </row>
    <row r="2250" spans="1:13" x14ac:dyDescent="0.25">
      <c r="A2250" s="2"/>
      <c r="D2250" s="2"/>
      <c r="G2250" s="2"/>
      <c r="J2250" s="2"/>
      <c r="M2250" s="2"/>
    </row>
    <row r="2251" spans="1:13" x14ac:dyDescent="0.25">
      <c r="A2251" s="2"/>
      <c r="D2251" s="2"/>
      <c r="G2251" s="2"/>
      <c r="J2251" s="2"/>
      <c r="M2251" s="2"/>
    </row>
    <row r="2252" spans="1:13" x14ac:dyDescent="0.25">
      <c r="A2252" s="2"/>
      <c r="D2252" s="2"/>
      <c r="G2252" s="2"/>
      <c r="J2252" s="2"/>
      <c r="M2252" s="2"/>
    </row>
    <row r="2253" spans="1:13" x14ac:dyDescent="0.25">
      <c r="A2253" s="2"/>
      <c r="D2253" s="2"/>
      <c r="G2253" s="2"/>
      <c r="J2253" s="2"/>
      <c r="M2253" s="2"/>
    </row>
    <row r="2254" spans="1:13" x14ac:dyDescent="0.25">
      <c r="A2254" s="2"/>
      <c r="D2254" s="2"/>
      <c r="G2254" s="2"/>
      <c r="J2254" s="2"/>
      <c r="M2254" s="2"/>
    </row>
    <row r="2255" spans="1:13" x14ac:dyDescent="0.25">
      <c r="A2255" s="2"/>
      <c r="D2255" s="2"/>
      <c r="G2255" s="2"/>
      <c r="J2255" s="2"/>
      <c r="M2255" s="2"/>
    </row>
    <row r="2256" spans="1:13" x14ac:dyDescent="0.25">
      <c r="A2256" s="2"/>
      <c r="D2256" s="2"/>
      <c r="G2256" s="2"/>
      <c r="J2256" s="2"/>
      <c r="M2256" s="2"/>
    </row>
    <row r="2257" spans="1:13" x14ac:dyDescent="0.25">
      <c r="A2257" s="2"/>
      <c r="D2257" s="2"/>
      <c r="G2257" s="2"/>
      <c r="J2257" s="2"/>
      <c r="M2257" s="2"/>
    </row>
    <row r="2258" spans="1:13" x14ac:dyDescent="0.25">
      <c r="A2258" s="2"/>
      <c r="D2258" s="2"/>
      <c r="G2258" s="2"/>
      <c r="J2258" s="2"/>
      <c r="M2258" s="2"/>
    </row>
    <row r="2259" spans="1:13" x14ac:dyDescent="0.25">
      <c r="A2259" s="2"/>
      <c r="D2259" s="2"/>
      <c r="G2259" s="2"/>
      <c r="J2259" s="2"/>
      <c r="M2259" s="2"/>
    </row>
    <row r="2260" spans="1:13" x14ac:dyDescent="0.25">
      <c r="A2260" s="2"/>
      <c r="D2260" s="2"/>
      <c r="G2260" s="2"/>
      <c r="J2260" s="2"/>
      <c r="M2260" s="2"/>
    </row>
    <row r="2261" spans="1:13" x14ac:dyDescent="0.25">
      <c r="A2261" s="2"/>
      <c r="D2261" s="2"/>
      <c r="G2261" s="2"/>
      <c r="J2261" s="2"/>
      <c r="M2261" s="2"/>
    </row>
    <row r="2262" spans="1:13" x14ac:dyDescent="0.25">
      <c r="A2262" s="2"/>
      <c r="D2262" s="2"/>
      <c r="G2262" s="2"/>
      <c r="J2262" s="2"/>
      <c r="M2262" s="2"/>
    </row>
    <row r="2263" spans="1:13" x14ac:dyDescent="0.25">
      <c r="A2263" s="2"/>
      <c r="D2263" s="2"/>
      <c r="G2263" s="2"/>
      <c r="J2263" s="2"/>
      <c r="M2263" s="2"/>
    </row>
    <row r="2264" spans="1:13" x14ac:dyDescent="0.25">
      <c r="A2264" s="2"/>
      <c r="D2264" s="2"/>
      <c r="G2264" s="2"/>
      <c r="J2264" s="2"/>
      <c r="M2264" s="2"/>
    </row>
    <row r="2265" spans="1:13" x14ac:dyDescent="0.25">
      <c r="A2265" s="2"/>
      <c r="D2265" s="2"/>
      <c r="G2265" s="2"/>
      <c r="J2265" s="2"/>
      <c r="M2265" s="2"/>
    </row>
    <row r="2266" spans="1:13" x14ac:dyDescent="0.25">
      <c r="A2266" s="2"/>
      <c r="D2266" s="2"/>
      <c r="G2266" s="2"/>
      <c r="J2266" s="2"/>
      <c r="M2266" s="2"/>
    </row>
    <row r="2267" spans="1:13" x14ac:dyDescent="0.25">
      <c r="A2267" s="2"/>
      <c r="D2267" s="2"/>
      <c r="G2267" s="2"/>
      <c r="J2267" s="2"/>
      <c r="M2267" s="2"/>
    </row>
    <row r="2268" spans="1:13" x14ac:dyDescent="0.25">
      <c r="A2268" s="2"/>
      <c r="D2268" s="2"/>
      <c r="G2268" s="2"/>
      <c r="J2268" s="2"/>
      <c r="M2268" s="2"/>
    </row>
    <row r="2269" spans="1:13" x14ac:dyDescent="0.25">
      <c r="A2269" s="2"/>
      <c r="D2269" s="2"/>
      <c r="G2269" s="2"/>
      <c r="J2269" s="2"/>
      <c r="M2269" s="2"/>
    </row>
    <row r="2270" spans="1:13" x14ac:dyDescent="0.25">
      <c r="A2270" s="2"/>
      <c r="D2270" s="2"/>
      <c r="G2270" s="2"/>
      <c r="J2270" s="2"/>
      <c r="M2270" s="2"/>
    </row>
    <row r="2271" spans="1:13" x14ac:dyDescent="0.25">
      <c r="A2271" s="2"/>
      <c r="D2271" s="2"/>
      <c r="G2271" s="2"/>
      <c r="J2271" s="2"/>
      <c r="M2271" s="2"/>
    </row>
    <row r="2272" spans="1:13" x14ac:dyDescent="0.25">
      <c r="A2272" s="2"/>
      <c r="D2272" s="2"/>
      <c r="G2272" s="2"/>
      <c r="J2272" s="2"/>
      <c r="M2272" s="2"/>
    </row>
    <row r="2273" spans="1:13" x14ac:dyDescent="0.25">
      <c r="A2273" s="2"/>
      <c r="D2273" s="2"/>
      <c r="G2273" s="2"/>
      <c r="J2273" s="2"/>
      <c r="M2273" s="2"/>
    </row>
    <row r="2274" spans="1:13" x14ac:dyDescent="0.25">
      <c r="A2274" s="2"/>
      <c r="D2274" s="2"/>
      <c r="G2274" s="2"/>
      <c r="J2274" s="2"/>
      <c r="M2274" s="2"/>
    </row>
    <row r="2275" spans="1:13" x14ac:dyDescent="0.25">
      <c r="A2275" s="2"/>
      <c r="D2275" s="2"/>
      <c r="G2275" s="2"/>
      <c r="J2275" s="2"/>
      <c r="M2275" s="2"/>
    </row>
    <row r="2276" spans="1:13" x14ac:dyDescent="0.25">
      <c r="A2276" s="2"/>
      <c r="D2276" s="2"/>
      <c r="G2276" s="2"/>
      <c r="J2276" s="2"/>
      <c r="M2276" s="2"/>
    </row>
    <row r="2277" spans="1:13" x14ac:dyDescent="0.25">
      <c r="A2277" s="2"/>
      <c r="D2277" s="2"/>
      <c r="G2277" s="2"/>
      <c r="J2277" s="2"/>
      <c r="M2277" s="2"/>
    </row>
    <row r="2278" spans="1:13" x14ac:dyDescent="0.25">
      <c r="A2278" s="2"/>
      <c r="D2278" s="2"/>
      <c r="G2278" s="2"/>
      <c r="J2278" s="2"/>
      <c r="M2278" s="2"/>
    </row>
    <row r="2279" spans="1:13" x14ac:dyDescent="0.25">
      <c r="A2279" s="2"/>
      <c r="D2279" s="2"/>
      <c r="G2279" s="2"/>
      <c r="J2279" s="2"/>
      <c r="M2279" s="2"/>
    </row>
    <row r="2280" spans="1:13" x14ac:dyDescent="0.25">
      <c r="A2280" s="2"/>
      <c r="D2280" s="2"/>
      <c r="G2280" s="2"/>
      <c r="J2280" s="2"/>
      <c r="M2280" s="2"/>
    </row>
    <row r="2281" spans="1:13" x14ac:dyDescent="0.25">
      <c r="A2281" s="2"/>
      <c r="D2281" s="2"/>
      <c r="G2281" s="2"/>
      <c r="J2281" s="2"/>
      <c r="M2281" s="2"/>
    </row>
    <row r="2282" spans="1:13" x14ac:dyDescent="0.25">
      <c r="A2282" s="2"/>
      <c r="D2282" s="2"/>
      <c r="G2282" s="2"/>
      <c r="J2282" s="2"/>
      <c r="M2282" s="2"/>
    </row>
    <row r="2283" spans="1:13" x14ac:dyDescent="0.25">
      <c r="A2283" s="2"/>
      <c r="D2283" s="2"/>
      <c r="G2283" s="2"/>
      <c r="J2283" s="2"/>
      <c r="M2283" s="2"/>
    </row>
    <row r="2284" spans="1:13" x14ac:dyDescent="0.25">
      <c r="A2284" s="2"/>
      <c r="D2284" s="2"/>
      <c r="G2284" s="2"/>
      <c r="J2284" s="2"/>
      <c r="M2284" s="2"/>
    </row>
    <row r="2285" spans="1:13" x14ac:dyDescent="0.25">
      <c r="A2285" s="2"/>
      <c r="D2285" s="2"/>
      <c r="G2285" s="2"/>
      <c r="J2285" s="2"/>
      <c r="M2285" s="2"/>
    </row>
    <row r="2286" spans="1:13" x14ac:dyDescent="0.25">
      <c r="A2286" s="2"/>
      <c r="D2286" s="2"/>
      <c r="G2286" s="2"/>
      <c r="J2286" s="2"/>
      <c r="M2286" s="2"/>
    </row>
    <row r="2287" spans="1:13" x14ac:dyDescent="0.25">
      <c r="A2287" s="2"/>
      <c r="D2287" s="2"/>
      <c r="G2287" s="2"/>
      <c r="J2287" s="2"/>
      <c r="M2287" s="2"/>
    </row>
    <row r="2288" spans="1:13" x14ac:dyDescent="0.25">
      <c r="A2288" s="2"/>
      <c r="D2288" s="2"/>
      <c r="G2288" s="2"/>
      <c r="J2288" s="2"/>
      <c r="M2288" s="2"/>
    </row>
    <row r="2289" spans="1:13" x14ac:dyDescent="0.25">
      <c r="A2289" s="2"/>
      <c r="D2289" s="2"/>
      <c r="G2289" s="2"/>
      <c r="J2289" s="2"/>
      <c r="M2289" s="2"/>
    </row>
    <row r="2290" spans="1:13" x14ac:dyDescent="0.25">
      <c r="A2290" s="2"/>
      <c r="D2290" s="2"/>
      <c r="G2290" s="2"/>
      <c r="J2290" s="2"/>
      <c r="M2290" s="2"/>
    </row>
    <row r="2291" spans="1:13" x14ac:dyDescent="0.25">
      <c r="A2291" s="2"/>
      <c r="D2291" s="2"/>
      <c r="G2291" s="2"/>
      <c r="J2291" s="2"/>
      <c r="M2291" s="2"/>
    </row>
    <row r="2292" spans="1:13" x14ac:dyDescent="0.25">
      <c r="A2292" s="2"/>
      <c r="D2292" s="2"/>
      <c r="G2292" s="2"/>
      <c r="J2292" s="2"/>
      <c r="M2292" s="2"/>
    </row>
    <row r="2293" spans="1:13" x14ac:dyDescent="0.25">
      <c r="A2293" s="2"/>
      <c r="D2293" s="2"/>
      <c r="G2293" s="2"/>
      <c r="J2293" s="2"/>
      <c r="M2293" s="2"/>
    </row>
    <row r="2294" spans="1:13" x14ac:dyDescent="0.25">
      <c r="A2294" s="2"/>
      <c r="D2294" s="2"/>
      <c r="G2294" s="2"/>
      <c r="J2294" s="2"/>
      <c r="M2294" s="2"/>
    </row>
    <row r="2295" spans="1:13" x14ac:dyDescent="0.25">
      <c r="A2295" s="2"/>
      <c r="D2295" s="2"/>
      <c r="G2295" s="2"/>
      <c r="J2295" s="2"/>
      <c r="M2295" s="2"/>
    </row>
    <row r="2296" spans="1:13" x14ac:dyDescent="0.25">
      <c r="A2296" s="2"/>
      <c r="D2296" s="2"/>
      <c r="G2296" s="2"/>
      <c r="J2296" s="2"/>
      <c r="M2296" s="2"/>
    </row>
    <row r="2297" spans="1:13" x14ac:dyDescent="0.25">
      <c r="A2297" s="2"/>
      <c r="D2297" s="2"/>
      <c r="G2297" s="2"/>
      <c r="J2297" s="2"/>
      <c r="M2297" s="2"/>
    </row>
    <row r="2298" spans="1:13" x14ac:dyDescent="0.25">
      <c r="A2298" s="2"/>
      <c r="D2298" s="2"/>
      <c r="G2298" s="2"/>
      <c r="J2298" s="2"/>
      <c r="M2298" s="2"/>
    </row>
    <row r="2299" spans="1:13" x14ac:dyDescent="0.25">
      <c r="A2299" s="2"/>
      <c r="D2299" s="2"/>
      <c r="G2299" s="2"/>
      <c r="J2299" s="2"/>
      <c r="M2299" s="2"/>
    </row>
    <row r="2300" spans="1:13" x14ac:dyDescent="0.25">
      <c r="A2300" s="2"/>
      <c r="D2300" s="2"/>
      <c r="G2300" s="2"/>
      <c r="J2300" s="2"/>
      <c r="M2300" s="2"/>
    </row>
    <row r="2301" spans="1:13" x14ac:dyDescent="0.25">
      <c r="A2301" s="2"/>
      <c r="D2301" s="2"/>
      <c r="G2301" s="2"/>
      <c r="J2301" s="2"/>
      <c r="M2301" s="2"/>
    </row>
    <row r="2302" spans="1:13" x14ac:dyDescent="0.25">
      <c r="A2302" s="2"/>
      <c r="D2302" s="2"/>
      <c r="G2302" s="2"/>
      <c r="J2302" s="2"/>
      <c r="M2302" s="2"/>
    </row>
    <row r="2303" spans="1:13" x14ac:dyDescent="0.25">
      <c r="A2303" s="2"/>
      <c r="D2303" s="2"/>
      <c r="G2303" s="2"/>
      <c r="J2303" s="2"/>
      <c r="M2303" s="2"/>
    </row>
    <row r="2304" spans="1:13" x14ac:dyDescent="0.25">
      <c r="A2304" s="2"/>
      <c r="D2304" s="2"/>
      <c r="G2304" s="2"/>
      <c r="J2304" s="2"/>
      <c r="M2304" s="2"/>
    </row>
    <row r="2305" spans="1:13" x14ac:dyDescent="0.25">
      <c r="A2305" s="2"/>
      <c r="D2305" s="2"/>
      <c r="G2305" s="2"/>
      <c r="J2305" s="2"/>
      <c r="M2305" s="2"/>
    </row>
    <row r="2306" spans="1:13" x14ac:dyDescent="0.25">
      <c r="A2306" s="2"/>
      <c r="D2306" s="2"/>
      <c r="G2306" s="2"/>
      <c r="J2306" s="2"/>
      <c r="M2306" s="2"/>
    </row>
    <row r="2307" spans="1:13" x14ac:dyDescent="0.25">
      <c r="A2307" s="2"/>
      <c r="D2307" s="2"/>
      <c r="G2307" s="2"/>
      <c r="J2307" s="2"/>
      <c r="M2307" s="2"/>
    </row>
    <row r="2308" spans="1:13" x14ac:dyDescent="0.25">
      <c r="A2308" s="2"/>
      <c r="D2308" s="2"/>
      <c r="G2308" s="2"/>
      <c r="J2308" s="2"/>
      <c r="M2308" s="2"/>
    </row>
    <row r="2309" spans="1:13" x14ac:dyDescent="0.25">
      <c r="A2309" s="2"/>
      <c r="D2309" s="2"/>
      <c r="G2309" s="2"/>
      <c r="J2309" s="2"/>
      <c r="M2309" s="2"/>
    </row>
    <row r="2310" spans="1:13" x14ac:dyDescent="0.25">
      <c r="A2310" s="2"/>
      <c r="D2310" s="2"/>
      <c r="G2310" s="2"/>
      <c r="J2310" s="2"/>
      <c r="M2310" s="2"/>
    </row>
    <row r="2311" spans="1:13" x14ac:dyDescent="0.25">
      <c r="A2311" s="2"/>
      <c r="D2311" s="2"/>
      <c r="G2311" s="2"/>
      <c r="J2311" s="2"/>
      <c r="M2311" s="2"/>
    </row>
    <row r="2312" spans="1:13" x14ac:dyDescent="0.25">
      <c r="A2312" s="2"/>
      <c r="D2312" s="2"/>
      <c r="G2312" s="2"/>
      <c r="J2312" s="2"/>
      <c r="M2312" s="2"/>
    </row>
    <row r="2313" spans="1:13" x14ac:dyDescent="0.25">
      <c r="A2313" s="2"/>
      <c r="D2313" s="2"/>
      <c r="G2313" s="2"/>
      <c r="J2313" s="2"/>
      <c r="M2313" s="2"/>
    </row>
    <row r="2314" spans="1:13" x14ac:dyDescent="0.25">
      <c r="A2314" s="2"/>
      <c r="D2314" s="2"/>
      <c r="G2314" s="2"/>
      <c r="J2314" s="2"/>
      <c r="M2314" s="2"/>
    </row>
    <row r="2315" spans="1:13" x14ac:dyDescent="0.25">
      <c r="A2315" s="2"/>
      <c r="D2315" s="2"/>
      <c r="G2315" s="2"/>
      <c r="J2315" s="2"/>
      <c r="M2315" s="2"/>
    </row>
    <row r="2316" spans="1:13" x14ac:dyDescent="0.25">
      <c r="A2316" s="2"/>
      <c r="D2316" s="2"/>
      <c r="G2316" s="2"/>
      <c r="J2316" s="2"/>
      <c r="M2316" s="2"/>
    </row>
    <row r="2317" spans="1:13" x14ac:dyDescent="0.25">
      <c r="A2317" s="2"/>
      <c r="D2317" s="2"/>
      <c r="G2317" s="2"/>
      <c r="J2317" s="2"/>
      <c r="M2317" s="2"/>
    </row>
    <row r="2318" spans="1:13" x14ac:dyDescent="0.25">
      <c r="A2318" s="2"/>
      <c r="D2318" s="2"/>
      <c r="G2318" s="2"/>
      <c r="J2318" s="2"/>
      <c r="M2318" s="2"/>
    </row>
    <row r="2319" spans="1:13" x14ac:dyDescent="0.25">
      <c r="A2319" s="2"/>
      <c r="D2319" s="2"/>
      <c r="G2319" s="2"/>
      <c r="J2319" s="2"/>
      <c r="M2319" s="2"/>
    </row>
    <row r="2320" spans="1:13" x14ac:dyDescent="0.25">
      <c r="A2320" s="2"/>
      <c r="D2320" s="2"/>
      <c r="G2320" s="2"/>
      <c r="J2320" s="2"/>
      <c r="M2320" s="2"/>
    </row>
    <row r="2321" spans="1:13" x14ac:dyDescent="0.25">
      <c r="A2321" s="2"/>
      <c r="D2321" s="2"/>
      <c r="G2321" s="2"/>
      <c r="J2321" s="2"/>
      <c r="M2321" s="2"/>
    </row>
    <row r="2322" spans="1:13" x14ac:dyDescent="0.25">
      <c r="A2322" s="2"/>
      <c r="D2322" s="2"/>
      <c r="G2322" s="2"/>
      <c r="J2322" s="2"/>
      <c r="M2322" s="2"/>
    </row>
    <row r="2323" spans="1:13" x14ac:dyDescent="0.25">
      <c r="A2323" s="2"/>
      <c r="D2323" s="2"/>
      <c r="G2323" s="2"/>
      <c r="J2323" s="2"/>
      <c r="M2323" s="2"/>
    </row>
    <row r="2324" spans="1:13" x14ac:dyDescent="0.25">
      <c r="A2324" s="2"/>
      <c r="D2324" s="2"/>
      <c r="G2324" s="2"/>
      <c r="J2324" s="2"/>
      <c r="M2324" s="2"/>
    </row>
    <row r="2325" spans="1:13" x14ac:dyDescent="0.25">
      <c r="A2325" s="2"/>
      <c r="D2325" s="2"/>
      <c r="G2325" s="2"/>
      <c r="J2325" s="2"/>
      <c r="M2325" s="2"/>
    </row>
    <row r="2326" spans="1:13" x14ac:dyDescent="0.25">
      <c r="A2326" s="2"/>
      <c r="D2326" s="2"/>
      <c r="G2326" s="2"/>
      <c r="J2326" s="2"/>
      <c r="M2326" s="2"/>
    </row>
    <row r="2327" spans="1:13" x14ac:dyDescent="0.25">
      <c r="A2327" s="2"/>
      <c r="D2327" s="2"/>
      <c r="G2327" s="2"/>
      <c r="J2327" s="2"/>
      <c r="M2327" s="2"/>
    </row>
    <row r="2328" spans="1:13" x14ac:dyDescent="0.25">
      <c r="A2328" s="2"/>
      <c r="D2328" s="2"/>
      <c r="G2328" s="2"/>
      <c r="J2328" s="2"/>
      <c r="M2328" s="2"/>
    </row>
    <row r="2329" spans="1:13" x14ac:dyDescent="0.25">
      <c r="A2329" s="2"/>
      <c r="D2329" s="2"/>
      <c r="G2329" s="2"/>
      <c r="J2329" s="2"/>
      <c r="M2329" s="2"/>
    </row>
    <row r="2330" spans="1:13" x14ac:dyDescent="0.25">
      <c r="A2330" s="2"/>
      <c r="D2330" s="2"/>
      <c r="G2330" s="2"/>
      <c r="J2330" s="2"/>
      <c r="M2330" s="2"/>
    </row>
    <row r="2331" spans="1:13" x14ac:dyDescent="0.25">
      <c r="A2331" s="2"/>
      <c r="D2331" s="2"/>
      <c r="G2331" s="2"/>
      <c r="J2331" s="2"/>
      <c r="M2331" s="2"/>
    </row>
    <row r="2332" spans="1:13" x14ac:dyDescent="0.25">
      <c r="A2332" s="2"/>
      <c r="D2332" s="2"/>
      <c r="G2332" s="2"/>
      <c r="J2332" s="2"/>
      <c r="M2332" s="2"/>
    </row>
    <row r="2333" spans="1:13" x14ac:dyDescent="0.25">
      <c r="A2333" s="2"/>
      <c r="D2333" s="2"/>
      <c r="G2333" s="2"/>
      <c r="J2333" s="2"/>
      <c r="M2333" s="2"/>
    </row>
    <row r="2334" spans="1:13" x14ac:dyDescent="0.25">
      <c r="A2334" s="2"/>
      <c r="D2334" s="2"/>
      <c r="G2334" s="2"/>
      <c r="J2334" s="2"/>
      <c r="M2334" s="2"/>
    </row>
    <row r="2335" spans="1:13" x14ac:dyDescent="0.25">
      <c r="A2335" s="2"/>
      <c r="D2335" s="2"/>
      <c r="G2335" s="2"/>
      <c r="J2335" s="2"/>
      <c r="M2335" s="2"/>
    </row>
    <row r="2336" spans="1:13" x14ac:dyDescent="0.25">
      <c r="A2336" s="2"/>
      <c r="D2336" s="2"/>
      <c r="G2336" s="2"/>
      <c r="J2336" s="2"/>
      <c r="M2336" s="2"/>
    </row>
    <row r="2337" spans="1:13" x14ac:dyDescent="0.25">
      <c r="A2337" s="2"/>
      <c r="D2337" s="2"/>
      <c r="G2337" s="2"/>
      <c r="J2337" s="2"/>
      <c r="M2337" s="2"/>
    </row>
    <row r="2338" spans="1:13" x14ac:dyDescent="0.25">
      <c r="A2338" s="2"/>
      <c r="D2338" s="2"/>
      <c r="G2338" s="2"/>
      <c r="J2338" s="2"/>
      <c r="M2338" s="2"/>
    </row>
    <row r="2339" spans="1:13" x14ac:dyDescent="0.25">
      <c r="A2339" s="2"/>
      <c r="D2339" s="2"/>
      <c r="G2339" s="2"/>
      <c r="J2339" s="2"/>
      <c r="M2339" s="2"/>
    </row>
    <row r="2340" spans="1:13" x14ac:dyDescent="0.25">
      <c r="A2340" s="2"/>
      <c r="D2340" s="2"/>
      <c r="G2340" s="2"/>
      <c r="J2340" s="2"/>
      <c r="M2340" s="2"/>
    </row>
    <row r="2341" spans="1:13" x14ac:dyDescent="0.25">
      <c r="A2341" s="2"/>
      <c r="D2341" s="2"/>
      <c r="G2341" s="2"/>
      <c r="J2341" s="2"/>
      <c r="M2341" s="2"/>
    </row>
    <row r="2342" spans="1:13" x14ac:dyDescent="0.25">
      <c r="A2342" s="2"/>
      <c r="D2342" s="2"/>
      <c r="G2342" s="2"/>
      <c r="J2342" s="2"/>
      <c r="M2342" s="2"/>
    </row>
    <row r="2343" spans="1:13" x14ac:dyDescent="0.25">
      <c r="A2343" s="2"/>
      <c r="D2343" s="2"/>
      <c r="G2343" s="2"/>
      <c r="J2343" s="2"/>
      <c r="M2343" s="2"/>
    </row>
    <row r="2344" spans="1:13" x14ac:dyDescent="0.25">
      <c r="A2344" s="2"/>
      <c r="D2344" s="2"/>
      <c r="G2344" s="2"/>
      <c r="J2344" s="2"/>
      <c r="M2344" s="2"/>
    </row>
    <row r="2345" spans="1:13" x14ac:dyDescent="0.25">
      <c r="A2345" s="2"/>
      <c r="D2345" s="2"/>
      <c r="G2345" s="2"/>
      <c r="J2345" s="2"/>
      <c r="M2345" s="2"/>
    </row>
    <row r="2346" spans="1:13" x14ac:dyDescent="0.25">
      <c r="A2346" s="2"/>
      <c r="D2346" s="2"/>
      <c r="G2346" s="2"/>
      <c r="J2346" s="2"/>
      <c r="M2346" s="2"/>
    </row>
    <row r="2347" spans="1:13" x14ac:dyDescent="0.25">
      <c r="A2347" s="2"/>
      <c r="D2347" s="2"/>
      <c r="G2347" s="2"/>
      <c r="J2347" s="2"/>
      <c r="M2347" s="2"/>
    </row>
    <row r="2348" spans="1:13" x14ac:dyDescent="0.25">
      <c r="A2348" s="2"/>
      <c r="D2348" s="2"/>
      <c r="G2348" s="2"/>
      <c r="J2348" s="2"/>
      <c r="M2348" s="2"/>
    </row>
    <row r="2349" spans="1:13" x14ac:dyDescent="0.25">
      <c r="A2349" s="2"/>
      <c r="D2349" s="2"/>
      <c r="G2349" s="2"/>
      <c r="J2349" s="2"/>
      <c r="M2349" s="2"/>
    </row>
    <row r="2350" spans="1:13" x14ac:dyDescent="0.25">
      <c r="A2350" s="2"/>
      <c r="D2350" s="2"/>
      <c r="G2350" s="2"/>
      <c r="J2350" s="2"/>
      <c r="M2350" s="2"/>
    </row>
    <row r="2351" spans="1:13" x14ac:dyDescent="0.25">
      <c r="A2351" s="2"/>
      <c r="D2351" s="2"/>
      <c r="G2351" s="2"/>
      <c r="J2351" s="2"/>
      <c r="M2351" s="2"/>
    </row>
    <row r="2352" spans="1:13" x14ac:dyDescent="0.25">
      <c r="A2352" s="2"/>
      <c r="D2352" s="2"/>
      <c r="G2352" s="2"/>
      <c r="J2352" s="2"/>
      <c r="M2352" s="2"/>
    </row>
    <row r="2353" spans="1:13" x14ac:dyDescent="0.25">
      <c r="A2353" s="2"/>
      <c r="D2353" s="2"/>
      <c r="G2353" s="2"/>
      <c r="J2353" s="2"/>
      <c r="M2353" s="2"/>
    </row>
    <row r="2354" spans="1:13" x14ac:dyDescent="0.25">
      <c r="A2354" s="2"/>
      <c r="D2354" s="2"/>
      <c r="G2354" s="2"/>
      <c r="J2354" s="2"/>
      <c r="M2354" s="2"/>
    </row>
    <row r="2355" spans="1:13" x14ac:dyDescent="0.25">
      <c r="A2355" s="2"/>
      <c r="D2355" s="2"/>
      <c r="G2355" s="2"/>
      <c r="J2355" s="2"/>
      <c r="M2355" s="2"/>
    </row>
    <row r="2356" spans="1:13" x14ac:dyDescent="0.25">
      <c r="A2356" s="2"/>
      <c r="D2356" s="2"/>
      <c r="G2356" s="2"/>
      <c r="J2356" s="2"/>
      <c r="M2356" s="2"/>
    </row>
    <row r="2357" spans="1:13" x14ac:dyDescent="0.25">
      <c r="A2357" s="2"/>
      <c r="D2357" s="2"/>
      <c r="G2357" s="2"/>
      <c r="J2357" s="2"/>
      <c r="M2357" s="2"/>
    </row>
    <row r="2358" spans="1:13" x14ac:dyDescent="0.25">
      <c r="A2358" s="2"/>
      <c r="D2358" s="2"/>
      <c r="G2358" s="2"/>
      <c r="J2358" s="2"/>
      <c r="M2358" s="2"/>
    </row>
    <row r="2359" spans="1:13" x14ac:dyDescent="0.25">
      <c r="A2359" s="2"/>
      <c r="D2359" s="2"/>
      <c r="G2359" s="2"/>
      <c r="J2359" s="2"/>
      <c r="M2359" s="2"/>
    </row>
    <row r="2360" spans="1:13" x14ac:dyDescent="0.25">
      <c r="A2360" s="2"/>
      <c r="D2360" s="2"/>
      <c r="G2360" s="2"/>
      <c r="J2360" s="2"/>
      <c r="M2360" s="2"/>
    </row>
    <row r="2361" spans="1:13" x14ac:dyDescent="0.25">
      <c r="A2361" s="2"/>
      <c r="D2361" s="2"/>
      <c r="G2361" s="2"/>
      <c r="J2361" s="2"/>
      <c r="M2361" s="2"/>
    </row>
    <row r="2362" spans="1:13" x14ac:dyDescent="0.25">
      <c r="A2362" s="2"/>
      <c r="D2362" s="2"/>
      <c r="G2362" s="2"/>
      <c r="J2362" s="2"/>
      <c r="M2362" s="2"/>
    </row>
    <row r="2363" spans="1:13" x14ac:dyDescent="0.25">
      <c r="A2363" s="2"/>
      <c r="D2363" s="2"/>
      <c r="G2363" s="2"/>
      <c r="J2363" s="2"/>
      <c r="M2363" s="2"/>
    </row>
    <row r="2364" spans="1:13" x14ac:dyDescent="0.25">
      <c r="A2364" s="2"/>
      <c r="D2364" s="2"/>
      <c r="G2364" s="2"/>
      <c r="J2364" s="2"/>
      <c r="M2364" s="2"/>
    </row>
    <row r="2365" spans="1:13" x14ac:dyDescent="0.25">
      <c r="A2365" s="2"/>
      <c r="D2365" s="2"/>
      <c r="G2365" s="2"/>
      <c r="J2365" s="2"/>
      <c r="M2365" s="2"/>
    </row>
    <row r="2366" spans="1:13" x14ac:dyDescent="0.25">
      <c r="A2366" s="2"/>
      <c r="D2366" s="2"/>
      <c r="G2366" s="2"/>
      <c r="J2366" s="2"/>
      <c r="M2366" s="2"/>
    </row>
    <row r="2367" spans="1:13" x14ac:dyDescent="0.25">
      <c r="A2367" s="2"/>
      <c r="D2367" s="2"/>
      <c r="G2367" s="2"/>
      <c r="J2367" s="2"/>
      <c r="M2367" s="2"/>
    </row>
    <row r="2368" spans="1:13" x14ac:dyDescent="0.25">
      <c r="A2368" s="2"/>
      <c r="D2368" s="2"/>
      <c r="G2368" s="2"/>
      <c r="J2368" s="2"/>
      <c r="M2368" s="2"/>
    </row>
    <row r="2369" spans="1:13" x14ac:dyDescent="0.25">
      <c r="A2369" s="2"/>
      <c r="D2369" s="2"/>
      <c r="G2369" s="2"/>
      <c r="J2369" s="2"/>
      <c r="M2369" s="2"/>
    </row>
    <row r="2370" spans="1:13" x14ac:dyDescent="0.25">
      <c r="A2370" s="2"/>
      <c r="D2370" s="2"/>
      <c r="G2370" s="2"/>
      <c r="J2370" s="2"/>
      <c r="M2370" s="2"/>
    </row>
    <row r="2371" spans="1:13" x14ac:dyDescent="0.25">
      <c r="A2371" s="2"/>
      <c r="D2371" s="2"/>
      <c r="G2371" s="2"/>
      <c r="J2371" s="2"/>
      <c r="M2371" s="2"/>
    </row>
    <row r="2372" spans="1:13" x14ac:dyDescent="0.25">
      <c r="A2372" s="2"/>
      <c r="D2372" s="2"/>
      <c r="G2372" s="2"/>
      <c r="J2372" s="2"/>
      <c r="M2372" s="2"/>
    </row>
    <row r="2373" spans="1:13" x14ac:dyDescent="0.25">
      <c r="A2373" s="2"/>
      <c r="D2373" s="2"/>
      <c r="G2373" s="2"/>
      <c r="J2373" s="2"/>
      <c r="M2373" s="2"/>
    </row>
    <row r="2374" spans="1:13" x14ac:dyDescent="0.25">
      <c r="A2374" s="2"/>
      <c r="D2374" s="2"/>
      <c r="G2374" s="2"/>
      <c r="J2374" s="2"/>
      <c r="M2374" s="2"/>
    </row>
    <row r="2375" spans="1:13" x14ac:dyDescent="0.25">
      <c r="A2375" s="2"/>
      <c r="D2375" s="2"/>
      <c r="G2375" s="2"/>
      <c r="J2375" s="2"/>
      <c r="M2375" s="2"/>
    </row>
    <row r="2376" spans="1:13" x14ac:dyDescent="0.25">
      <c r="A2376" s="2"/>
      <c r="D2376" s="2"/>
      <c r="G2376" s="2"/>
      <c r="J2376" s="2"/>
      <c r="M2376" s="2"/>
    </row>
    <row r="2377" spans="1:13" x14ac:dyDescent="0.25">
      <c r="A2377" s="2"/>
      <c r="D2377" s="2"/>
      <c r="G2377" s="2"/>
      <c r="J2377" s="2"/>
      <c r="M2377" s="2"/>
    </row>
    <row r="2378" spans="1:13" x14ac:dyDescent="0.25">
      <c r="A2378" s="2"/>
      <c r="D2378" s="2"/>
      <c r="G2378" s="2"/>
      <c r="J2378" s="2"/>
      <c r="M2378" s="2"/>
    </row>
    <row r="2379" spans="1:13" x14ac:dyDescent="0.25">
      <c r="A2379" s="2"/>
      <c r="D2379" s="2"/>
      <c r="G2379" s="2"/>
      <c r="J2379" s="2"/>
      <c r="M2379" s="2"/>
    </row>
    <row r="2380" spans="1:13" x14ac:dyDescent="0.25">
      <c r="A2380" s="2"/>
      <c r="D2380" s="2"/>
      <c r="G2380" s="2"/>
      <c r="J2380" s="2"/>
      <c r="M2380" s="2"/>
    </row>
    <row r="2381" spans="1:13" x14ac:dyDescent="0.25">
      <c r="A2381" s="2"/>
      <c r="D2381" s="2"/>
      <c r="G2381" s="2"/>
      <c r="J2381" s="2"/>
      <c r="M2381" s="2"/>
    </row>
    <row r="2382" spans="1:13" x14ac:dyDescent="0.25">
      <c r="A2382" s="2"/>
      <c r="D2382" s="2"/>
      <c r="G2382" s="2"/>
      <c r="J2382" s="2"/>
      <c r="M2382" s="2"/>
    </row>
    <row r="2383" spans="1:13" x14ac:dyDescent="0.25">
      <c r="A2383" s="2"/>
      <c r="D2383" s="2"/>
      <c r="G2383" s="2"/>
      <c r="J2383" s="2"/>
      <c r="M2383" s="2"/>
    </row>
    <row r="2384" spans="1:13" x14ac:dyDescent="0.25">
      <c r="A2384" s="2"/>
      <c r="D2384" s="2"/>
      <c r="G2384" s="2"/>
      <c r="J2384" s="2"/>
      <c r="M2384" s="2"/>
    </row>
    <row r="2385" spans="1:13" x14ac:dyDescent="0.25">
      <c r="A2385" s="2"/>
      <c r="D2385" s="2"/>
      <c r="G2385" s="2"/>
      <c r="J2385" s="2"/>
      <c r="M2385" s="2"/>
    </row>
    <row r="2386" spans="1:13" x14ac:dyDescent="0.25">
      <c r="A2386" s="2"/>
      <c r="D2386" s="2"/>
      <c r="G2386" s="2"/>
      <c r="J2386" s="2"/>
      <c r="M2386" s="2"/>
    </row>
    <row r="2387" spans="1:13" x14ac:dyDescent="0.25">
      <c r="A2387" s="2"/>
      <c r="D2387" s="2"/>
      <c r="G2387" s="2"/>
      <c r="J2387" s="2"/>
      <c r="M2387" s="2"/>
    </row>
    <row r="2388" spans="1:13" x14ac:dyDescent="0.25">
      <c r="A2388" s="2"/>
      <c r="D2388" s="2"/>
      <c r="G2388" s="2"/>
      <c r="J2388" s="2"/>
      <c r="M2388" s="2"/>
    </row>
    <row r="2389" spans="1:13" x14ac:dyDescent="0.25">
      <c r="A2389" s="2"/>
      <c r="D2389" s="2"/>
      <c r="G2389" s="2"/>
      <c r="J2389" s="2"/>
      <c r="M2389" s="2"/>
    </row>
    <row r="2390" spans="1:13" x14ac:dyDescent="0.25">
      <c r="A2390" s="2"/>
      <c r="D2390" s="2"/>
      <c r="G2390" s="2"/>
      <c r="J2390" s="2"/>
      <c r="M2390" s="2"/>
    </row>
    <row r="2391" spans="1:13" x14ac:dyDescent="0.25">
      <c r="A2391" s="2"/>
      <c r="D2391" s="2"/>
      <c r="G2391" s="2"/>
      <c r="J2391" s="2"/>
      <c r="M2391" s="2"/>
    </row>
    <row r="2392" spans="1:13" x14ac:dyDescent="0.25">
      <c r="A2392" s="2"/>
      <c r="D2392" s="2"/>
      <c r="G2392" s="2"/>
      <c r="J2392" s="2"/>
      <c r="M2392" s="2"/>
    </row>
    <row r="2393" spans="1:13" x14ac:dyDescent="0.25">
      <c r="A2393" s="2"/>
      <c r="D2393" s="2"/>
      <c r="G2393" s="2"/>
      <c r="J2393" s="2"/>
      <c r="M2393" s="2"/>
    </row>
    <row r="2394" spans="1:13" x14ac:dyDescent="0.25">
      <c r="A2394" s="2"/>
      <c r="D2394" s="2"/>
      <c r="G2394" s="2"/>
      <c r="J2394" s="2"/>
      <c r="M2394" s="2"/>
    </row>
    <row r="2395" spans="1:13" x14ac:dyDescent="0.25">
      <c r="A2395" s="2"/>
      <c r="D2395" s="2"/>
      <c r="G2395" s="2"/>
      <c r="J2395" s="2"/>
      <c r="M2395" s="2"/>
    </row>
    <row r="2396" spans="1:13" x14ac:dyDescent="0.25">
      <c r="A2396" s="2"/>
      <c r="D2396" s="2"/>
      <c r="G2396" s="2"/>
      <c r="J2396" s="2"/>
      <c r="M2396" s="2"/>
    </row>
    <row r="2397" spans="1:13" x14ac:dyDescent="0.25">
      <c r="A2397" s="2"/>
      <c r="D2397" s="2"/>
      <c r="G2397" s="2"/>
      <c r="J2397" s="2"/>
      <c r="M2397" s="2"/>
    </row>
    <row r="2398" spans="1:13" x14ac:dyDescent="0.25">
      <c r="A2398" s="2"/>
      <c r="D2398" s="2"/>
      <c r="G2398" s="2"/>
      <c r="J2398" s="2"/>
      <c r="M2398" s="2"/>
    </row>
    <row r="2399" spans="1:13" x14ac:dyDescent="0.25">
      <c r="A2399" s="2"/>
      <c r="D2399" s="2"/>
      <c r="G2399" s="2"/>
      <c r="J2399" s="2"/>
      <c r="M2399" s="2"/>
    </row>
    <row r="2400" spans="1:13" x14ac:dyDescent="0.25">
      <c r="A2400" s="2"/>
      <c r="D2400" s="2"/>
      <c r="G2400" s="2"/>
      <c r="J2400" s="2"/>
      <c r="M2400" s="2"/>
    </row>
    <row r="2401" spans="1:13" x14ac:dyDescent="0.25">
      <c r="A2401" s="2"/>
      <c r="D2401" s="2"/>
      <c r="G2401" s="2"/>
      <c r="J2401" s="2"/>
      <c r="M2401" s="2"/>
    </row>
    <row r="2402" spans="1:13" x14ac:dyDescent="0.25">
      <c r="A2402" s="2"/>
      <c r="D2402" s="2"/>
      <c r="G2402" s="2"/>
      <c r="J2402" s="2"/>
      <c r="M2402" s="2"/>
    </row>
    <row r="2403" spans="1:13" x14ac:dyDescent="0.25">
      <c r="A2403" s="2"/>
      <c r="D2403" s="2"/>
      <c r="G2403" s="2"/>
      <c r="J2403" s="2"/>
      <c r="M2403" s="2"/>
    </row>
    <row r="2404" spans="1:13" x14ac:dyDescent="0.25">
      <c r="A2404" s="2"/>
      <c r="D2404" s="2"/>
      <c r="G2404" s="2"/>
      <c r="J2404" s="2"/>
      <c r="M2404" s="2"/>
    </row>
    <row r="2405" spans="1:13" x14ac:dyDescent="0.25">
      <c r="A2405" s="2"/>
      <c r="D2405" s="2"/>
      <c r="G2405" s="2"/>
      <c r="J2405" s="2"/>
      <c r="M2405" s="2"/>
    </row>
    <row r="2406" spans="1:13" x14ac:dyDescent="0.25">
      <c r="A2406" s="2"/>
      <c r="D2406" s="2"/>
      <c r="G2406" s="2"/>
      <c r="J2406" s="2"/>
      <c r="M2406" s="2"/>
    </row>
    <row r="2407" spans="1:13" x14ac:dyDescent="0.25">
      <c r="A2407" s="2"/>
      <c r="D2407" s="2"/>
      <c r="G2407" s="2"/>
      <c r="J2407" s="2"/>
      <c r="M2407" s="2"/>
    </row>
    <row r="2408" spans="1:13" x14ac:dyDescent="0.25">
      <c r="A2408" s="2"/>
      <c r="D2408" s="2"/>
      <c r="G2408" s="2"/>
      <c r="J2408" s="2"/>
      <c r="M2408" s="2"/>
    </row>
    <row r="2409" spans="1:13" x14ac:dyDescent="0.25">
      <c r="A2409" s="2"/>
      <c r="D2409" s="2"/>
      <c r="G2409" s="2"/>
      <c r="J2409" s="2"/>
      <c r="M2409" s="2"/>
    </row>
    <row r="2410" spans="1:13" x14ac:dyDescent="0.25">
      <c r="A2410" s="2"/>
      <c r="D2410" s="2"/>
      <c r="G2410" s="2"/>
      <c r="J2410" s="2"/>
      <c r="M2410" s="2"/>
    </row>
    <row r="2411" spans="1:13" x14ac:dyDescent="0.25">
      <c r="A2411" s="2"/>
      <c r="D2411" s="2"/>
      <c r="G2411" s="2"/>
      <c r="J2411" s="2"/>
      <c r="M2411" s="2"/>
    </row>
    <row r="2412" spans="1:13" x14ac:dyDescent="0.25">
      <c r="A2412" s="2"/>
      <c r="D2412" s="2"/>
      <c r="G2412" s="2"/>
      <c r="J2412" s="2"/>
      <c r="M2412" s="2"/>
    </row>
    <row r="2413" spans="1:13" x14ac:dyDescent="0.25">
      <c r="A2413" s="2"/>
      <c r="D2413" s="2"/>
      <c r="G2413" s="2"/>
      <c r="J2413" s="2"/>
      <c r="M2413" s="2"/>
    </row>
    <row r="2414" spans="1:13" x14ac:dyDescent="0.25">
      <c r="A2414" s="2"/>
      <c r="D2414" s="2"/>
      <c r="G2414" s="2"/>
      <c r="J2414" s="2"/>
      <c r="M2414" s="2"/>
    </row>
    <row r="2415" spans="1:13" x14ac:dyDescent="0.25">
      <c r="A2415" s="2"/>
      <c r="D2415" s="2"/>
      <c r="G2415" s="2"/>
      <c r="J2415" s="2"/>
      <c r="M2415" s="2"/>
    </row>
    <row r="2416" spans="1:13" x14ac:dyDescent="0.25">
      <c r="A2416" s="2"/>
      <c r="D2416" s="2"/>
      <c r="G2416" s="2"/>
      <c r="J2416" s="2"/>
      <c r="M2416" s="2"/>
    </row>
    <row r="2417" spans="1:13" x14ac:dyDescent="0.25">
      <c r="A2417" s="2"/>
      <c r="D2417" s="2"/>
      <c r="G2417" s="2"/>
      <c r="J2417" s="2"/>
      <c r="M2417" s="2"/>
    </row>
    <row r="2418" spans="1:13" x14ac:dyDescent="0.25">
      <c r="A2418" s="2"/>
      <c r="D2418" s="2"/>
      <c r="G2418" s="2"/>
      <c r="J2418" s="2"/>
      <c r="M2418" s="2"/>
    </row>
    <row r="2419" spans="1:13" x14ac:dyDescent="0.25">
      <c r="A2419" s="2"/>
      <c r="D2419" s="2"/>
      <c r="G2419" s="2"/>
      <c r="J2419" s="2"/>
      <c r="M2419" s="2"/>
    </row>
    <row r="2420" spans="1:13" x14ac:dyDescent="0.25">
      <c r="A2420" s="2"/>
      <c r="D2420" s="2"/>
      <c r="G2420" s="2"/>
      <c r="J2420" s="2"/>
      <c r="M2420" s="2"/>
    </row>
    <row r="2421" spans="1:13" x14ac:dyDescent="0.25">
      <c r="A2421" s="2"/>
      <c r="D2421" s="2"/>
      <c r="G2421" s="2"/>
      <c r="J2421" s="2"/>
      <c r="M2421" s="2"/>
    </row>
    <row r="2422" spans="1:13" x14ac:dyDescent="0.25">
      <c r="A2422" s="2"/>
      <c r="D2422" s="2"/>
      <c r="G2422" s="2"/>
      <c r="J2422" s="2"/>
      <c r="M2422" s="2"/>
    </row>
    <row r="2423" spans="1:13" x14ac:dyDescent="0.25">
      <c r="A2423" s="2"/>
      <c r="D2423" s="2"/>
      <c r="G2423" s="2"/>
      <c r="J2423" s="2"/>
      <c r="M2423" s="2"/>
    </row>
    <row r="2424" spans="1:13" x14ac:dyDescent="0.25">
      <c r="A2424" s="2"/>
      <c r="D2424" s="2"/>
      <c r="G2424" s="2"/>
      <c r="J2424" s="2"/>
      <c r="M2424" s="2"/>
    </row>
    <row r="2425" spans="1:13" x14ac:dyDescent="0.25">
      <c r="A2425" s="2"/>
      <c r="D2425" s="2"/>
      <c r="G2425" s="2"/>
      <c r="J2425" s="2"/>
      <c r="M2425" s="2"/>
    </row>
    <row r="2426" spans="1:13" x14ac:dyDescent="0.25">
      <c r="A2426" s="2"/>
      <c r="D2426" s="2"/>
      <c r="G2426" s="2"/>
      <c r="J2426" s="2"/>
      <c r="M2426" s="2"/>
    </row>
    <row r="2427" spans="1:13" x14ac:dyDescent="0.25">
      <c r="A2427" s="2"/>
      <c r="D2427" s="2"/>
      <c r="G2427" s="2"/>
      <c r="J2427" s="2"/>
      <c r="M2427" s="2"/>
    </row>
    <row r="2428" spans="1:13" x14ac:dyDescent="0.25">
      <c r="A2428" s="2"/>
      <c r="D2428" s="2"/>
      <c r="G2428" s="2"/>
      <c r="J2428" s="2"/>
      <c r="M2428" s="2"/>
    </row>
    <row r="2429" spans="1:13" x14ac:dyDescent="0.25">
      <c r="A2429" s="2"/>
      <c r="D2429" s="2"/>
      <c r="G2429" s="2"/>
      <c r="J2429" s="2"/>
      <c r="M2429" s="2"/>
    </row>
    <row r="2430" spans="1:13" x14ac:dyDescent="0.25">
      <c r="A2430" s="2"/>
      <c r="D2430" s="2"/>
      <c r="G2430" s="2"/>
      <c r="J2430" s="2"/>
      <c r="M2430" s="2"/>
    </row>
    <row r="2431" spans="1:13" x14ac:dyDescent="0.25">
      <c r="A2431" s="2"/>
      <c r="D2431" s="2"/>
      <c r="G2431" s="2"/>
      <c r="J2431" s="2"/>
      <c r="M2431" s="2"/>
    </row>
    <row r="2432" spans="1:13" x14ac:dyDescent="0.25">
      <c r="A2432" s="2"/>
      <c r="D2432" s="2"/>
      <c r="G2432" s="2"/>
      <c r="J2432" s="2"/>
      <c r="M2432" s="2"/>
    </row>
    <row r="2433" spans="1:13" x14ac:dyDescent="0.25">
      <c r="A2433" s="2"/>
      <c r="D2433" s="2"/>
      <c r="G2433" s="2"/>
      <c r="J2433" s="2"/>
      <c r="M2433" s="2"/>
    </row>
    <row r="2434" spans="1:13" x14ac:dyDescent="0.25">
      <c r="A2434" s="2"/>
      <c r="D2434" s="2"/>
      <c r="G2434" s="2"/>
      <c r="J2434" s="2"/>
      <c r="M2434" s="2"/>
    </row>
    <row r="2435" spans="1:13" x14ac:dyDescent="0.25">
      <c r="A2435" s="2"/>
      <c r="D2435" s="2"/>
      <c r="G2435" s="2"/>
      <c r="J2435" s="2"/>
      <c r="M2435" s="2"/>
    </row>
    <row r="2436" spans="1:13" x14ac:dyDescent="0.25">
      <c r="A2436" s="2"/>
      <c r="D2436" s="2"/>
      <c r="G2436" s="2"/>
      <c r="J2436" s="2"/>
      <c r="M2436" s="2"/>
    </row>
    <row r="2437" spans="1:13" x14ac:dyDescent="0.25">
      <c r="A2437" s="2"/>
      <c r="D2437" s="2"/>
      <c r="G2437" s="2"/>
      <c r="J2437" s="2"/>
      <c r="M2437" s="2"/>
    </row>
    <row r="2438" spans="1:13" x14ac:dyDescent="0.25">
      <c r="A2438" s="2"/>
      <c r="D2438" s="2"/>
      <c r="G2438" s="2"/>
      <c r="J2438" s="2"/>
      <c r="M2438" s="2"/>
    </row>
    <row r="2439" spans="1:13" x14ac:dyDescent="0.25">
      <c r="A2439" s="2"/>
      <c r="D2439" s="2"/>
      <c r="G2439" s="2"/>
      <c r="J2439" s="2"/>
      <c r="M2439" s="2"/>
    </row>
    <row r="2440" spans="1:13" x14ac:dyDescent="0.25">
      <c r="A2440" s="2"/>
      <c r="D2440" s="2"/>
      <c r="G2440" s="2"/>
      <c r="J2440" s="2"/>
      <c r="M2440" s="2"/>
    </row>
    <row r="2441" spans="1:13" x14ac:dyDescent="0.25">
      <c r="A2441" s="2"/>
      <c r="D2441" s="2"/>
      <c r="G2441" s="2"/>
      <c r="J2441" s="2"/>
      <c r="M2441" s="2"/>
    </row>
    <row r="2442" spans="1:13" x14ac:dyDescent="0.25">
      <c r="A2442" s="2"/>
      <c r="D2442" s="2"/>
      <c r="G2442" s="2"/>
      <c r="J2442" s="2"/>
      <c r="M2442" s="2"/>
    </row>
    <row r="2443" spans="1:13" x14ac:dyDescent="0.25">
      <c r="A2443" s="2"/>
      <c r="D2443" s="2"/>
      <c r="G2443" s="2"/>
      <c r="J2443" s="2"/>
      <c r="M2443" s="2"/>
    </row>
    <row r="2444" spans="1:13" x14ac:dyDescent="0.25">
      <c r="A2444" s="2"/>
      <c r="D2444" s="2"/>
      <c r="G2444" s="2"/>
      <c r="J2444" s="2"/>
      <c r="M2444" s="2"/>
    </row>
    <row r="2445" spans="1:13" x14ac:dyDescent="0.25">
      <c r="A2445" s="2"/>
      <c r="D2445" s="2"/>
      <c r="G2445" s="2"/>
      <c r="J2445" s="2"/>
      <c r="M2445" s="2"/>
    </row>
    <row r="2446" spans="1:13" x14ac:dyDescent="0.25">
      <c r="A2446" s="2"/>
      <c r="D2446" s="2"/>
      <c r="G2446" s="2"/>
      <c r="J2446" s="2"/>
      <c r="M2446" s="2"/>
    </row>
    <row r="2447" spans="1:13" x14ac:dyDescent="0.25">
      <c r="A2447" s="2"/>
      <c r="D2447" s="2"/>
      <c r="G2447" s="2"/>
      <c r="J2447" s="2"/>
      <c r="M2447" s="2"/>
    </row>
    <row r="2448" spans="1:13" x14ac:dyDescent="0.25">
      <c r="A2448" s="2"/>
      <c r="D2448" s="2"/>
      <c r="G2448" s="2"/>
      <c r="J2448" s="2"/>
      <c r="M2448" s="2"/>
    </row>
    <row r="2449" spans="1:13" x14ac:dyDescent="0.25">
      <c r="A2449" s="2"/>
      <c r="D2449" s="2"/>
      <c r="G2449" s="2"/>
      <c r="J2449" s="2"/>
      <c r="M2449" s="2"/>
    </row>
    <row r="2450" spans="1:13" x14ac:dyDescent="0.25">
      <c r="A2450" s="2"/>
      <c r="D2450" s="2"/>
      <c r="G2450" s="2"/>
      <c r="J2450" s="2"/>
      <c r="M2450" s="2"/>
    </row>
    <row r="2451" spans="1:13" x14ac:dyDescent="0.25">
      <c r="A2451" s="2"/>
      <c r="D2451" s="2"/>
      <c r="G2451" s="2"/>
      <c r="J2451" s="2"/>
      <c r="M2451" s="2"/>
    </row>
    <row r="2452" spans="1:13" x14ac:dyDescent="0.25">
      <c r="A2452" s="2"/>
      <c r="D2452" s="2"/>
      <c r="G2452" s="2"/>
      <c r="J2452" s="2"/>
      <c r="M2452" s="2"/>
    </row>
    <row r="2453" spans="1:13" x14ac:dyDescent="0.25">
      <c r="A2453" s="2"/>
      <c r="D2453" s="2"/>
      <c r="G2453" s="2"/>
      <c r="J2453" s="2"/>
      <c r="M2453" s="2"/>
    </row>
    <row r="2454" spans="1:13" x14ac:dyDescent="0.25">
      <c r="A2454" s="2"/>
      <c r="D2454" s="2"/>
      <c r="G2454" s="2"/>
      <c r="J2454" s="2"/>
      <c r="M2454" s="2"/>
    </row>
    <row r="2455" spans="1:13" x14ac:dyDescent="0.25">
      <c r="A2455" s="2"/>
      <c r="D2455" s="2"/>
      <c r="G2455" s="2"/>
      <c r="J2455" s="2"/>
      <c r="M2455" s="2"/>
    </row>
    <row r="2456" spans="1:13" x14ac:dyDescent="0.25">
      <c r="A2456" s="2"/>
      <c r="D2456" s="2"/>
      <c r="G2456" s="2"/>
      <c r="J2456" s="2"/>
      <c r="M2456" s="2"/>
    </row>
    <row r="2457" spans="1:13" x14ac:dyDescent="0.25">
      <c r="A2457" s="2"/>
      <c r="D2457" s="2"/>
      <c r="G2457" s="2"/>
      <c r="J2457" s="2"/>
      <c r="M2457" s="2"/>
    </row>
    <row r="2458" spans="1:13" x14ac:dyDescent="0.25">
      <c r="A2458" s="2"/>
      <c r="D2458" s="2"/>
      <c r="G2458" s="2"/>
      <c r="J2458" s="2"/>
      <c r="M2458" s="2"/>
    </row>
    <row r="2459" spans="1:13" x14ac:dyDescent="0.25">
      <c r="A2459" s="2"/>
      <c r="D2459" s="2"/>
      <c r="G2459" s="2"/>
      <c r="J2459" s="2"/>
      <c r="M2459" s="2"/>
    </row>
    <row r="2460" spans="1:13" x14ac:dyDescent="0.25">
      <c r="A2460" s="2"/>
      <c r="D2460" s="2"/>
      <c r="G2460" s="2"/>
      <c r="J2460" s="2"/>
      <c r="M2460" s="2"/>
    </row>
    <row r="2461" spans="1:13" x14ac:dyDescent="0.25">
      <c r="A2461" s="2"/>
      <c r="D2461" s="2"/>
      <c r="G2461" s="2"/>
      <c r="J2461" s="2"/>
      <c r="M2461" s="2"/>
    </row>
    <row r="2462" spans="1:13" x14ac:dyDescent="0.25">
      <c r="A2462" s="2"/>
      <c r="D2462" s="2"/>
      <c r="G2462" s="2"/>
      <c r="J2462" s="2"/>
      <c r="M2462" s="2"/>
    </row>
    <row r="2463" spans="1:13" x14ac:dyDescent="0.25">
      <c r="A2463" s="2"/>
      <c r="D2463" s="2"/>
      <c r="G2463" s="2"/>
      <c r="J2463" s="2"/>
      <c r="M2463" s="2"/>
    </row>
    <row r="2464" spans="1:13" x14ac:dyDescent="0.25">
      <c r="A2464" s="2"/>
      <c r="D2464" s="2"/>
      <c r="G2464" s="2"/>
      <c r="J2464" s="2"/>
      <c r="M2464" s="2"/>
    </row>
    <row r="2465" spans="1:13" x14ac:dyDescent="0.25">
      <c r="A2465" s="2"/>
      <c r="D2465" s="2"/>
      <c r="G2465" s="2"/>
      <c r="J2465" s="2"/>
      <c r="M2465" s="2"/>
    </row>
    <row r="2466" spans="1:13" x14ac:dyDescent="0.25">
      <c r="A2466" s="2"/>
      <c r="D2466" s="2"/>
      <c r="G2466" s="2"/>
      <c r="J2466" s="2"/>
      <c r="M2466" s="2"/>
    </row>
    <row r="2467" spans="1:13" x14ac:dyDescent="0.25">
      <c r="A2467" s="2"/>
      <c r="D2467" s="2"/>
      <c r="G2467" s="2"/>
      <c r="J2467" s="2"/>
      <c r="M2467" s="2"/>
    </row>
    <row r="2468" spans="1:13" x14ac:dyDescent="0.25">
      <c r="A2468" s="2"/>
      <c r="D2468" s="2"/>
      <c r="G2468" s="2"/>
      <c r="J2468" s="2"/>
      <c r="M2468" s="2"/>
    </row>
    <row r="2469" spans="1:13" x14ac:dyDescent="0.25">
      <c r="A2469" s="2"/>
      <c r="D2469" s="2"/>
      <c r="G2469" s="2"/>
      <c r="J2469" s="2"/>
      <c r="M2469" s="2"/>
    </row>
    <row r="2470" spans="1:13" x14ac:dyDescent="0.25">
      <c r="A2470" s="2"/>
      <c r="D2470" s="2"/>
      <c r="G2470" s="2"/>
      <c r="J2470" s="2"/>
      <c r="M2470" s="2"/>
    </row>
    <row r="2471" spans="1:13" x14ac:dyDescent="0.25">
      <c r="A2471" s="2"/>
      <c r="D2471" s="2"/>
      <c r="G2471" s="2"/>
      <c r="J2471" s="2"/>
      <c r="M2471" s="2"/>
    </row>
    <row r="2472" spans="1:13" x14ac:dyDescent="0.25">
      <c r="A2472" s="2"/>
      <c r="D2472" s="2"/>
      <c r="G2472" s="2"/>
      <c r="J2472" s="2"/>
      <c r="M2472" s="2"/>
    </row>
    <row r="2473" spans="1:13" x14ac:dyDescent="0.25">
      <c r="A2473" s="2"/>
      <c r="D2473" s="2"/>
      <c r="G2473" s="2"/>
      <c r="J2473" s="2"/>
      <c r="M2473" s="2"/>
    </row>
    <row r="2474" spans="1:13" x14ac:dyDescent="0.25">
      <c r="A2474" s="2"/>
      <c r="D2474" s="2"/>
      <c r="G2474" s="2"/>
      <c r="J2474" s="2"/>
      <c r="M2474" s="2"/>
    </row>
    <row r="2475" spans="1:13" x14ac:dyDescent="0.25">
      <c r="A2475" s="2"/>
      <c r="D2475" s="2"/>
      <c r="G2475" s="2"/>
      <c r="J2475" s="2"/>
      <c r="M2475" s="2"/>
    </row>
    <row r="2476" spans="1:13" x14ac:dyDescent="0.25">
      <c r="A2476" s="2"/>
      <c r="D2476" s="2"/>
      <c r="G2476" s="2"/>
      <c r="J2476" s="2"/>
      <c r="M2476" s="2"/>
    </row>
    <row r="2477" spans="1:13" x14ac:dyDescent="0.25">
      <c r="A2477" s="2"/>
      <c r="D2477" s="2"/>
      <c r="G2477" s="2"/>
      <c r="J2477" s="2"/>
      <c r="M2477" s="2"/>
    </row>
    <row r="2478" spans="1:13" x14ac:dyDescent="0.25">
      <c r="A2478" s="2"/>
      <c r="D2478" s="2"/>
      <c r="G2478" s="2"/>
      <c r="J2478" s="2"/>
      <c r="M2478" s="2"/>
    </row>
    <row r="2479" spans="1:13" x14ac:dyDescent="0.25">
      <c r="A2479" s="2"/>
      <c r="D2479" s="2"/>
      <c r="G2479" s="2"/>
      <c r="J2479" s="2"/>
      <c r="M2479" s="2"/>
    </row>
    <row r="2480" spans="1:13" x14ac:dyDescent="0.25">
      <c r="A2480" s="2"/>
      <c r="D2480" s="2"/>
      <c r="G2480" s="2"/>
      <c r="J2480" s="2"/>
      <c r="M2480" s="2"/>
    </row>
    <row r="2481" spans="1:13" x14ac:dyDescent="0.25">
      <c r="A2481" s="2"/>
      <c r="D2481" s="2"/>
      <c r="G2481" s="2"/>
      <c r="J2481" s="2"/>
      <c r="M2481" s="2"/>
    </row>
    <row r="2482" spans="1:13" x14ac:dyDescent="0.25">
      <c r="A2482" s="2"/>
      <c r="D2482" s="2"/>
      <c r="G2482" s="2"/>
      <c r="J2482" s="2"/>
      <c r="M2482" s="2"/>
    </row>
    <row r="2483" spans="1:13" x14ac:dyDescent="0.25">
      <c r="A2483" s="2"/>
      <c r="D2483" s="2"/>
      <c r="G2483" s="2"/>
      <c r="J2483" s="2"/>
      <c r="M2483" s="2"/>
    </row>
    <row r="2484" spans="1:13" x14ac:dyDescent="0.25">
      <c r="A2484" s="2"/>
      <c r="D2484" s="2"/>
      <c r="G2484" s="2"/>
      <c r="J2484" s="2"/>
      <c r="M2484" s="2"/>
    </row>
    <row r="2485" spans="1:13" x14ac:dyDescent="0.25">
      <c r="A2485" s="2"/>
      <c r="D2485" s="2"/>
      <c r="G2485" s="2"/>
      <c r="J2485" s="2"/>
      <c r="M2485" s="2"/>
    </row>
    <row r="2486" spans="1:13" x14ac:dyDescent="0.25">
      <c r="A2486" s="2"/>
      <c r="D2486" s="2"/>
      <c r="G2486" s="2"/>
      <c r="J2486" s="2"/>
      <c r="M2486" s="2"/>
    </row>
    <row r="2487" spans="1:13" x14ac:dyDescent="0.25">
      <c r="A2487" s="2"/>
      <c r="D2487" s="2"/>
      <c r="G2487" s="2"/>
      <c r="J2487" s="2"/>
      <c r="M2487" s="2"/>
    </row>
    <row r="2488" spans="1:13" x14ac:dyDescent="0.25">
      <c r="A2488" s="2"/>
      <c r="D2488" s="2"/>
      <c r="G2488" s="2"/>
      <c r="J2488" s="2"/>
      <c r="M2488" s="2"/>
    </row>
    <row r="2489" spans="1:13" x14ac:dyDescent="0.25">
      <c r="A2489" s="2"/>
      <c r="D2489" s="2"/>
      <c r="G2489" s="2"/>
      <c r="J2489" s="2"/>
      <c r="M2489" s="2"/>
    </row>
    <row r="2490" spans="1:13" x14ac:dyDescent="0.25">
      <c r="A2490" s="2"/>
      <c r="D2490" s="2"/>
      <c r="G2490" s="2"/>
      <c r="J2490" s="2"/>
      <c r="M2490" s="2"/>
    </row>
    <row r="2491" spans="1:13" x14ac:dyDescent="0.25">
      <c r="A2491" s="2"/>
      <c r="D2491" s="2"/>
      <c r="G2491" s="2"/>
      <c r="J2491" s="2"/>
      <c r="M2491" s="2"/>
    </row>
    <row r="2492" spans="1:13" x14ac:dyDescent="0.25">
      <c r="A2492" s="2"/>
      <c r="D2492" s="2"/>
      <c r="G2492" s="2"/>
      <c r="J2492" s="2"/>
      <c r="M2492" s="2"/>
    </row>
    <row r="2493" spans="1:13" x14ac:dyDescent="0.25">
      <c r="A2493" s="2"/>
      <c r="D2493" s="2"/>
      <c r="G2493" s="2"/>
      <c r="J2493" s="2"/>
      <c r="M2493" s="2"/>
    </row>
    <row r="2494" spans="1:13" x14ac:dyDescent="0.25">
      <c r="A2494" s="2"/>
      <c r="D2494" s="2"/>
      <c r="G2494" s="2"/>
      <c r="J2494" s="2"/>
      <c r="M2494" s="2"/>
    </row>
    <row r="2495" spans="1:13" x14ac:dyDescent="0.25">
      <c r="A2495" s="2"/>
      <c r="D2495" s="2"/>
      <c r="G2495" s="2"/>
      <c r="J2495" s="2"/>
      <c r="M2495" s="2"/>
    </row>
    <row r="2496" spans="1:13" x14ac:dyDescent="0.25">
      <c r="A2496" s="2"/>
      <c r="D2496" s="2"/>
      <c r="G2496" s="2"/>
      <c r="J2496" s="2"/>
      <c r="M2496" s="2"/>
    </row>
    <row r="2497" spans="1:13" x14ac:dyDescent="0.25">
      <c r="A2497" s="2"/>
      <c r="D2497" s="2"/>
      <c r="G2497" s="2"/>
      <c r="J2497" s="2"/>
      <c r="M2497" s="2"/>
    </row>
    <row r="2498" spans="1:13" x14ac:dyDescent="0.25">
      <c r="A2498" s="2"/>
      <c r="D2498" s="2"/>
      <c r="G2498" s="2"/>
      <c r="J2498" s="2"/>
      <c r="M2498" s="2"/>
    </row>
    <row r="2499" spans="1:13" x14ac:dyDescent="0.25">
      <c r="A2499" s="2"/>
      <c r="D2499" s="2"/>
      <c r="G2499" s="2"/>
      <c r="J2499" s="2"/>
      <c r="M2499" s="2"/>
    </row>
    <row r="2500" spans="1:13" x14ac:dyDescent="0.25">
      <c r="A2500" s="2"/>
      <c r="D2500" s="2"/>
      <c r="G2500" s="2"/>
      <c r="J2500" s="2"/>
      <c r="M2500" s="2"/>
    </row>
    <row r="2501" spans="1:13" x14ac:dyDescent="0.25">
      <c r="A2501" s="2"/>
      <c r="D2501" s="2"/>
      <c r="G2501" s="2"/>
      <c r="J2501" s="2"/>
      <c r="M2501" s="2"/>
    </row>
    <row r="2502" spans="1:13" x14ac:dyDescent="0.25">
      <c r="A2502" s="2"/>
      <c r="D2502" s="2"/>
      <c r="G2502" s="2"/>
      <c r="J2502" s="2"/>
      <c r="M2502" s="2"/>
    </row>
    <row r="2503" spans="1:13" x14ac:dyDescent="0.25">
      <c r="A2503" s="2"/>
      <c r="D2503" s="2"/>
      <c r="G2503" s="2"/>
      <c r="J2503" s="2"/>
      <c r="M2503" s="2"/>
    </row>
    <row r="2504" spans="1:13" x14ac:dyDescent="0.25">
      <c r="A2504" s="2"/>
      <c r="D2504" s="2"/>
      <c r="G2504" s="2"/>
      <c r="J2504" s="2"/>
      <c r="M2504" s="2"/>
    </row>
    <row r="2505" spans="1:13" x14ac:dyDescent="0.25">
      <c r="A2505" s="2"/>
      <c r="D2505" s="2"/>
      <c r="G2505" s="2"/>
      <c r="J2505" s="2"/>
      <c r="M2505" s="2"/>
    </row>
    <row r="2506" spans="1:13" x14ac:dyDescent="0.25">
      <c r="A2506" s="2"/>
      <c r="D2506" s="2"/>
      <c r="G2506" s="2"/>
      <c r="J2506" s="2"/>
      <c r="M2506" s="2"/>
    </row>
    <row r="2507" spans="1:13" x14ac:dyDescent="0.25">
      <c r="A2507" s="2"/>
      <c r="D2507" s="2"/>
      <c r="G2507" s="2"/>
      <c r="J2507" s="2"/>
      <c r="M2507" s="2"/>
    </row>
    <row r="2508" spans="1:13" x14ac:dyDescent="0.25">
      <c r="A2508" s="2"/>
      <c r="D2508" s="2"/>
      <c r="G2508" s="2"/>
      <c r="J2508" s="2"/>
      <c r="M2508" s="2"/>
    </row>
    <row r="2509" spans="1:13" x14ac:dyDescent="0.25">
      <c r="A2509" s="2"/>
      <c r="D2509" s="2"/>
      <c r="G2509" s="2"/>
      <c r="J2509" s="2"/>
      <c r="M2509" s="2"/>
    </row>
    <row r="2510" spans="1:13" x14ac:dyDescent="0.25">
      <c r="A2510" s="2"/>
      <c r="D2510" s="2"/>
      <c r="G2510" s="2"/>
      <c r="J2510" s="2"/>
      <c r="M2510" s="2"/>
    </row>
    <row r="2511" spans="1:13" x14ac:dyDescent="0.25">
      <c r="A2511" s="2"/>
      <c r="D2511" s="2"/>
      <c r="G2511" s="2"/>
      <c r="J2511" s="2"/>
      <c r="M2511" s="2"/>
    </row>
    <row r="2512" spans="1:13" x14ac:dyDescent="0.25">
      <c r="A2512" s="2"/>
      <c r="D2512" s="2"/>
      <c r="G2512" s="2"/>
      <c r="J2512" s="2"/>
      <c r="M2512" s="2"/>
    </row>
    <row r="2513" spans="1:13" x14ac:dyDescent="0.25">
      <c r="A2513" s="2"/>
      <c r="D2513" s="2"/>
      <c r="G2513" s="2"/>
      <c r="J2513" s="2"/>
      <c r="M2513" s="2"/>
    </row>
    <row r="2514" spans="1:13" x14ac:dyDescent="0.25">
      <c r="A2514" s="2"/>
      <c r="D2514" s="2"/>
      <c r="G2514" s="2"/>
      <c r="J2514" s="2"/>
      <c r="M2514" s="2"/>
    </row>
    <row r="2515" spans="1:13" x14ac:dyDescent="0.25">
      <c r="A2515" s="2"/>
      <c r="D2515" s="2"/>
      <c r="G2515" s="2"/>
      <c r="J2515" s="2"/>
      <c r="M2515" s="2"/>
    </row>
    <row r="2516" spans="1:13" x14ac:dyDescent="0.25">
      <c r="A2516" s="2"/>
      <c r="D2516" s="2"/>
      <c r="G2516" s="2"/>
      <c r="J2516" s="2"/>
      <c r="M2516" s="2"/>
    </row>
    <row r="2517" spans="1:13" x14ac:dyDescent="0.25">
      <c r="A2517" s="2"/>
      <c r="D2517" s="2"/>
      <c r="G2517" s="2"/>
      <c r="J2517" s="2"/>
      <c r="M2517" s="2"/>
    </row>
    <row r="2518" spans="1:13" x14ac:dyDescent="0.25">
      <c r="A2518" s="2"/>
      <c r="D2518" s="2"/>
      <c r="G2518" s="2"/>
      <c r="J2518" s="2"/>
      <c r="M2518" s="2"/>
    </row>
    <row r="2519" spans="1:13" x14ac:dyDescent="0.25">
      <c r="A2519" s="2"/>
      <c r="D2519" s="2"/>
      <c r="G2519" s="2"/>
      <c r="J2519" s="2"/>
      <c r="M2519" s="2"/>
    </row>
    <row r="2520" spans="1:13" x14ac:dyDescent="0.25">
      <c r="A2520" s="2"/>
      <c r="D2520" s="2"/>
      <c r="G2520" s="2"/>
      <c r="J2520" s="2"/>
      <c r="M2520" s="2"/>
    </row>
    <row r="2521" spans="1:13" x14ac:dyDescent="0.25">
      <c r="A2521" s="2"/>
      <c r="D2521" s="2"/>
      <c r="G2521" s="2"/>
      <c r="J2521" s="2"/>
      <c r="M2521" s="2"/>
    </row>
    <row r="2522" spans="1:13" x14ac:dyDescent="0.25">
      <c r="A2522" s="2"/>
      <c r="D2522" s="2"/>
      <c r="G2522" s="2"/>
      <c r="J2522" s="2"/>
      <c r="M2522" s="2"/>
    </row>
    <row r="2523" spans="1:13" x14ac:dyDescent="0.25">
      <c r="A2523" s="2"/>
      <c r="D2523" s="2"/>
      <c r="G2523" s="2"/>
      <c r="J2523" s="2"/>
      <c r="M2523" s="2"/>
    </row>
    <row r="2524" spans="1:13" x14ac:dyDescent="0.25">
      <c r="A2524" s="2"/>
      <c r="D2524" s="2"/>
      <c r="G2524" s="2"/>
      <c r="J2524" s="2"/>
      <c r="M2524" s="2"/>
    </row>
    <row r="2525" spans="1:13" x14ac:dyDescent="0.25">
      <c r="A2525" s="2"/>
      <c r="D2525" s="2"/>
      <c r="G2525" s="2"/>
      <c r="J2525" s="2"/>
      <c r="M2525" s="2"/>
    </row>
    <row r="2526" spans="1:13" x14ac:dyDescent="0.25">
      <c r="A2526" s="2"/>
      <c r="D2526" s="2"/>
      <c r="G2526" s="2"/>
      <c r="J2526" s="2"/>
      <c r="M2526" s="2"/>
    </row>
    <row r="2527" spans="1:13" x14ac:dyDescent="0.25">
      <c r="A2527" s="2"/>
      <c r="D2527" s="2"/>
      <c r="G2527" s="2"/>
      <c r="J2527" s="2"/>
      <c r="M2527" s="2"/>
    </row>
    <row r="2528" spans="1:13" x14ac:dyDescent="0.25">
      <c r="A2528" s="2"/>
      <c r="D2528" s="2"/>
      <c r="G2528" s="2"/>
      <c r="J2528" s="2"/>
      <c r="M2528" s="2"/>
    </row>
    <row r="2529" spans="1:13" x14ac:dyDescent="0.25">
      <c r="A2529" s="2"/>
      <c r="D2529" s="2"/>
      <c r="G2529" s="2"/>
      <c r="J2529" s="2"/>
      <c r="M2529" s="2"/>
    </row>
    <row r="2530" spans="1:13" x14ac:dyDescent="0.25">
      <c r="A2530" s="2"/>
      <c r="D2530" s="2"/>
      <c r="G2530" s="2"/>
      <c r="J2530" s="2"/>
      <c r="M2530" s="2"/>
    </row>
    <row r="2531" spans="1:13" x14ac:dyDescent="0.25">
      <c r="A2531" s="2"/>
      <c r="D2531" s="2"/>
      <c r="G2531" s="2"/>
      <c r="J2531" s="2"/>
      <c r="M2531" s="2"/>
    </row>
    <row r="2532" spans="1:13" x14ac:dyDescent="0.25">
      <c r="A2532" s="2"/>
      <c r="D2532" s="2"/>
      <c r="G2532" s="2"/>
      <c r="J2532" s="2"/>
      <c r="M2532" s="2"/>
    </row>
    <row r="2533" spans="1:13" x14ac:dyDescent="0.25">
      <c r="A2533" s="2"/>
      <c r="D2533" s="2"/>
      <c r="G2533" s="2"/>
      <c r="J2533" s="2"/>
      <c r="M2533" s="2"/>
    </row>
    <row r="2534" spans="1:13" x14ac:dyDescent="0.25">
      <c r="A2534" s="2"/>
      <c r="D2534" s="2"/>
      <c r="G2534" s="2"/>
      <c r="J2534" s="2"/>
      <c r="M2534" s="2"/>
    </row>
    <row r="2535" spans="1:13" x14ac:dyDescent="0.25">
      <c r="A2535" s="2"/>
      <c r="D2535" s="2"/>
      <c r="G2535" s="2"/>
      <c r="J2535" s="2"/>
      <c r="M2535" s="2"/>
    </row>
    <row r="2536" spans="1:13" x14ac:dyDescent="0.25">
      <c r="A2536" s="2"/>
      <c r="D2536" s="2"/>
      <c r="G2536" s="2"/>
      <c r="J2536" s="2"/>
      <c r="M2536" s="2"/>
    </row>
    <row r="2537" spans="1:13" x14ac:dyDescent="0.25">
      <c r="A2537" s="2"/>
      <c r="D2537" s="2"/>
      <c r="G2537" s="2"/>
      <c r="J2537" s="2"/>
      <c r="M2537" s="2"/>
    </row>
    <row r="2538" spans="1:13" x14ac:dyDescent="0.25">
      <c r="A2538" s="2"/>
      <c r="D2538" s="2"/>
      <c r="G2538" s="2"/>
      <c r="J2538" s="2"/>
      <c r="M2538" s="2"/>
    </row>
    <row r="2539" spans="1:13" x14ac:dyDescent="0.25">
      <c r="A2539" s="2"/>
      <c r="D2539" s="2"/>
      <c r="G2539" s="2"/>
      <c r="J2539" s="2"/>
      <c r="M2539" s="2"/>
    </row>
    <row r="2540" spans="1:13" x14ac:dyDescent="0.25">
      <c r="A2540" s="2"/>
      <c r="D2540" s="2"/>
      <c r="G2540" s="2"/>
      <c r="J2540" s="2"/>
      <c r="M2540" s="2"/>
    </row>
    <row r="2541" spans="1:13" x14ac:dyDescent="0.25">
      <c r="A2541" s="2"/>
      <c r="D2541" s="2"/>
      <c r="G2541" s="2"/>
      <c r="J2541" s="2"/>
      <c r="M2541" s="2"/>
    </row>
    <row r="2542" spans="1:13" x14ac:dyDescent="0.25">
      <c r="A2542" s="2"/>
      <c r="D2542" s="2"/>
      <c r="G2542" s="2"/>
      <c r="J2542" s="2"/>
      <c r="M2542" s="2"/>
    </row>
    <row r="2543" spans="1:13" x14ac:dyDescent="0.25">
      <c r="A2543" s="2"/>
      <c r="D2543" s="2"/>
      <c r="G2543" s="2"/>
      <c r="J2543" s="2"/>
      <c r="M2543" s="2"/>
    </row>
    <row r="2544" spans="1:13" x14ac:dyDescent="0.25">
      <c r="A2544" s="2"/>
      <c r="D2544" s="2"/>
      <c r="G2544" s="2"/>
      <c r="J2544" s="2"/>
      <c r="M2544" s="2"/>
    </row>
    <row r="2545" spans="1:13" x14ac:dyDescent="0.25">
      <c r="A2545" s="2"/>
      <c r="D2545" s="2"/>
      <c r="G2545" s="2"/>
      <c r="J2545" s="2"/>
      <c r="M2545" s="2"/>
    </row>
    <row r="2546" spans="1:13" x14ac:dyDescent="0.25">
      <c r="A2546" s="2"/>
      <c r="D2546" s="2"/>
      <c r="G2546" s="2"/>
      <c r="J2546" s="2"/>
      <c r="M2546" s="2"/>
    </row>
    <row r="2547" spans="1:13" x14ac:dyDescent="0.25">
      <c r="A2547" s="2"/>
      <c r="D2547" s="2"/>
      <c r="G2547" s="2"/>
      <c r="J2547" s="2"/>
      <c r="M2547" s="2"/>
    </row>
    <row r="2548" spans="1:13" x14ac:dyDescent="0.25">
      <c r="A2548" s="2"/>
      <c r="D2548" s="2"/>
      <c r="G2548" s="2"/>
      <c r="J2548" s="2"/>
      <c r="M2548" s="2"/>
    </row>
    <row r="2549" spans="1:13" x14ac:dyDescent="0.25">
      <c r="A2549" s="2"/>
      <c r="D2549" s="2"/>
      <c r="G2549" s="2"/>
      <c r="J2549" s="2"/>
      <c r="M2549" s="2"/>
    </row>
    <row r="2550" spans="1:13" x14ac:dyDescent="0.25">
      <c r="A2550" s="2"/>
      <c r="D2550" s="2"/>
      <c r="G2550" s="2"/>
      <c r="J2550" s="2"/>
      <c r="M2550" s="2"/>
    </row>
    <row r="2551" spans="1:13" x14ac:dyDescent="0.25">
      <c r="A2551" s="2"/>
      <c r="D2551" s="2"/>
      <c r="G2551" s="2"/>
      <c r="J2551" s="2"/>
      <c r="M2551" s="2"/>
    </row>
    <row r="2552" spans="1:13" x14ac:dyDescent="0.25">
      <c r="A2552" s="2"/>
      <c r="D2552" s="2"/>
      <c r="G2552" s="2"/>
      <c r="J2552" s="2"/>
      <c r="M2552" s="2"/>
    </row>
    <row r="2553" spans="1:13" x14ac:dyDescent="0.25">
      <c r="A2553" s="2"/>
      <c r="D2553" s="2"/>
      <c r="G2553" s="2"/>
      <c r="J2553" s="2"/>
      <c r="M2553" s="2"/>
    </row>
    <row r="2554" spans="1:13" x14ac:dyDescent="0.25">
      <c r="A2554" s="2"/>
      <c r="D2554" s="2"/>
      <c r="G2554" s="2"/>
      <c r="J2554" s="2"/>
      <c r="M2554" s="2"/>
    </row>
    <row r="2555" spans="1:13" x14ac:dyDescent="0.25">
      <c r="A2555" s="2"/>
      <c r="D2555" s="2"/>
      <c r="G2555" s="2"/>
      <c r="J2555" s="2"/>
      <c r="M2555" s="2"/>
    </row>
    <row r="2556" spans="1:13" x14ac:dyDescent="0.25">
      <c r="A2556" s="2"/>
      <c r="D2556" s="2"/>
      <c r="G2556" s="2"/>
      <c r="J2556" s="2"/>
      <c r="M2556" s="2"/>
    </row>
    <row r="2557" spans="1:13" x14ac:dyDescent="0.25">
      <c r="A2557" s="2"/>
      <c r="D2557" s="2"/>
      <c r="G2557" s="2"/>
      <c r="J2557" s="2"/>
      <c r="M2557" s="2"/>
    </row>
    <row r="2558" spans="1:13" x14ac:dyDescent="0.25">
      <c r="A2558" s="2"/>
      <c r="D2558" s="2"/>
      <c r="G2558" s="2"/>
      <c r="J2558" s="2"/>
      <c r="M2558" s="2"/>
    </row>
    <row r="2559" spans="1:13" x14ac:dyDescent="0.25">
      <c r="A2559" s="2"/>
      <c r="D2559" s="2"/>
      <c r="G2559" s="2"/>
      <c r="J2559" s="2"/>
      <c r="M2559" s="2"/>
    </row>
    <row r="2560" spans="1:13" x14ac:dyDescent="0.25">
      <c r="A2560" s="2"/>
      <c r="D2560" s="2"/>
      <c r="G2560" s="2"/>
      <c r="J2560" s="2"/>
      <c r="M2560" s="2"/>
    </row>
    <row r="2561" spans="1:13" x14ac:dyDescent="0.25">
      <c r="A2561" s="2"/>
      <c r="D2561" s="2"/>
      <c r="G2561" s="2"/>
      <c r="J2561" s="2"/>
      <c r="M2561" s="2"/>
    </row>
    <row r="2562" spans="1:13" x14ac:dyDescent="0.25">
      <c r="A2562" s="2"/>
      <c r="D2562" s="2"/>
      <c r="G2562" s="2"/>
      <c r="J2562" s="2"/>
      <c r="M2562" s="2"/>
    </row>
    <row r="2563" spans="1:13" x14ac:dyDescent="0.25">
      <c r="A2563" s="2"/>
      <c r="D2563" s="2"/>
      <c r="G2563" s="2"/>
      <c r="J2563" s="2"/>
      <c r="M2563" s="2"/>
    </row>
    <row r="2564" spans="1:13" x14ac:dyDescent="0.25">
      <c r="A2564" s="2"/>
      <c r="D2564" s="2"/>
      <c r="G2564" s="2"/>
      <c r="J2564" s="2"/>
      <c r="M2564" s="2"/>
    </row>
    <row r="2565" spans="1:13" x14ac:dyDescent="0.25">
      <c r="A2565" s="2"/>
      <c r="D2565" s="2"/>
      <c r="G2565" s="2"/>
      <c r="J2565" s="2"/>
      <c r="M2565" s="2"/>
    </row>
    <row r="2566" spans="1:13" x14ac:dyDescent="0.25">
      <c r="A2566" s="2"/>
      <c r="D2566" s="2"/>
      <c r="G2566" s="2"/>
      <c r="J2566" s="2"/>
      <c r="M2566" s="2"/>
    </row>
    <row r="2567" spans="1:13" x14ac:dyDescent="0.25">
      <c r="A2567" s="2"/>
      <c r="D2567" s="2"/>
      <c r="G2567" s="2"/>
      <c r="J2567" s="2"/>
      <c r="M2567" s="2"/>
    </row>
    <row r="2568" spans="1:13" x14ac:dyDescent="0.25">
      <c r="A2568" s="2"/>
      <c r="D2568" s="2"/>
      <c r="G2568" s="2"/>
      <c r="J2568" s="2"/>
      <c r="M2568" s="2"/>
    </row>
    <row r="2569" spans="1:13" x14ac:dyDescent="0.25">
      <c r="A2569" s="2"/>
      <c r="D2569" s="2"/>
      <c r="G2569" s="2"/>
      <c r="J2569" s="2"/>
      <c r="M2569" s="2"/>
    </row>
    <row r="2570" spans="1:13" x14ac:dyDescent="0.25">
      <c r="A2570" s="2"/>
      <c r="D2570" s="2"/>
      <c r="G2570" s="2"/>
      <c r="J2570" s="2"/>
      <c r="M2570" s="2"/>
    </row>
    <row r="2571" spans="1:13" x14ac:dyDescent="0.25">
      <c r="A2571" s="2"/>
      <c r="D2571" s="2"/>
      <c r="G2571" s="2"/>
      <c r="J2571" s="2"/>
      <c r="M2571" s="2"/>
    </row>
    <row r="2572" spans="1:13" x14ac:dyDescent="0.25">
      <c r="A2572" s="2"/>
      <c r="D2572" s="2"/>
      <c r="G2572" s="2"/>
      <c r="J2572" s="2"/>
      <c r="M2572" s="2"/>
    </row>
    <row r="2573" spans="1:13" x14ac:dyDescent="0.25">
      <c r="A2573" s="2"/>
      <c r="D2573" s="2"/>
      <c r="G2573" s="2"/>
      <c r="J2573" s="2"/>
      <c r="M2573" s="2"/>
    </row>
    <row r="2574" spans="1:13" x14ac:dyDescent="0.25">
      <c r="A2574" s="2"/>
      <c r="D2574" s="2"/>
      <c r="G2574" s="2"/>
      <c r="J2574" s="2"/>
      <c r="M2574" s="2"/>
    </row>
    <row r="2575" spans="1:13" x14ac:dyDescent="0.25">
      <c r="A2575" s="2"/>
      <c r="D2575" s="2"/>
      <c r="G2575" s="2"/>
      <c r="J2575" s="2"/>
      <c r="M2575" s="2"/>
    </row>
    <row r="2576" spans="1:13" x14ac:dyDescent="0.25">
      <c r="A2576" s="2"/>
      <c r="D2576" s="2"/>
      <c r="G2576" s="2"/>
      <c r="J2576" s="2"/>
      <c r="M2576" s="2"/>
    </row>
    <row r="2577" spans="1:13" x14ac:dyDescent="0.25">
      <c r="A2577" s="2"/>
      <c r="D2577" s="2"/>
      <c r="G2577" s="2"/>
      <c r="J2577" s="2"/>
      <c r="M2577" s="2"/>
    </row>
    <row r="2578" spans="1:13" x14ac:dyDescent="0.25">
      <c r="A2578" s="2"/>
      <c r="D2578" s="2"/>
      <c r="G2578" s="2"/>
      <c r="J2578" s="2"/>
      <c r="M2578" s="2"/>
    </row>
    <row r="2579" spans="1:13" x14ac:dyDescent="0.25">
      <c r="A2579" s="2"/>
      <c r="D2579" s="2"/>
      <c r="G2579" s="2"/>
      <c r="J2579" s="2"/>
      <c r="M2579" s="2"/>
    </row>
    <row r="2580" spans="1:13" x14ac:dyDescent="0.25">
      <c r="A2580" s="2"/>
      <c r="D2580" s="2"/>
      <c r="G2580" s="2"/>
      <c r="J2580" s="2"/>
      <c r="M2580" s="2"/>
    </row>
    <row r="2581" spans="1:13" x14ac:dyDescent="0.25">
      <c r="A2581" s="2"/>
      <c r="D2581" s="2"/>
      <c r="G2581" s="2"/>
      <c r="J2581" s="2"/>
      <c r="M2581" s="2"/>
    </row>
    <row r="2582" spans="1:13" x14ac:dyDescent="0.25">
      <c r="A2582" s="2"/>
      <c r="D2582" s="2"/>
      <c r="G2582" s="2"/>
      <c r="J2582" s="2"/>
      <c r="M2582" s="2"/>
    </row>
    <row r="2583" spans="1:13" x14ac:dyDescent="0.25">
      <c r="A2583" s="2"/>
      <c r="D2583" s="2"/>
      <c r="G2583" s="2"/>
      <c r="J2583" s="2"/>
      <c r="M2583" s="2"/>
    </row>
    <row r="2584" spans="1:13" x14ac:dyDescent="0.25">
      <c r="A2584" s="2"/>
      <c r="D2584" s="2"/>
      <c r="G2584" s="2"/>
      <c r="J2584" s="2"/>
      <c r="M2584" s="2"/>
    </row>
    <row r="2585" spans="1:13" x14ac:dyDescent="0.25">
      <c r="A2585" s="2"/>
      <c r="D2585" s="2"/>
      <c r="G2585" s="2"/>
      <c r="J2585" s="2"/>
      <c r="M2585" s="2"/>
    </row>
    <row r="2586" spans="1:13" x14ac:dyDescent="0.25">
      <c r="A2586" s="2"/>
      <c r="D2586" s="2"/>
      <c r="G2586" s="2"/>
      <c r="J2586" s="2"/>
      <c r="M2586" s="2"/>
    </row>
    <row r="2587" spans="1:13" x14ac:dyDescent="0.25">
      <c r="A2587" s="2"/>
      <c r="D2587" s="2"/>
      <c r="G2587" s="2"/>
      <c r="J2587" s="2"/>
      <c r="M2587" s="2"/>
    </row>
    <row r="2588" spans="1:13" x14ac:dyDescent="0.25">
      <c r="A2588" s="2"/>
      <c r="D2588" s="2"/>
      <c r="G2588" s="2"/>
      <c r="J2588" s="2"/>
      <c r="M2588" s="2"/>
    </row>
    <row r="2589" spans="1:13" x14ac:dyDescent="0.25">
      <c r="A2589" s="2"/>
      <c r="D2589" s="2"/>
      <c r="G2589" s="2"/>
      <c r="J2589" s="2"/>
      <c r="M2589" s="2"/>
    </row>
    <row r="2590" spans="1:13" x14ac:dyDescent="0.25">
      <c r="A2590" s="2"/>
      <c r="D2590" s="2"/>
      <c r="G2590" s="2"/>
      <c r="J2590" s="2"/>
      <c r="M2590" s="2"/>
    </row>
    <row r="2591" spans="1:13" x14ac:dyDescent="0.25">
      <c r="A2591" s="2"/>
      <c r="D2591" s="2"/>
      <c r="G2591" s="2"/>
      <c r="J2591" s="2"/>
      <c r="M2591" s="2"/>
    </row>
    <row r="2592" spans="1:13" x14ac:dyDescent="0.25">
      <c r="A2592" s="2"/>
      <c r="D2592" s="2"/>
      <c r="G2592" s="2"/>
      <c r="J2592" s="2"/>
      <c r="M2592" s="2"/>
    </row>
    <row r="2593" spans="1:13" x14ac:dyDescent="0.25">
      <c r="A2593" s="2"/>
      <c r="D2593" s="2"/>
      <c r="G2593" s="2"/>
      <c r="J2593" s="2"/>
      <c r="M2593" s="2"/>
    </row>
    <row r="2594" spans="1:13" x14ac:dyDescent="0.25">
      <c r="A2594" s="2"/>
      <c r="D2594" s="2"/>
      <c r="G2594" s="2"/>
      <c r="J2594" s="2"/>
      <c r="M2594" s="2"/>
    </row>
    <row r="2595" spans="1:13" x14ac:dyDescent="0.25">
      <c r="A2595" s="2"/>
      <c r="D2595" s="2"/>
      <c r="G2595" s="2"/>
      <c r="J2595" s="2"/>
      <c r="M2595" s="2"/>
    </row>
    <row r="2596" spans="1:13" x14ac:dyDescent="0.25">
      <c r="A2596" s="2"/>
      <c r="D2596" s="2"/>
      <c r="G2596" s="2"/>
      <c r="J2596" s="2"/>
      <c r="M2596" s="2"/>
    </row>
    <row r="2597" spans="1:13" x14ac:dyDescent="0.25">
      <c r="A2597" s="2"/>
      <c r="D2597" s="2"/>
      <c r="G2597" s="2"/>
      <c r="J2597" s="2"/>
      <c r="M2597" s="2"/>
    </row>
    <row r="2598" spans="1:13" x14ac:dyDescent="0.25">
      <c r="A2598" s="2"/>
      <c r="D2598" s="2"/>
      <c r="G2598" s="2"/>
      <c r="J2598" s="2"/>
      <c r="M2598" s="2"/>
    </row>
    <row r="2599" spans="1:13" x14ac:dyDescent="0.25">
      <c r="A2599" s="2"/>
      <c r="D2599" s="2"/>
      <c r="G2599" s="2"/>
      <c r="J2599" s="2"/>
      <c r="M2599" s="2"/>
    </row>
    <row r="2600" spans="1:13" x14ac:dyDescent="0.25">
      <c r="A2600" s="2"/>
      <c r="D2600" s="2"/>
      <c r="G2600" s="2"/>
      <c r="J2600" s="2"/>
      <c r="M2600" s="2"/>
    </row>
    <row r="2601" spans="1:13" x14ac:dyDescent="0.25">
      <c r="A2601" s="2"/>
      <c r="D2601" s="2"/>
      <c r="G2601" s="2"/>
      <c r="J2601" s="2"/>
      <c r="M2601" s="2"/>
    </row>
    <row r="2602" spans="1:13" x14ac:dyDescent="0.25">
      <c r="A2602" s="2"/>
      <c r="D2602" s="2"/>
      <c r="G2602" s="2"/>
      <c r="J2602" s="2"/>
      <c r="M2602" s="2"/>
    </row>
    <row r="2603" spans="1:13" x14ac:dyDescent="0.25">
      <c r="A2603" s="2"/>
      <c r="D2603" s="2"/>
      <c r="G2603" s="2"/>
      <c r="J2603" s="2"/>
      <c r="M2603" s="2"/>
    </row>
    <row r="2604" spans="1:13" x14ac:dyDescent="0.25">
      <c r="A2604" s="2"/>
      <c r="D2604" s="2"/>
      <c r="G2604" s="2"/>
      <c r="J2604" s="2"/>
      <c r="M2604" s="2"/>
    </row>
    <row r="2605" spans="1:13" x14ac:dyDescent="0.25">
      <c r="A2605" s="2"/>
      <c r="D2605" s="2"/>
      <c r="G2605" s="2"/>
      <c r="J2605" s="2"/>
      <c r="M2605" s="2"/>
    </row>
    <row r="2606" spans="1:13" x14ac:dyDescent="0.25">
      <c r="A2606" s="2"/>
      <c r="D2606" s="2"/>
      <c r="G2606" s="2"/>
      <c r="J2606" s="2"/>
      <c r="M2606" s="2"/>
    </row>
    <row r="2607" spans="1:13" x14ac:dyDescent="0.25">
      <c r="A2607" s="2"/>
      <c r="D2607" s="2"/>
      <c r="G2607" s="2"/>
      <c r="J2607" s="2"/>
      <c r="M2607" s="2"/>
    </row>
    <row r="2608" spans="1:13" x14ac:dyDescent="0.25">
      <c r="A2608" s="2"/>
      <c r="D2608" s="2"/>
      <c r="G2608" s="2"/>
      <c r="J2608" s="2"/>
      <c r="M2608" s="2"/>
    </row>
    <row r="2609" spans="1:13" x14ac:dyDescent="0.25">
      <c r="A2609" s="2"/>
      <c r="D2609" s="2"/>
      <c r="G2609" s="2"/>
      <c r="J2609" s="2"/>
      <c r="M2609" s="2"/>
    </row>
    <row r="2610" spans="1:13" x14ac:dyDescent="0.25">
      <c r="A2610" s="2"/>
      <c r="D2610" s="2"/>
      <c r="G2610" s="2"/>
      <c r="J2610" s="2"/>
      <c r="M2610" s="2"/>
    </row>
    <row r="2611" spans="1:13" x14ac:dyDescent="0.25">
      <c r="A2611" s="2"/>
      <c r="D2611" s="2"/>
      <c r="G2611" s="2"/>
      <c r="J2611" s="2"/>
      <c r="M2611" s="2"/>
    </row>
    <row r="2612" spans="1:13" x14ac:dyDescent="0.25">
      <c r="A2612" s="2"/>
      <c r="D2612" s="2"/>
      <c r="G2612" s="2"/>
      <c r="J2612" s="2"/>
      <c r="M2612" s="2"/>
    </row>
    <row r="2613" spans="1:13" x14ac:dyDescent="0.25">
      <c r="A2613" s="2"/>
      <c r="D2613" s="2"/>
      <c r="G2613" s="2"/>
      <c r="J2613" s="2"/>
      <c r="M2613" s="2"/>
    </row>
    <row r="2614" spans="1:13" x14ac:dyDescent="0.25">
      <c r="A2614" s="2"/>
      <c r="D2614" s="2"/>
      <c r="G2614" s="2"/>
      <c r="J2614" s="2"/>
      <c r="M2614" s="2"/>
    </row>
    <row r="2615" spans="1:13" x14ac:dyDescent="0.25">
      <c r="A2615" s="2"/>
      <c r="D2615" s="2"/>
      <c r="G2615" s="2"/>
      <c r="J2615" s="2"/>
      <c r="M2615" s="2"/>
    </row>
    <row r="2616" spans="1:13" x14ac:dyDescent="0.25">
      <c r="A2616" s="2"/>
      <c r="D2616" s="2"/>
      <c r="G2616" s="2"/>
      <c r="J2616" s="2"/>
      <c r="M2616" s="2"/>
    </row>
    <row r="2617" spans="1:13" x14ac:dyDescent="0.25">
      <c r="A2617" s="2"/>
      <c r="D2617" s="2"/>
      <c r="G2617" s="2"/>
      <c r="J2617" s="2"/>
      <c r="M2617" s="2"/>
    </row>
    <row r="2618" spans="1:13" x14ac:dyDescent="0.25">
      <c r="A2618" s="2"/>
      <c r="D2618" s="2"/>
      <c r="G2618" s="2"/>
      <c r="J2618" s="2"/>
      <c r="M2618" s="2"/>
    </row>
    <row r="2619" spans="1:13" x14ac:dyDescent="0.25">
      <c r="A2619" s="2"/>
      <c r="D2619" s="2"/>
      <c r="G2619" s="2"/>
      <c r="J2619" s="2"/>
      <c r="M2619" s="2"/>
    </row>
    <row r="2620" spans="1:13" x14ac:dyDescent="0.25">
      <c r="A2620" s="2"/>
      <c r="D2620" s="2"/>
      <c r="G2620" s="2"/>
      <c r="J2620" s="2"/>
      <c r="M2620" s="2"/>
    </row>
    <row r="2621" spans="1:13" x14ac:dyDescent="0.25">
      <c r="A2621" s="2"/>
      <c r="D2621" s="2"/>
      <c r="G2621" s="2"/>
      <c r="J2621" s="2"/>
      <c r="M2621" s="2"/>
    </row>
    <row r="2622" spans="1:13" x14ac:dyDescent="0.25">
      <c r="A2622" s="2"/>
      <c r="D2622" s="2"/>
      <c r="G2622" s="2"/>
      <c r="J2622" s="2"/>
      <c r="M2622" s="2"/>
    </row>
    <row r="2623" spans="1:13" x14ac:dyDescent="0.25">
      <c r="A2623" s="2"/>
      <c r="D2623" s="2"/>
      <c r="G2623" s="2"/>
      <c r="J2623" s="2"/>
      <c r="M2623" s="2"/>
    </row>
    <row r="2624" spans="1:13" x14ac:dyDescent="0.25">
      <c r="A2624" s="2"/>
      <c r="D2624" s="2"/>
      <c r="G2624" s="2"/>
      <c r="J2624" s="2"/>
      <c r="M2624" s="2"/>
    </row>
    <row r="2625" spans="1:13" x14ac:dyDescent="0.25">
      <c r="A2625" s="2"/>
      <c r="D2625" s="2"/>
      <c r="G2625" s="2"/>
      <c r="J2625" s="2"/>
      <c r="M2625" s="2"/>
    </row>
    <row r="2626" spans="1:13" x14ac:dyDescent="0.25">
      <c r="A2626" s="2"/>
      <c r="D2626" s="2"/>
      <c r="G2626" s="2"/>
      <c r="J2626" s="2"/>
      <c r="M2626" s="2"/>
    </row>
    <row r="2627" spans="1:13" x14ac:dyDescent="0.25">
      <c r="A2627" s="2"/>
      <c r="D2627" s="2"/>
      <c r="G2627" s="2"/>
      <c r="J2627" s="2"/>
      <c r="M2627" s="2"/>
    </row>
    <row r="2628" spans="1:13" x14ac:dyDescent="0.25">
      <c r="A2628" s="2"/>
      <c r="D2628" s="2"/>
      <c r="G2628" s="2"/>
      <c r="J2628" s="2"/>
      <c r="M2628" s="2"/>
    </row>
    <row r="2629" spans="1:13" x14ac:dyDescent="0.25">
      <c r="A2629" s="2"/>
      <c r="D2629" s="2"/>
      <c r="G2629" s="2"/>
      <c r="J2629" s="2"/>
      <c r="M2629" s="2"/>
    </row>
    <row r="2630" spans="1:13" x14ac:dyDescent="0.25">
      <c r="A2630" s="2"/>
      <c r="D2630" s="2"/>
      <c r="G2630" s="2"/>
      <c r="J2630" s="2"/>
      <c r="M2630" s="2"/>
    </row>
    <row r="2631" spans="1:13" x14ac:dyDescent="0.25">
      <c r="A2631" s="2"/>
      <c r="D2631" s="2"/>
      <c r="G2631" s="2"/>
      <c r="J2631" s="2"/>
      <c r="M2631" s="2"/>
    </row>
    <row r="2632" spans="1:13" x14ac:dyDescent="0.25">
      <c r="A2632" s="2"/>
      <c r="D2632" s="2"/>
      <c r="G2632" s="2"/>
      <c r="J2632" s="2"/>
      <c r="M2632" s="2"/>
    </row>
    <row r="2633" spans="1:13" x14ac:dyDescent="0.25">
      <c r="A2633" s="2"/>
      <c r="D2633" s="2"/>
      <c r="G2633" s="2"/>
      <c r="J2633" s="2"/>
      <c r="M2633" s="2"/>
    </row>
    <row r="2634" spans="1:13" x14ac:dyDescent="0.25">
      <c r="A2634" s="2"/>
      <c r="D2634" s="2"/>
      <c r="G2634" s="2"/>
      <c r="J2634" s="2"/>
      <c r="M2634" s="2"/>
    </row>
    <row r="2635" spans="1:13" x14ac:dyDescent="0.25">
      <c r="A2635" s="2"/>
      <c r="D2635" s="2"/>
      <c r="G2635" s="2"/>
      <c r="J2635" s="2"/>
      <c r="M2635" s="2"/>
    </row>
    <row r="2636" spans="1:13" x14ac:dyDescent="0.25">
      <c r="A2636" s="2"/>
      <c r="D2636" s="2"/>
      <c r="G2636" s="2"/>
      <c r="J2636" s="2"/>
      <c r="M2636" s="2"/>
    </row>
    <row r="2637" spans="1:13" x14ac:dyDescent="0.25">
      <c r="A2637" s="2"/>
      <c r="D2637" s="2"/>
      <c r="G2637" s="2"/>
      <c r="J2637" s="2"/>
      <c r="M2637" s="2"/>
    </row>
    <row r="2638" spans="1:13" x14ac:dyDescent="0.25">
      <c r="A2638" s="2"/>
      <c r="D2638" s="2"/>
      <c r="G2638" s="2"/>
      <c r="J2638" s="2"/>
      <c r="M2638" s="2"/>
    </row>
    <row r="2639" spans="1:13" x14ac:dyDescent="0.25">
      <c r="A2639" s="2"/>
      <c r="D2639" s="2"/>
      <c r="G2639" s="2"/>
      <c r="J2639" s="2"/>
      <c r="M2639" s="2"/>
    </row>
    <row r="2640" spans="1:13" x14ac:dyDescent="0.25">
      <c r="A2640" s="2"/>
      <c r="D2640" s="2"/>
      <c r="G2640" s="2"/>
      <c r="J2640" s="2"/>
      <c r="M2640" s="2"/>
    </row>
    <row r="2641" spans="1:13" x14ac:dyDescent="0.25">
      <c r="A2641" s="2"/>
      <c r="D2641" s="2"/>
      <c r="G2641" s="2"/>
      <c r="J2641" s="2"/>
      <c r="M2641" s="2"/>
    </row>
    <row r="2642" spans="1:13" x14ac:dyDescent="0.25">
      <c r="A2642" s="2"/>
      <c r="D2642" s="2"/>
      <c r="G2642" s="2"/>
      <c r="J2642" s="2"/>
      <c r="M2642" s="2"/>
    </row>
    <row r="2643" spans="1:13" x14ac:dyDescent="0.25">
      <c r="A2643" s="2"/>
      <c r="D2643" s="2"/>
      <c r="G2643" s="2"/>
      <c r="J2643" s="2"/>
      <c r="M2643" s="2"/>
    </row>
    <row r="2644" spans="1:13" x14ac:dyDescent="0.25">
      <c r="A2644" s="2"/>
      <c r="D2644" s="2"/>
      <c r="G2644" s="2"/>
      <c r="J2644" s="2"/>
      <c r="M2644" s="2"/>
    </row>
    <row r="2645" spans="1:13" x14ac:dyDescent="0.25">
      <c r="A2645" s="2"/>
      <c r="D2645" s="2"/>
      <c r="G2645" s="2"/>
      <c r="J2645" s="2"/>
      <c r="M2645" s="2"/>
    </row>
    <row r="2646" spans="1:13" x14ac:dyDescent="0.25">
      <c r="A2646" s="2"/>
      <c r="D2646" s="2"/>
      <c r="G2646" s="2"/>
      <c r="J2646" s="2"/>
      <c r="M2646" s="2"/>
    </row>
    <row r="2647" spans="1:13" x14ac:dyDescent="0.25">
      <c r="A2647" s="2"/>
      <c r="D2647" s="2"/>
      <c r="G2647" s="2"/>
      <c r="J2647" s="2"/>
      <c r="M2647" s="2"/>
    </row>
    <row r="2648" spans="1:13" x14ac:dyDescent="0.25">
      <c r="A2648" s="2"/>
      <c r="D2648" s="2"/>
      <c r="G2648" s="2"/>
      <c r="J2648" s="2"/>
      <c r="M2648" s="2"/>
    </row>
    <row r="2649" spans="1:13" x14ac:dyDescent="0.25">
      <c r="A2649" s="2"/>
      <c r="D2649" s="2"/>
      <c r="G2649" s="2"/>
      <c r="J2649" s="2"/>
      <c r="M2649" s="2"/>
    </row>
    <row r="2650" spans="1:13" x14ac:dyDescent="0.25">
      <c r="A2650" s="2"/>
      <c r="D2650" s="2"/>
      <c r="G2650" s="2"/>
      <c r="J2650" s="2"/>
      <c r="M2650" s="2"/>
    </row>
    <row r="2651" spans="1:13" x14ac:dyDescent="0.25">
      <c r="A2651" s="2"/>
      <c r="D2651" s="2"/>
      <c r="G2651" s="2"/>
      <c r="J2651" s="2"/>
      <c r="M2651" s="2"/>
    </row>
    <row r="2652" spans="1:13" x14ac:dyDescent="0.25">
      <c r="A2652" s="2"/>
      <c r="D2652" s="2"/>
      <c r="G2652" s="2"/>
      <c r="J2652" s="2"/>
      <c r="M2652" s="2"/>
    </row>
    <row r="2653" spans="1:13" x14ac:dyDescent="0.25">
      <c r="A2653" s="2"/>
      <c r="D2653" s="2"/>
      <c r="G2653" s="2"/>
      <c r="J2653" s="2"/>
      <c r="M2653" s="2"/>
    </row>
    <row r="2654" spans="1:13" x14ac:dyDescent="0.25">
      <c r="A2654" s="2"/>
      <c r="D2654" s="2"/>
      <c r="G2654" s="2"/>
      <c r="J2654" s="2"/>
      <c r="M2654" s="2"/>
    </row>
    <row r="2655" spans="1:13" x14ac:dyDescent="0.25">
      <c r="A2655" s="2"/>
      <c r="D2655" s="2"/>
      <c r="G2655" s="2"/>
      <c r="J2655" s="2"/>
      <c r="M2655" s="2"/>
    </row>
    <row r="2656" spans="1:13" x14ac:dyDescent="0.25">
      <c r="A2656" s="2"/>
      <c r="D2656" s="2"/>
      <c r="G2656" s="2"/>
      <c r="J2656" s="2"/>
      <c r="M2656" s="2"/>
    </row>
    <row r="2657" spans="1:13" x14ac:dyDescent="0.25">
      <c r="A2657" s="2"/>
      <c r="D2657" s="2"/>
      <c r="G2657" s="2"/>
      <c r="J2657" s="2"/>
      <c r="M2657" s="2"/>
    </row>
    <row r="2658" spans="1:13" x14ac:dyDescent="0.25">
      <c r="A2658" s="2"/>
      <c r="D2658" s="2"/>
      <c r="G2658" s="2"/>
      <c r="J2658" s="2"/>
      <c r="M2658" s="2"/>
    </row>
    <row r="2659" spans="1:13" x14ac:dyDescent="0.25">
      <c r="A2659" s="2"/>
      <c r="D2659" s="2"/>
      <c r="G2659" s="2"/>
      <c r="J2659" s="2"/>
      <c r="M2659" s="2"/>
    </row>
    <row r="2660" spans="1:13" x14ac:dyDescent="0.25">
      <c r="A2660" s="2"/>
      <c r="D2660" s="2"/>
      <c r="G2660" s="2"/>
      <c r="J2660" s="2"/>
      <c r="M2660" s="2"/>
    </row>
    <row r="2661" spans="1:13" x14ac:dyDescent="0.25">
      <c r="A2661" s="2"/>
      <c r="D2661" s="2"/>
      <c r="G2661" s="2"/>
      <c r="J2661" s="2"/>
      <c r="M2661" s="2"/>
    </row>
    <row r="2662" spans="1:13" x14ac:dyDescent="0.25">
      <c r="A2662" s="2"/>
      <c r="D2662" s="2"/>
      <c r="G2662" s="2"/>
      <c r="J2662" s="2"/>
      <c r="M2662" s="2"/>
    </row>
    <row r="2663" spans="1:13" x14ac:dyDescent="0.25">
      <c r="A2663" s="2"/>
      <c r="D2663" s="2"/>
      <c r="G2663" s="2"/>
      <c r="J2663" s="2"/>
      <c r="M2663" s="2"/>
    </row>
    <row r="2664" spans="1:13" x14ac:dyDescent="0.25">
      <c r="A2664" s="2"/>
      <c r="D2664" s="2"/>
      <c r="G2664" s="2"/>
      <c r="J2664" s="2"/>
      <c r="M2664" s="2"/>
    </row>
    <row r="2665" spans="1:13" x14ac:dyDescent="0.25">
      <c r="A2665" s="2"/>
      <c r="D2665" s="2"/>
      <c r="G2665" s="2"/>
      <c r="J2665" s="2"/>
      <c r="M2665" s="2"/>
    </row>
    <row r="2666" spans="1:13" x14ac:dyDescent="0.25">
      <c r="A2666" s="2"/>
      <c r="D2666" s="2"/>
      <c r="G2666" s="2"/>
      <c r="J2666" s="2"/>
      <c r="M2666" s="2"/>
    </row>
    <row r="2667" spans="1:13" x14ac:dyDescent="0.25">
      <c r="A2667" s="2"/>
      <c r="D2667" s="2"/>
      <c r="G2667" s="2"/>
      <c r="J2667" s="2"/>
      <c r="M2667" s="2"/>
    </row>
    <row r="2668" spans="1:13" x14ac:dyDescent="0.25">
      <c r="A2668" s="2"/>
      <c r="D2668" s="2"/>
      <c r="G2668" s="2"/>
      <c r="J2668" s="2"/>
      <c r="M2668" s="2"/>
    </row>
    <row r="2669" spans="1:13" x14ac:dyDescent="0.25">
      <c r="A2669" s="2"/>
      <c r="D2669" s="2"/>
      <c r="G2669" s="2"/>
      <c r="J2669" s="2"/>
      <c r="M2669" s="2"/>
    </row>
    <row r="2670" spans="1:13" x14ac:dyDescent="0.25">
      <c r="A2670" s="2"/>
      <c r="D2670" s="2"/>
      <c r="G2670" s="2"/>
      <c r="J2670" s="2"/>
      <c r="M2670" s="2"/>
    </row>
    <row r="2671" spans="1:13" x14ac:dyDescent="0.25">
      <c r="A2671" s="2"/>
      <c r="D2671" s="2"/>
      <c r="G2671" s="2"/>
      <c r="J2671" s="2"/>
      <c r="M2671" s="2"/>
    </row>
    <row r="2672" spans="1:13" x14ac:dyDescent="0.25">
      <c r="A2672" s="2"/>
      <c r="D2672" s="2"/>
      <c r="G2672" s="2"/>
      <c r="J2672" s="2"/>
      <c r="M2672" s="2"/>
    </row>
    <row r="2673" spans="1:13" x14ac:dyDescent="0.25">
      <c r="A2673" s="2"/>
      <c r="D2673" s="2"/>
      <c r="G2673" s="2"/>
      <c r="J2673" s="2"/>
      <c r="M2673" s="2"/>
    </row>
    <row r="2674" spans="1:13" x14ac:dyDescent="0.25">
      <c r="A2674" s="2"/>
      <c r="D2674" s="2"/>
      <c r="G2674" s="2"/>
      <c r="J2674" s="2"/>
      <c r="M2674" s="2"/>
    </row>
    <row r="2675" spans="1:13" x14ac:dyDescent="0.25">
      <c r="A2675" s="2"/>
      <c r="D2675" s="2"/>
      <c r="G2675" s="2"/>
      <c r="J2675" s="2"/>
      <c r="M2675" s="2"/>
    </row>
    <row r="2676" spans="1:13" x14ac:dyDescent="0.25">
      <c r="A2676" s="2"/>
      <c r="D2676" s="2"/>
      <c r="G2676" s="2"/>
      <c r="J2676" s="2"/>
      <c r="M2676" s="2"/>
    </row>
    <row r="2677" spans="1:13" x14ac:dyDescent="0.25">
      <c r="A2677" s="2"/>
      <c r="D2677" s="2"/>
      <c r="G2677" s="2"/>
      <c r="J2677" s="2"/>
      <c r="M2677" s="2"/>
    </row>
    <row r="2678" spans="1:13" x14ac:dyDescent="0.25">
      <c r="A2678" s="2"/>
      <c r="D2678" s="2"/>
      <c r="G2678" s="2"/>
      <c r="J2678" s="2"/>
      <c r="M2678" s="2"/>
    </row>
    <row r="2679" spans="1:13" x14ac:dyDescent="0.25">
      <c r="A2679" s="2"/>
      <c r="D2679" s="2"/>
      <c r="G2679" s="2"/>
      <c r="J2679" s="2"/>
      <c r="M2679" s="2"/>
    </row>
    <row r="2680" spans="1:13" x14ac:dyDescent="0.25">
      <c r="A2680" s="2"/>
      <c r="D2680" s="2"/>
      <c r="G2680" s="2"/>
      <c r="J2680" s="2"/>
      <c r="M2680" s="2"/>
    </row>
    <row r="2681" spans="1:13" x14ac:dyDescent="0.25">
      <c r="A2681" s="2"/>
      <c r="D2681" s="2"/>
      <c r="G2681" s="2"/>
      <c r="J2681" s="2"/>
      <c r="M2681" s="2"/>
    </row>
    <row r="2682" spans="1:13" x14ac:dyDescent="0.25">
      <c r="A2682" s="2"/>
      <c r="D2682" s="2"/>
      <c r="G2682" s="2"/>
      <c r="J2682" s="2"/>
      <c r="M2682" s="2"/>
    </row>
    <row r="2683" spans="1:13" x14ac:dyDescent="0.25">
      <c r="A2683" s="2"/>
      <c r="D2683" s="2"/>
      <c r="G2683" s="2"/>
      <c r="J2683" s="2"/>
      <c r="M2683" s="2"/>
    </row>
    <row r="2684" spans="1:13" x14ac:dyDescent="0.25">
      <c r="A2684" s="2"/>
      <c r="D2684" s="2"/>
      <c r="G2684" s="2"/>
      <c r="J2684" s="2"/>
      <c r="M2684" s="2"/>
    </row>
    <row r="2685" spans="1:13" x14ac:dyDescent="0.25">
      <c r="A2685" s="2"/>
      <c r="D2685" s="2"/>
      <c r="G2685" s="2"/>
      <c r="J2685" s="2"/>
      <c r="M2685" s="2"/>
    </row>
    <row r="2686" spans="1:13" x14ac:dyDescent="0.25">
      <c r="A2686" s="2"/>
      <c r="D2686" s="2"/>
      <c r="G2686" s="2"/>
      <c r="J2686" s="2"/>
      <c r="M2686" s="2"/>
    </row>
    <row r="2687" spans="1:13" x14ac:dyDescent="0.25">
      <c r="A2687" s="2"/>
      <c r="D2687" s="2"/>
      <c r="G2687" s="2"/>
      <c r="J2687" s="2"/>
      <c r="M2687" s="2"/>
    </row>
    <row r="2688" spans="1:13" x14ac:dyDescent="0.25">
      <c r="A2688" s="2"/>
      <c r="D2688" s="2"/>
      <c r="G2688" s="2"/>
      <c r="J2688" s="2"/>
      <c r="M2688" s="2"/>
    </row>
    <row r="2689" spans="1:13" x14ac:dyDescent="0.25">
      <c r="A2689" s="2"/>
      <c r="D2689" s="2"/>
      <c r="G2689" s="2"/>
      <c r="J2689" s="2"/>
      <c r="M2689" s="2"/>
    </row>
    <row r="2690" spans="1:13" x14ac:dyDescent="0.25">
      <c r="A2690" s="2"/>
      <c r="D2690" s="2"/>
      <c r="G2690" s="2"/>
      <c r="J2690" s="2"/>
      <c r="M2690" s="2"/>
    </row>
    <row r="2691" spans="1:13" x14ac:dyDescent="0.25">
      <c r="A2691" s="2"/>
      <c r="D2691" s="2"/>
      <c r="G2691" s="2"/>
      <c r="J2691" s="2"/>
      <c r="M2691" s="2"/>
    </row>
    <row r="2692" spans="1:13" x14ac:dyDescent="0.25">
      <c r="A2692" s="2"/>
      <c r="D2692" s="2"/>
      <c r="G2692" s="2"/>
      <c r="J2692" s="2"/>
      <c r="M2692" s="2"/>
    </row>
    <row r="2693" spans="1:13" x14ac:dyDescent="0.25">
      <c r="A2693" s="2"/>
      <c r="D2693" s="2"/>
      <c r="G2693" s="2"/>
      <c r="J2693" s="2"/>
      <c r="M2693" s="2"/>
    </row>
    <row r="2694" spans="1:13" x14ac:dyDescent="0.25">
      <c r="A2694" s="2"/>
      <c r="D2694" s="2"/>
      <c r="G2694" s="2"/>
      <c r="J2694" s="2"/>
      <c r="M2694" s="2"/>
    </row>
    <row r="2695" spans="1:13" x14ac:dyDescent="0.25">
      <c r="A2695" s="2"/>
      <c r="D2695" s="2"/>
      <c r="G2695" s="2"/>
      <c r="J2695" s="2"/>
      <c r="M2695" s="2"/>
    </row>
    <row r="2696" spans="1:13" x14ac:dyDescent="0.25">
      <c r="A2696" s="2"/>
      <c r="D2696" s="2"/>
      <c r="G2696" s="2"/>
      <c r="J2696" s="2"/>
      <c r="M2696" s="2"/>
    </row>
    <row r="2697" spans="1:13" x14ac:dyDescent="0.25">
      <c r="A2697" s="2"/>
      <c r="D2697" s="2"/>
      <c r="G2697" s="2"/>
      <c r="J2697" s="2"/>
      <c r="M2697" s="2"/>
    </row>
    <row r="2698" spans="1:13" x14ac:dyDescent="0.25">
      <c r="A2698" s="2"/>
      <c r="D2698" s="2"/>
      <c r="G2698" s="2"/>
      <c r="J2698" s="2"/>
      <c r="M2698" s="2"/>
    </row>
    <row r="2699" spans="1:13" x14ac:dyDescent="0.25">
      <c r="A2699" s="2"/>
      <c r="D2699" s="2"/>
      <c r="G2699" s="2"/>
      <c r="J2699" s="2"/>
      <c r="M2699" s="2"/>
    </row>
    <row r="2700" spans="1:13" x14ac:dyDescent="0.25">
      <c r="A2700" s="2"/>
      <c r="D2700" s="2"/>
      <c r="G2700" s="2"/>
      <c r="J2700" s="2"/>
      <c r="M2700" s="2"/>
    </row>
    <row r="2701" spans="1:13" x14ac:dyDescent="0.25">
      <c r="A2701" s="2"/>
      <c r="D2701" s="2"/>
      <c r="G2701" s="2"/>
      <c r="J2701" s="2"/>
      <c r="M2701" s="2"/>
    </row>
    <row r="2702" spans="1:13" x14ac:dyDescent="0.25">
      <c r="A2702" s="2"/>
      <c r="D2702" s="2"/>
      <c r="G2702" s="2"/>
      <c r="J2702" s="2"/>
      <c r="M2702" s="2"/>
    </row>
    <row r="2703" spans="1:13" x14ac:dyDescent="0.25">
      <c r="A2703" s="2"/>
      <c r="D2703" s="2"/>
      <c r="G2703" s="2"/>
      <c r="J2703" s="2"/>
      <c r="M2703" s="2"/>
    </row>
    <row r="2704" spans="1:13" x14ac:dyDescent="0.25">
      <c r="A2704" s="2"/>
      <c r="D2704" s="2"/>
      <c r="G2704" s="2"/>
      <c r="J2704" s="2"/>
      <c r="M2704" s="2"/>
    </row>
    <row r="2705" spans="1:13" x14ac:dyDescent="0.25">
      <c r="A2705" s="2"/>
      <c r="D2705" s="2"/>
      <c r="G2705" s="2"/>
      <c r="J2705" s="2"/>
      <c r="M2705" s="2"/>
    </row>
    <row r="2706" spans="1:13" x14ac:dyDescent="0.25">
      <c r="A2706" s="2"/>
      <c r="D2706" s="2"/>
      <c r="G2706" s="2"/>
      <c r="J2706" s="2"/>
      <c r="M2706" s="2"/>
    </row>
    <row r="2707" spans="1:13" x14ac:dyDescent="0.25">
      <c r="A2707" s="2"/>
      <c r="D2707" s="2"/>
      <c r="G2707" s="2"/>
      <c r="J2707" s="2"/>
      <c r="M2707" s="2"/>
    </row>
    <row r="2708" spans="1:13" x14ac:dyDescent="0.25">
      <c r="A2708" s="2"/>
      <c r="D2708" s="2"/>
      <c r="G2708" s="2"/>
      <c r="J2708" s="2"/>
      <c r="M2708" s="2"/>
    </row>
    <row r="2709" spans="1:13" x14ac:dyDescent="0.25">
      <c r="A2709" s="2"/>
      <c r="D2709" s="2"/>
      <c r="G2709" s="2"/>
      <c r="J2709" s="2"/>
      <c r="M2709" s="2"/>
    </row>
    <row r="2710" spans="1:13" x14ac:dyDescent="0.25">
      <c r="A2710" s="2"/>
      <c r="D2710" s="2"/>
      <c r="G2710" s="2"/>
      <c r="J2710" s="2"/>
      <c r="M2710" s="2"/>
    </row>
    <row r="2711" spans="1:13" x14ac:dyDescent="0.25">
      <c r="A2711" s="2"/>
      <c r="D2711" s="2"/>
      <c r="G2711" s="2"/>
      <c r="J2711" s="2"/>
      <c r="M2711" s="2"/>
    </row>
    <row r="2712" spans="1:13" x14ac:dyDescent="0.25">
      <c r="A2712" s="2"/>
      <c r="D2712" s="2"/>
      <c r="G2712" s="2"/>
      <c r="J2712" s="2"/>
      <c r="M2712" s="2"/>
    </row>
    <row r="2713" spans="1:13" x14ac:dyDescent="0.25">
      <c r="A2713" s="2"/>
      <c r="D2713" s="2"/>
      <c r="G2713" s="2"/>
      <c r="J2713" s="2"/>
      <c r="M2713" s="2"/>
    </row>
    <row r="2714" spans="1:13" x14ac:dyDescent="0.25">
      <c r="A2714" s="2"/>
      <c r="D2714" s="2"/>
      <c r="G2714" s="2"/>
      <c r="J2714" s="2"/>
      <c r="M2714" s="2"/>
    </row>
    <row r="2715" spans="1:13" x14ac:dyDescent="0.25">
      <c r="A2715" s="2"/>
      <c r="D2715" s="2"/>
      <c r="G2715" s="2"/>
      <c r="J2715" s="2"/>
      <c r="M2715" s="2"/>
    </row>
    <row r="2716" spans="1:13" x14ac:dyDescent="0.25">
      <c r="A2716" s="2"/>
      <c r="D2716" s="2"/>
      <c r="G2716" s="2"/>
      <c r="J2716" s="2"/>
      <c r="M2716" s="2"/>
    </row>
    <row r="2717" spans="1:13" x14ac:dyDescent="0.25">
      <c r="A2717" s="2"/>
      <c r="D2717" s="2"/>
      <c r="G2717" s="2"/>
      <c r="J2717" s="2"/>
      <c r="M2717" s="2"/>
    </row>
    <row r="2718" spans="1:13" x14ac:dyDescent="0.25">
      <c r="A2718" s="2"/>
      <c r="D2718" s="2"/>
      <c r="G2718" s="2"/>
      <c r="J2718" s="2"/>
      <c r="M2718" s="2"/>
    </row>
    <row r="2719" spans="1:13" x14ac:dyDescent="0.25">
      <c r="A2719" s="2"/>
      <c r="D2719" s="2"/>
      <c r="G2719" s="2"/>
      <c r="J2719" s="2"/>
      <c r="M2719" s="2"/>
    </row>
    <row r="2720" spans="1:13" x14ac:dyDescent="0.25">
      <c r="A2720" s="2"/>
      <c r="D2720" s="2"/>
      <c r="G2720" s="2"/>
      <c r="J2720" s="2"/>
      <c r="M2720" s="2"/>
    </row>
    <row r="2721" spans="1:13" x14ac:dyDescent="0.25">
      <c r="A2721" s="2"/>
      <c r="D2721" s="2"/>
      <c r="G2721" s="2"/>
      <c r="J2721" s="2"/>
      <c r="M2721" s="2"/>
    </row>
    <row r="2722" spans="1:13" x14ac:dyDescent="0.25">
      <c r="A2722" s="2"/>
      <c r="D2722" s="2"/>
      <c r="G2722" s="2"/>
      <c r="J2722" s="2"/>
      <c r="M2722" s="2"/>
    </row>
    <row r="2723" spans="1:13" x14ac:dyDescent="0.25">
      <c r="A2723" s="2"/>
      <c r="D2723" s="2"/>
      <c r="G2723" s="2"/>
      <c r="J2723" s="2"/>
      <c r="M2723" s="2"/>
    </row>
    <row r="2724" spans="1:13" x14ac:dyDescent="0.25">
      <c r="A2724" s="2"/>
      <c r="D2724" s="2"/>
      <c r="G2724" s="2"/>
      <c r="J2724" s="2"/>
      <c r="M2724" s="2"/>
    </row>
    <row r="2725" spans="1:13" x14ac:dyDescent="0.25">
      <c r="A2725" s="2"/>
      <c r="D2725" s="2"/>
      <c r="G2725" s="2"/>
      <c r="J2725" s="2"/>
      <c r="M2725" s="2"/>
    </row>
    <row r="2726" spans="1:13" x14ac:dyDescent="0.25">
      <c r="A2726" s="2"/>
      <c r="D2726" s="2"/>
      <c r="G2726" s="2"/>
      <c r="J2726" s="2"/>
      <c r="M2726" s="2"/>
    </row>
    <row r="2727" spans="1:13" x14ac:dyDescent="0.25">
      <c r="A2727" s="2"/>
      <c r="D2727" s="2"/>
      <c r="G2727" s="2"/>
      <c r="J2727" s="2"/>
      <c r="M2727" s="2"/>
    </row>
    <row r="2728" spans="1:13" x14ac:dyDescent="0.25">
      <c r="A2728" s="2"/>
      <c r="D2728" s="2"/>
      <c r="G2728" s="2"/>
      <c r="J2728" s="2"/>
      <c r="M2728" s="2"/>
    </row>
    <row r="2729" spans="1:13" x14ac:dyDescent="0.25">
      <c r="A2729" s="2"/>
      <c r="D2729" s="2"/>
      <c r="G2729" s="2"/>
      <c r="J2729" s="2"/>
      <c r="M2729" s="2"/>
    </row>
    <row r="2730" spans="1:13" x14ac:dyDescent="0.25">
      <c r="A2730" s="2"/>
      <c r="D2730" s="2"/>
      <c r="G2730" s="2"/>
      <c r="J2730" s="2"/>
      <c r="M2730" s="2"/>
    </row>
    <row r="2731" spans="1:13" x14ac:dyDescent="0.25">
      <c r="A2731" s="2"/>
      <c r="D2731" s="2"/>
      <c r="G2731" s="2"/>
      <c r="J2731" s="2"/>
      <c r="M2731" s="2"/>
    </row>
    <row r="2732" spans="1:13" x14ac:dyDescent="0.25">
      <c r="A2732" s="2"/>
      <c r="D2732" s="2"/>
      <c r="G2732" s="2"/>
      <c r="J2732" s="2"/>
      <c r="M2732" s="2"/>
    </row>
    <row r="2733" spans="1:13" x14ac:dyDescent="0.25">
      <c r="A2733" s="2"/>
      <c r="D2733" s="2"/>
      <c r="G2733" s="2"/>
      <c r="J2733" s="2"/>
      <c r="M2733" s="2"/>
    </row>
    <row r="2734" spans="1:13" x14ac:dyDescent="0.25">
      <c r="A2734" s="2"/>
      <c r="D2734" s="2"/>
      <c r="G2734" s="2"/>
      <c r="J2734" s="2"/>
      <c r="M2734" s="2"/>
    </row>
    <row r="2735" spans="1:13" x14ac:dyDescent="0.25">
      <c r="A2735" s="2"/>
      <c r="D2735" s="2"/>
      <c r="G2735" s="2"/>
      <c r="J2735" s="2"/>
      <c r="M2735" s="2"/>
    </row>
    <row r="2736" spans="1:13" x14ac:dyDescent="0.25">
      <c r="A2736" s="2"/>
      <c r="D2736" s="2"/>
      <c r="G2736" s="2"/>
      <c r="J2736" s="2"/>
      <c r="M2736" s="2"/>
    </row>
    <row r="2737" spans="1:13" x14ac:dyDescent="0.25">
      <c r="A2737" s="2"/>
      <c r="D2737" s="2"/>
      <c r="G2737" s="2"/>
      <c r="J2737" s="2"/>
      <c r="M2737" s="2"/>
    </row>
    <row r="2738" spans="1:13" x14ac:dyDescent="0.25">
      <c r="A2738" s="2"/>
      <c r="D2738" s="2"/>
      <c r="G2738" s="2"/>
      <c r="J2738" s="2"/>
      <c r="M2738" s="2"/>
    </row>
    <row r="2739" spans="1:13" x14ac:dyDescent="0.25">
      <c r="A2739" s="2"/>
      <c r="D2739" s="2"/>
      <c r="G2739" s="2"/>
      <c r="J2739" s="2"/>
      <c r="M2739" s="2"/>
    </row>
    <row r="2740" spans="1:13" x14ac:dyDescent="0.25">
      <c r="A2740" s="2"/>
      <c r="D2740" s="2"/>
      <c r="G2740" s="2"/>
      <c r="J2740" s="2"/>
      <c r="M2740" s="2"/>
    </row>
    <row r="2741" spans="1:13" x14ac:dyDescent="0.25">
      <c r="A2741" s="2"/>
      <c r="D2741" s="2"/>
      <c r="G2741" s="2"/>
      <c r="J2741" s="2"/>
      <c r="M2741" s="2"/>
    </row>
    <row r="2742" spans="1:13" x14ac:dyDescent="0.25">
      <c r="A2742" s="2"/>
      <c r="D2742" s="2"/>
      <c r="G2742" s="2"/>
      <c r="J2742" s="2"/>
      <c r="M2742" s="2"/>
    </row>
    <row r="2743" spans="1:13" x14ac:dyDescent="0.25">
      <c r="A2743" s="2"/>
      <c r="D2743" s="2"/>
      <c r="G2743" s="2"/>
      <c r="J2743" s="2"/>
      <c r="M2743" s="2"/>
    </row>
    <row r="2744" spans="1:13" x14ac:dyDescent="0.25">
      <c r="A2744" s="2"/>
      <c r="D2744" s="2"/>
      <c r="G2744" s="2"/>
      <c r="J2744" s="2"/>
      <c r="M2744" s="2"/>
    </row>
    <row r="2745" spans="1:13" x14ac:dyDescent="0.25">
      <c r="A2745" s="2"/>
      <c r="D2745" s="2"/>
      <c r="G2745" s="2"/>
      <c r="J2745" s="2"/>
      <c r="M2745" s="2"/>
    </row>
    <row r="2746" spans="1:13" x14ac:dyDescent="0.25">
      <c r="A2746" s="2"/>
      <c r="D2746" s="2"/>
      <c r="G2746" s="2"/>
      <c r="J2746" s="2"/>
      <c r="M2746" s="2"/>
    </row>
    <row r="2747" spans="1:13" x14ac:dyDescent="0.25">
      <c r="A2747" s="2"/>
      <c r="D2747" s="2"/>
      <c r="G2747" s="2"/>
      <c r="J2747" s="2"/>
      <c r="M2747" s="2"/>
    </row>
    <row r="2748" spans="1:13" x14ac:dyDescent="0.25">
      <c r="A2748" s="2"/>
      <c r="D2748" s="2"/>
      <c r="G2748" s="2"/>
      <c r="J2748" s="2"/>
      <c r="M2748" s="2"/>
    </row>
    <row r="2749" spans="1:13" x14ac:dyDescent="0.25">
      <c r="A2749" s="2"/>
      <c r="D2749" s="2"/>
      <c r="G2749" s="2"/>
      <c r="J2749" s="2"/>
      <c r="M2749" s="2"/>
    </row>
    <row r="2750" spans="1:13" x14ac:dyDescent="0.25">
      <c r="A2750" s="2"/>
      <c r="D2750" s="2"/>
      <c r="G2750" s="2"/>
      <c r="J2750" s="2"/>
      <c r="M2750" s="2"/>
    </row>
    <row r="2751" spans="1:13" x14ac:dyDescent="0.25">
      <c r="A2751" s="2"/>
      <c r="D2751" s="2"/>
      <c r="G2751" s="2"/>
      <c r="J2751" s="2"/>
      <c r="M2751" s="2"/>
    </row>
    <row r="2752" spans="1:13" x14ac:dyDescent="0.25">
      <c r="A2752" s="2"/>
      <c r="D2752" s="2"/>
      <c r="G2752" s="2"/>
      <c r="J2752" s="2"/>
      <c r="M2752" s="2"/>
    </row>
    <row r="2753" spans="1:13" x14ac:dyDescent="0.25">
      <c r="A2753" s="2"/>
      <c r="D2753" s="2"/>
      <c r="G2753" s="2"/>
      <c r="J2753" s="2"/>
      <c r="M2753" s="2"/>
    </row>
    <row r="2754" spans="1:13" x14ac:dyDescent="0.25">
      <c r="A2754" s="2"/>
      <c r="D2754" s="2"/>
      <c r="G2754" s="2"/>
      <c r="J2754" s="2"/>
      <c r="M2754" s="2"/>
    </row>
    <row r="2755" spans="1:13" x14ac:dyDescent="0.25">
      <c r="A2755" s="2"/>
      <c r="D2755" s="2"/>
      <c r="G2755" s="2"/>
      <c r="J2755" s="2"/>
      <c r="M2755" s="2"/>
    </row>
    <row r="2756" spans="1:13" x14ac:dyDescent="0.25">
      <c r="A2756" s="2"/>
      <c r="D2756" s="2"/>
      <c r="G2756" s="2"/>
      <c r="J2756" s="2"/>
      <c r="M2756" s="2"/>
    </row>
    <row r="2757" spans="1:13" x14ac:dyDescent="0.25">
      <c r="A2757" s="2"/>
      <c r="D2757" s="2"/>
      <c r="G2757" s="2"/>
      <c r="J2757" s="2"/>
      <c r="M2757" s="2"/>
    </row>
    <row r="2758" spans="1:13" x14ac:dyDescent="0.25">
      <c r="A2758" s="2"/>
      <c r="D2758" s="2"/>
      <c r="G2758" s="2"/>
      <c r="J2758" s="2"/>
      <c r="M2758" s="2"/>
    </row>
    <row r="2759" spans="1:13" x14ac:dyDescent="0.25">
      <c r="A2759" s="2"/>
      <c r="D2759" s="2"/>
      <c r="G2759" s="2"/>
      <c r="J2759" s="2"/>
      <c r="M2759" s="2"/>
    </row>
    <row r="2760" spans="1:13" x14ac:dyDescent="0.25">
      <c r="A2760" s="2"/>
      <c r="D2760" s="2"/>
      <c r="G2760" s="2"/>
      <c r="J2760" s="2"/>
      <c r="M2760" s="2"/>
    </row>
    <row r="2761" spans="1:13" x14ac:dyDescent="0.25">
      <c r="A2761" s="2"/>
      <c r="D2761" s="2"/>
      <c r="G2761" s="2"/>
      <c r="J2761" s="2"/>
      <c r="M2761" s="2"/>
    </row>
    <row r="2762" spans="1:13" x14ac:dyDescent="0.25">
      <c r="A2762" s="2"/>
      <c r="D2762" s="2"/>
      <c r="G2762" s="2"/>
      <c r="J2762" s="2"/>
      <c r="M2762" s="2"/>
    </row>
    <row r="2763" spans="1:13" x14ac:dyDescent="0.25">
      <c r="A2763" s="2"/>
      <c r="D2763" s="2"/>
      <c r="G2763" s="2"/>
      <c r="J2763" s="2"/>
      <c r="M2763" s="2"/>
    </row>
    <row r="2764" spans="1:13" x14ac:dyDescent="0.25">
      <c r="A2764" s="2"/>
      <c r="D2764" s="2"/>
      <c r="G2764" s="2"/>
      <c r="J2764" s="2"/>
      <c r="M2764" s="2"/>
    </row>
    <row r="2765" spans="1:13" x14ac:dyDescent="0.25">
      <c r="A2765" s="2"/>
      <c r="D2765" s="2"/>
      <c r="G2765" s="2"/>
      <c r="J2765" s="2"/>
      <c r="M2765" s="2"/>
    </row>
    <row r="2766" spans="1:13" x14ac:dyDescent="0.25">
      <c r="A2766" s="2"/>
      <c r="D2766" s="2"/>
      <c r="G2766" s="2"/>
      <c r="J2766" s="2"/>
      <c r="M2766" s="2"/>
    </row>
    <row r="2767" spans="1:13" x14ac:dyDescent="0.25">
      <c r="A2767" s="2"/>
      <c r="D2767" s="2"/>
      <c r="G2767" s="2"/>
      <c r="J2767" s="2"/>
      <c r="M2767" s="2"/>
    </row>
    <row r="2768" spans="1:13" x14ac:dyDescent="0.25">
      <c r="A2768" s="2"/>
      <c r="D2768" s="2"/>
      <c r="G2768" s="2"/>
      <c r="J2768" s="2"/>
      <c r="M2768" s="2"/>
    </row>
    <row r="2769" spans="1:13" x14ac:dyDescent="0.25">
      <c r="A2769" s="2"/>
      <c r="D2769" s="2"/>
      <c r="G2769" s="2"/>
      <c r="J2769" s="2"/>
      <c r="M2769" s="2"/>
    </row>
    <row r="2770" spans="1:13" x14ac:dyDescent="0.25">
      <c r="A2770" s="2"/>
      <c r="D2770" s="2"/>
      <c r="G2770" s="2"/>
      <c r="J2770" s="2"/>
      <c r="M2770" s="2"/>
    </row>
    <row r="2771" spans="1:13" x14ac:dyDescent="0.25">
      <c r="A2771" s="2"/>
      <c r="D2771" s="2"/>
      <c r="G2771" s="2"/>
      <c r="J2771" s="2"/>
      <c r="M2771" s="2"/>
    </row>
    <row r="2772" spans="1:13" x14ac:dyDescent="0.25">
      <c r="A2772" s="2"/>
      <c r="D2772" s="2"/>
      <c r="G2772" s="2"/>
      <c r="J2772" s="2"/>
      <c r="M2772" s="2"/>
    </row>
    <row r="2773" spans="1:13" x14ac:dyDescent="0.25">
      <c r="A2773" s="2"/>
      <c r="D2773" s="2"/>
      <c r="G2773" s="2"/>
      <c r="J2773" s="2"/>
      <c r="M2773" s="2"/>
    </row>
    <row r="2774" spans="1:13" x14ac:dyDescent="0.25">
      <c r="A2774" s="2"/>
      <c r="D2774" s="2"/>
      <c r="G2774" s="2"/>
      <c r="J2774" s="2"/>
      <c r="M2774" s="2"/>
    </row>
    <row r="2775" spans="1:13" x14ac:dyDescent="0.25">
      <c r="A2775" s="2"/>
      <c r="D2775" s="2"/>
      <c r="G2775" s="2"/>
      <c r="J2775" s="2"/>
      <c r="M2775" s="2"/>
    </row>
    <row r="2776" spans="1:13" x14ac:dyDescent="0.25">
      <c r="A2776" s="2"/>
      <c r="D2776" s="2"/>
      <c r="G2776" s="2"/>
      <c r="J2776" s="2"/>
      <c r="M2776" s="2"/>
    </row>
    <row r="2777" spans="1:13" x14ac:dyDescent="0.25">
      <c r="A2777" s="2"/>
      <c r="D2777" s="2"/>
      <c r="G2777" s="2"/>
      <c r="J2777" s="2"/>
      <c r="M2777" s="2"/>
    </row>
    <row r="2778" spans="1:13" x14ac:dyDescent="0.25">
      <c r="A2778" s="2"/>
      <c r="D2778" s="2"/>
      <c r="G2778" s="2"/>
      <c r="J2778" s="2"/>
      <c r="M2778" s="2"/>
    </row>
    <row r="2779" spans="1:13" x14ac:dyDescent="0.25">
      <c r="A2779" s="2"/>
      <c r="D2779" s="2"/>
      <c r="G2779" s="2"/>
      <c r="J2779" s="2"/>
      <c r="M2779" s="2"/>
    </row>
    <row r="2780" spans="1:13" x14ac:dyDescent="0.25">
      <c r="A2780" s="2"/>
      <c r="D2780" s="2"/>
      <c r="G2780" s="2"/>
      <c r="J2780" s="2"/>
      <c r="M2780" s="2"/>
    </row>
    <row r="2781" spans="1:13" x14ac:dyDescent="0.25">
      <c r="A2781" s="2"/>
      <c r="D2781" s="2"/>
      <c r="G2781" s="2"/>
      <c r="J2781" s="2"/>
      <c r="M2781" s="2"/>
    </row>
    <row r="2782" spans="1:13" x14ac:dyDescent="0.25">
      <c r="A2782" s="2"/>
      <c r="D2782" s="2"/>
      <c r="G2782" s="2"/>
      <c r="J2782" s="2"/>
      <c r="M2782" s="2"/>
    </row>
    <row r="2783" spans="1:13" x14ac:dyDescent="0.25">
      <c r="A2783" s="2"/>
      <c r="D2783" s="2"/>
      <c r="G2783" s="2"/>
      <c r="J2783" s="2"/>
      <c r="M2783" s="2"/>
    </row>
    <row r="2784" spans="1:13" x14ac:dyDescent="0.25">
      <c r="A2784" s="2"/>
      <c r="D2784" s="2"/>
      <c r="G2784" s="2"/>
      <c r="J2784" s="2"/>
      <c r="M2784" s="2"/>
    </row>
    <row r="2785" spans="1:13" x14ac:dyDescent="0.25">
      <c r="A2785" s="2"/>
      <c r="D2785" s="2"/>
      <c r="G2785" s="2"/>
      <c r="J2785" s="2"/>
      <c r="M2785" s="2"/>
    </row>
    <row r="2786" spans="1:13" x14ac:dyDescent="0.25">
      <c r="A2786" s="2"/>
      <c r="D2786" s="2"/>
      <c r="G2786" s="2"/>
      <c r="J2786" s="2"/>
      <c r="M2786" s="2"/>
    </row>
    <row r="2787" spans="1:13" x14ac:dyDescent="0.25">
      <c r="A2787" s="2"/>
      <c r="D2787" s="2"/>
      <c r="G2787" s="2"/>
      <c r="J2787" s="2"/>
      <c r="M2787" s="2"/>
    </row>
    <row r="2788" spans="1:13" x14ac:dyDescent="0.25">
      <c r="A2788" s="2"/>
      <c r="D2788" s="2"/>
      <c r="G2788" s="2"/>
      <c r="J2788" s="2"/>
      <c r="M2788" s="2"/>
    </row>
    <row r="2789" spans="1:13" x14ac:dyDescent="0.25">
      <c r="A2789" s="2"/>
      <c r="D2789" s="2"/>
      <c r="G2789" s="2"/>
      <c r="J2789" s="2"/>
      <c r="M2789" s="2"/>
    </row>
    <row r="2790" spans="1:13" x14ac:dyDescent="0.25">
      <c r="A2790" s="2"/>
      <c r="D2790" s="2"/>
      <c r="G2790" s="2"/>
      <c r="J2790" s="2"/>
      <c r="M2790" s="2"/>
    </row>
    <row r="2791" spans="1:13" x14ac:dyDescent="0.25">
      <c r="A2791" s="2"/>
      <c r="D2791" s="2"/>
      <c r="G2791" s="2"/>
      <c r="J2791" s="2"/>
      <c r="M2791" s="2"/>
    </row>
    <row r="2792" spans="1:13" x14ac:dyDescent="0.25">
      <c r="A2792" s="2"/>
      <c r="D2792" s="2"/>
      <c r="G2792" s="2"/>
      <c r="J2792" s="2"/>
      <c r="M2792" s="2"/>
    </row>
    <row r="2793" spans="1:13" x14ac:dyDescent="0.25">
      <c r="A2793" s="2"/>
      <c r="D2793" s="2"/>
      <c r="G2793" s="2"/>
      <c r="J2793" s="2"/>
      <c r="M2793" s="2"/>
    </row>
    <row r="2794" spans="1:13" x14ac:dyDescent="0.25">
      <c r="A2794" s="2"/>
      <c r="D2794" s="2"/>
      <c r="G2794" s="2"/>
      <c r="J2794" s="2"/>
      <c r="M2794" s="2"/>
    </row>
    <row r="2795" spans="1:13" x14ac:dyDescent="0.25">
      <c r="A2795" s="2"/>
      <c r="D2795" s="2"/>
      <c r="G2795" s="2"/>
      <c r="J2795" s="2"/>
      <c r="M2795" s="2"/>
    </row>
    <row r="2796" spans="1:13" x14ac:dyDescent="0.25">
      <c r="A2796" s="2"/>
      <c r="D2796" s="2"/>
      <c r="G2796" s="2"/>
      <c r="J2796" s="2"/>
      <c r="M2796" s="2"/>
    </row>
    <row r="2797" spans="1:13" x14ac:dyDescent="0.25">
      <c r="A2797" s="2"/>
      <c r="D2797" s="2"/>
      <c r="G2797" s="2"/>
      <c r="J2797" s="2"/>
      <c r="M2797" s="2"/>
    </row>
    <row r="2798" spans="1:13" x14ac:dyDescent="0.25">
      <c r="A2798" s="2"/>
      <c r="D2798" s="2"/>
      <c r="G2798" s="2"/>
      <c r="J2798" s="2"/>
      <c r="M2798" s="2"/>
    </row>
    <row r="2799" spans="1:13" x14ac:dyDescent="0.25">
      <c r="A2799" s="2"/>
      <c r="D2799" s="2"/>
      <c r="G2799" s="2"/>
      <c r="J2799" s="2"/>
      <c r="M2799" s="2"/>
    </row>
    <row r="2800" spans="1:13" x14ac:dyDescent="0.25">
      <c r="A2800" s="2"/>
      <c r="D2800" s="2"/>
      <c r="G2800" s="2"/>
      <c r="J2800" s="2"/>
      <c r="M2800" s="2"/>
    </row>
    <row r="2801" spans="1:13" x14ac:dyDescent="0.25">
      <c r="A2801" s="2"/>
      <c r="D2801" s="2"/>
      <c r="G2801" s="2"/>
      <c r="J2801" s="2"/>
      <c r="M2801" s="2"/>
    </row>
    <row r="2802" spans="1:13" x14ac:dyDescent="0.25">
      <c r="A2802" s="2"/>
      <c r="D2802" s="2"/>
      <c r="G2802" s="2"/>
      <c r="J2802" s="2"/>
      <c r="M2802" s="2"/>
    </row>
    <row r="2803" spans="1:13" x14ac:dyDescent="0.25">
      <c r="A2803" s="2"/>
      <c r="D2803" s="2"/>
      <c r="G2803" s="2"/>
      <c r="J2803" s="2"/>
      <c r="M2803" s="2"/>
    </row>
    <row r="2804" spans="1:13" x14ac:dyDescent="0.25">
      <c r="A2804" s="2"/>
      <c r="D2804" s="2"/>
      <c r="G2804" s="2"/>
      <c r="J2804" s="2"/>
      <c r="M2804" s="2"/>
    </row>
    <row r="2805" spans="1:13" x14ac:dyDescent="0.25">
      <c r="A2805" s="2"/>
      <c r="D2805" s="2"/>
      <c r="G2805" s="2"/>
      <c r="J2805" s="2"/>
      <c r="M2805" s="2"/>
    </row>
    <row r="2806" spans="1:13" x14ac:dyDescent="0.25">
      <c r="A2806" s="2"/>
      <c r="D2806" s="2"/>
      <c r="G2806" s="2"/>
      <c r="J2806" s="2"/>
      <c r="M2806" s="2"/>
    </row>
    <row r="2807" spans="1:13" x14ac:dyDescent="0.25">
      <c r="A2807" s="2"/>
      <c r="D2807" s="2"/>
      <c r="G2807" s="2"/>
      <c r="J2807" s="2"/>
      <c r="M2807" s="2"/>
    </row>
    <row r="2808" spans="1:13" x14ac:dyDescent="0.25">
      <c r="A2808" s="2"/>
      <c r="D2808" s="2"/>
      <c r="G2808" s="2"/>
      <c r="J2808" s="2"/>
      <c r="M2808" s="2"/>
    </row>
    <row r="2809" spans="1:13" x14ac:dyDescent="0.25">
      <c r="A2809" s="2"/>
      <c r="D2809" s="2"/>
      <c r="G2809" s="2"/>
      <c r="J2809" s="2"/>
      <c r="M2809" s="2"/>
    </row>
    <row r="2810" spans="1:13" x14ac:dyDescent="0.25">
      <c r="A2810" s="2"/>
      <c r="D2810" s="2"/>
      <c r="G2810" s="2"/>
      <c r="J2810" s="2"/>
      <c r="M2810" s="2"/>
    </row>
    <row r="2811" spans="1:13" x14ac:dyDescent="0.25">
      <c r="A2811" s="2"/>
      <c r="D2811" s="2"/>
      <c r="G2811" s="2"/>
      <c r="J2811" s="2"/>
      <c r="M2811" s="2"/>
    </row>
    <row r="2812" spans="1:13" x14ac:dyDescent="0.25">
      <c r="A2812" s="2"/>
      <c r="D2812" s="2"/>
      <c r="G2812" s="2"/>
      <c r="J2812" s="2"/>
      <c r="M2812" s="2"/>
    </row>
    <row r="2813" spans="1:13" x14ac:dyDescent="0.25">
      <c r="A2813" s="2"/>
      <c r="D2813" s="2"/>
      <c r="G2813" s="2"/>
      <c r="J2813" s="2"/>
      <c r="M2813" s="2"/>
    </row>
    <row r="2814" spans="1:13" x14ac:dyDescent="0.25">
      <c r="A2814" s="2"/>
      <c r="D2814" s="2"/>
      <c r="G2814" s="2"/>
      <c r="J2814" s="2"/>
      <c r="M2814" s="2"/>
    </row>
    <row r="2815" spans="1:13" x14ac:dyDescent="0.25">
      <c r="A2815" s="2"/>
      <c r="D2815" s="2"/>
      <c r="G2815" s="2"/>
      <c r="J2815" s="2"/>
      <c r="M2815" s="2"/>
    </row>
    <row r="2816" spans="1:13" x14ac:dyDescent="0.25">
      <c r="A2816" s="2"/>
      <c r="D2816" s="2"/>
      <c r="G2816" s="2"/>
      <c r="J2816" s="2"/>
      <c r="M2816" s="2"/>
    </row>
    <row r="2817" spans="1:13" x14ac:dyDescent="0.25">
      <c r="A2817" s="2"/>
      <c r="D2817" s="2"/>
      <c r="G2817" s="2"/>
      <c r="J2817" s="2"/>
      <c r="M2817" s="2"/>
    </row>
    <row r="2818" spans="1:13" x14ac:dyDescent="0.25">
      <c r="A2818" s="2"/>
      <c r="D2818" s="2"/>
      <c r="G2818" s="2"/>
      <c r="J2818" s="2"/>
      <c r="M2818" s="2"/>
    </row>
    <row r="2819" spans="1:13" x14ac:dyDescent="0.25">
      <c r="A2819" s="2"/>
      <c r="D2819" s="2"/>
      <c r="G2819" s="2"/>
      <c r="J2819" s="2"/>
      <c r="M2819" s="2"/>
    </row>
    <row r="2820" spans="1:13" x14ac:dyDescent="0.25">
      <c r="A2820" s="2"/>
      <c r="D2820" s="2"/>
      <c r="G2820" s="2"/>
      <c r="J2820" s="2"/>
      <c r="M2820" s="2"/>
    </row>
    <row r="2821" spans="1:13" x14ac:dyDescent="0.25">
      <c r="A2821" s="2"/>
      <c r="D2821" s="2"/>
      <c r="G2821" s="2"/>
      <c r="J2821" s="2"/>
      <c r="M2821" s="2"/>
    </row>
    <row r="2822" spans="1:13" x14ac:dyDescent="0.25">
      <c r="A2822" s="2"/>
      <c r="D2822" s="2"/>
      <c r="G2822" s="2"/>
      <c r="J2822" s="2"/>
      <c r="M2822" s="2"/>
    </row>
    <row r="2823" spans="1:13" x14ac:dyDescent="0.25">
      <c r="A2823" s="2"/>
      <c r="D2823" s="2"/>
      <c r="G2823" s="2"/>
      <c r="J2823" s="2"/>
      <c r="M2823" s="2"/>
    </row>
    <row r="2824" spans="1:13" x14ac:dyDescent="0.25">
      <c r="A2824" s="2"/>
      <c r="D2824" s="2"/>
      <c r="G2824" s="2"/>
      <c r="J2824" s="2"/>
      <c r="M2824" s="2"/>
    </row>
    <row r="2825" spans="1:13" x14ac:dyDescent="0.25">
      <c r="A2825" s="2"/>
      <c r="D2825" s="2"/>
      <c r="G2825" s="2"/>
      <c r="J2825" s="2"/>
      <c r="M2825" s="2"/>
    </row>
    <row r="2826" spans="1:13" x14ac:dyDescent="0.25">
      <c r="A2826" s="2"/>
      <c r="D2826" s="2"/>
      <c r="G2826" s="2"/>
      <c r="J2826" s="2"/>
      <c r="M2826" s="2"/>
    </row>
    <row r="2827" spans="1:13" x14ac:dyDescent="0.25">
      <c r="A2827" s="2"/>
      <c r="D2827" s="2"/>
      <c r="G2827" s="2"/>
      <c r="J2827" s="2"/>
      <c r="M2827" s="2"/>
    </row>
    <row r="2828" spans="1:13" x14ac:dyDescent="0.25">
      <c r="A2828" s="2"/>
      <c r="D2828" s="2"/>
      <c r="G2828" s="2"/>
      <c r="J2828" s="2"/>
      <c r="M2828" s="2"/>
    </row>
    <row r="2829" spans="1:13" x14ac:dyDescent="0.25">
      <c r="A2829" s="2"/>
      <c r="D2829" s="2"/>
      <c r="G2829" s="2"/>
      <c r="J2829" s="2"/>
      <c r="M2829" s="2"/>
    </row>
    <row r="2830" spans="1:13" x14ac:dyDescent="0.25">
      <c r="A2830" s="2"/>
      <c r="D2830" s="2"/>
      <c r="G2830" s="2"/>
      <c r="J2830" s="2"/>
      <c r="M2830" s="2"/>
    </row>
    <row r="2831" spans="1:13" x14ac:dyDescent="0.25">
      <c r="A2831" s="2"/>
      <c r="D2831" s="2"/>
      <c r="G2831" s="2"/>
      <c r="J2831" s="2"/>
      <c r="M2831" s="2"/>
    </row>
    <row r="2832" spans="1:13" x14ac:dyDescent="0.25">
      <c r="A2832" s="2"/>
      <c r="D2832" s="2"/>
      <c r="G2832" s="2"/>
      <c r="J2832" s="2"/>
      <c r="M2832" s="2"/>
    </row>
    <row r="2833" spans="1:13" x14ac:dyDescent="0.25">
      <c r="A2833" s="2"/>
      <c r="D2833" s="2"/>
      <c r="G2833" s="2"/>
      <c r="J2833" s="2"/>
      <c r="M2833" s="2"/>
    </row>
    <row r="2834" spans="1:13" x14ac:dyDescent="0.25">
      <c r="A2834" s="2"/>
      <c r="D2834" s="2"/>
      <c r="G2834" s="2"/>
      <c r="J2834" s="2"/>
      <c r="M2834" s="2"/>
    </row>
    <row r="2835" spans="1:13" x14ac:dyDescent="0.25">
      <c r="A2835" s="2"/>
      <c r="D2835" s="2"/>
      <c r="G2835" s="2"/>
      <c r="J2835" s="2"/>
      <c r="M2835" s="2"/>
    </row>
    <row r="2836" spans="1:13" x14ac:dyDescent="0.25">
      <c r="A2836" s="2"/>
      <c r="D2836" s="2"/>
      <c r="G2836" s="2"/>
      <c r="J2836" s="2"/>
      <c r="M2836" s="2"/>
    </row>
    <row r="2837" spans="1:13" x14ac:dyDescent="0.25">
      <c r="A2837" s="2"/>
      <c r="D2837" s="2"/>
      <c r="G2837" s="2"/>
      <c r="J2837" s="2"/>
      <c r="M2837" s="2"/>
    </row>
    <row r="2838" spans="1:13" x14ac:dyDescent="0.25">
      <c r="A2838" s="2"/>
      <c r="D2838" s="2"/>
      <c r="G2838" s="2"/>
      <c r="J2838" s="2"/>
      <c r="M2838" s="2"/>
    </row>
    <row r="2839" spans="1:13" x14ac:dyDescent="0.25">
      <c r="A2839" s="2"/>
      <c r="D2839" s="2"/>
      <c r="G2839" s="2"/>
      <c r="J2839" s="2"/>
      <c r="M2839" s="2"/>
    </row>
    <row r="2840" spans="1:13" x14ac:dyDescent="0.25">
      <c r="A2840" s="2"/>
      <c r="D2840" s="2"/>
      <c r="G2840" s="2"/>
      <c r="J2840" s="2"/>
      <c r="M2840" s="2"/>
    </row>
    <row r="2841" spans="1:13" x14ac:dyDescent="0.25">
      <c r="A2841" s="2"/>
      <c r="D2841" s="2"/>
      <c r="G2841" s="2"/>
      <c r="J2841" s="2"/>
      <c r="M2841" s="2"/>
    </row>
    <row r="2842" spans="1:13" x14ac:dyDescent="0.25">
      <c r="A2842" s="2"/>
      <c r="D2842" s="2"/>
      <c r="G2842" s="2"/>
      <c r="J2842" s="2"/>
      <c r="M2842" s="2"/>
    </row>
    <row r="2843" spans="1:13" x14ac:dyDescent="0.25">
      <c r="A2843" s="2"/>
      <c r="D2843" s="2"/>
      <c r="G2843" s="2"/>
      <c r="J2843" s="2"/>
      <c r="M2843" s="2"/>
    </row>
    <row r="2844" spans="1:13" x14ac:dyDescent="0.25">
      <c r="A2844" s="2"/>
      <c r="D2844" s="2"/>
      <c r="G2844" s="2"/>
      <c r="J2844" s="2"/>
      <c r="M2844" s="2"/>
    </row>
    <row r="2845" spans="1:13" x14ac:dyDescent="0.25">
      <c r="A2845" s="2"/>
      <c r="D2845" s="2"/>
      <c r="G2845" s="2"/>
      <c r="J2845" s="2"/>
      <c r="M2845" s="2"/>
    </row>
    <row r="2846" spans="1:13" x14ac:dyDescent="0.25">
      <c r="A2846" s="2"/>
      <c r="D2846" s="2"/>
      <c r="G2846" s="2"/>
      <c r="J2846" s="2"/>
      <c r="M2846" s="2"/>
    </row>
    <row r="2847" spans="1:13" x14ac:dyDescent="0.25">
      <c r="A2847" s="2"/>
      <c r="D2847" s="2"/>
      <c r="G2847" s="2"/>
      <c r="J2847" s="2"/>
      <c r="M2847" s="2"/>
    </row>
    <row r="2848" spans="1:13" x14ac:dyDescent="0.25">
      <c r="A2848" s="2"/>
      <c r="D2848" s="2"/>
      <c r="G2848" s="2"/>
      <c r="J2848" s="2"/>
      <c r="M2848" s="2"/>
    </row>
    <row r="2849" spans="1:13" x14ac:dyDescent="0.25">
      <c r="A2849" s="2"/>
      <c r="D2849" s="2"/>
      <c r="G2849" s="2"/>
      <c r="J2849" s="2"/>
      <c r="M2849" s="2"/>
    </row>
    <row r="2850" spans="1:13" x14ac:dyDescent="0.25">
      <c r="A2850" s="2"/>
      <c r="D2850" s="2"/>
      <c r="G2850" s="2"/>
      <c r="J2850" s="2"/>
      <c r="M2850" s="2"/>
    </row>
    <row r="2851" spans="1:13" x14ac:dyDescent="0.25">
      <c r="A2851" s="2"/>
      <c r="D2851" s="2"/>
      <c r="G2851" s="2"/>
      <c r="J2851" s="2"/>
      <c r="M2851" s="2"/>
    </row>
    <row r="2852" spans="1:13" x14ac:dyDescent="0.25">
      <c r="A2852" s="2"/>
      <c r="D2852" s="2"/>
      <c r="G2852" s="2"/>
      <c r="J2852" s="2"/>
      <c r="M2852" s="2"/>
    </row>
    <row r="2853" spans="1:13" x14ac:dyDescent="0.25">
      <c r="A2853" s="2"/>
      <c r="D2853" s="2"/>
      <c r="G2853" s="2"/>
      <c r="J2853" s="2"/>
      <c r="M2853" s="2"/>
    </row>
    <row r="2854" spans="1:13" x14ac:dyDescent="0.25">
      <c r="A2854" s="2"/>
      <c r="D2854" s="2"/>
      <c r="G2854" s="2"/>
      <c r="J2854" s="2"/>
      <c r="M2854" s="2"/>
    </row>
    <row r="2855" spans="1:13" x14ac:dyDescent="0.25">
      <c r="A2855" s="2"/>
      <c r="D2855" s="2"/>
      <c r="G2855" s="2"/>
      <c r="J2855" s="2"/>
      <c r="M2855" s="2"/>
    </row>
    <row r="2856" spans="1:13" x14ac:dyDescent="0.25">
      <c r="A2856" s="2"/>
      <c r="D2856" s="2"/>
      <c r="G2856" s="2"/>
      <c r="J2856" s="2"/>
      <c r="M2856" s="2"/>
    </row>
    <row r="2857" spans="1:13" x14ac:dyDescent="0.25">
      <c r="A2857" s="2"/>
      <c r="D2857" s="2"/>
      <c r="G2857" s="2"/>
      <c r="J2857" s="2"/>
      <c r="M2857" s="2"/>
    </row>
    <row r="2858" spans="1:13" x14ac:dyDescent="0.25">
      <c r="A2858" s="2"/>
      <c r="D2858" s="2"/>
      <c r="G2858" s="2"/>
      <c r="J2858" s="2"/>
      <c r="M2858" s="2"/>
    </row>
    <row r="2859" spans="1:13" x14ac:dyDescent="0.25">
      <c r="A2859" s="2"/>
      <c r="D2859" s="2"/>
      <c r="G2859" s="2"/>
      <c r="J2859" s="2"/>
      <c r="M2859" s="2"/>
    </row>
    <row r="2860" spans="1:13" x14ac:dyDescent="0.25">
      <c r="A2860" s="2"/>
      <c r="D2860" s="2"/>
      <c r="G2860" s="2"/>
      <c r="J2860" s="2"/>
      <c r="M2860" s="2"/>
    </row>
    <row r="2861" spans="1:13" x14ac:dyDescent="0.25">
      <c r="A2861" s="2"/>
      <c r="D2861" s="2"/>
      <c r="G2861" s="2"/>
      <c r="J2861" s="2"/>
      <c r="M2861" s="2"/>
    </row>
    <row r="2862" spans="1:13" x14ac:dyDescent="0.25">
      <c r="A2862" s="2"/>
      <c r="D2862" s="2"/>
      <c r="G2862" s="2"/>
      <c r="J2862" s="2"/>
      <c r="M2862" s="2"/>
    </row>
    <row r="2863" spans="1:13" x14ac:dyDescent="0.25">
      <c r="A2863" s="2"/>
      <c r="D2863" s="2"/>
      <c r="G2863" s="2"/>
      <c r="J2863" s="2"/>
      <c r="M2863" s="2"/>
    </row>
    <row r="2864" spans="1:13" x14ac:dyDescent="0.25">
      <c r="A2864" s="2"/>
      <c r="D2864" s="2"/>
      <c r="G2864" s="2"/>
      <c r="J2864" s="2"/>
      <c r="M2864" s="2"/>
    </row>
    <row r="2865" spans="1:13" x14ac:dyDescent="0.25">
      <c r="A2865" s="2"/>
      <c r="D2865" s="2"/>
      <c r="G2865" s="2"/>
      <c r="J2865" s="2"/>
      <c r="M2865" s="2"/>
    </row>
    <row r="2866" spans="1:13" x14ac:dyDescent="0.25">
      <c r="A2866" s="2"/>
      <c r="D2866" s="2"/>
      <c r="G2866" s="2"/>
      <c r="J2866" s="2"/>
      <c r="M2866" s="2"/>
    </row>
    <row r="2867" spans="1:13" x14ac:dyDescent="0.25">
      <c r="A2867" s="2"/>
      <c r="D2867" s="2"/>
      <c r="G2867" s="2"/>
      <c r="J2867" s="2"/>
      <c r="M2867" s="2"/>
    </row>
    <row r="2868" spans="1:13" x14ac:dyDescent="0.25">
      <c r="A2868" s="2"/>
      <c r="D2868" s="2"/>
      <c r="G2868" s="2"/>
      <c r="J2868" s="2"/>
      <c r="M2868" s="2"/>
    </row>
    <row r="2869" spans="1:13" x14ac:dyDescent="0.25">
      <c r="A2869" s="2"/>
      <c r="D2869" s="2"/>
      <c r="G2869" s="2"/>
      <c r="J2869" s="2"/>
      <c r="M2869" s="2"/>
    </row>
    <row r="2870" spans="1:13" x14ac:dyDescent="0.25">
      <c r="A2870" s="2"/>
      <c r="D2870" s="2"/>
      <c r="G2870" s="2"/>
      <c r="J2870" s="2"/>
      <c r="M2870" s="2"/>
    </row>
    <row r="2871" spans="1:13" x14ac:dyDescent="0.25">
      <c r="A2871" s="2"/>
      <c r="D2871" s="2"/>
      <c r="G2871" s="2"/>
      <c r="J2871" s="2"/>
      <c r="M2871" s="2"/>
    </row>
    <row r="2872" spans="1:13" x14ac:dyDescent="0.25">
      <c r="A2872" s="2"/>
      <c r="D2872" s="2"/>
      <c r="G2872" s="2"/>
      <c r="J2872" s="2"/>
      <c r="M2872" s="2"/>
    </row>
    <row r="2873" spans="1:13" x14ac:dyDescent="0.25">
      <c r="A2873" s="2"/>
      <c r="D2873" s="2"/>
      <c r="G2873" s="2"/>
      <c r="J2873" s="2"/>
      <c r="M2873" s="2"/>
    </row>
    <row r="2874" spans="1:13" x14ac:dyDescent="0.25">
      <c r="A2874" s="2"/>
      <c r="D2874" s="2"/>
      <c r="G2874" s="2"/>
      <c r="J2874" s="2"/>
      <c r="M2874" s="2"/>
    </row>
    <row r="2875" spans="1:13" x14ac:dyDescent="0.25">
      <c r="A2875" s="2"/>
      <c r="D2875" s="2"/>
      <c r="G2875" s="2"/>
      <c r="J2875" s="2"/>
      <c r="M2875" s="2"/>
    </row>
    <row r="2876" spans="1:13" x14ac:dyDescent="0.25">
      <c r="A2876" s="2"/>
      <c r="D2876" s="2"/>
      <c r="G2876" s="2"/>
      <c r="J2876" s="2"/>
      <c r="M2876" s="2"/>
    </row>
    <row r="2877" spans="1:13" x14ac:dyDescent="0.25">
      <c r="A2877" s="2"/>
      <c r="D2877" s="2"/>
      <c r="G2877" s="2"/>
      <c r="J2877" s="2"/>
      <c r="M2877" s="2"/>
    </row>
    <row r="2878" spans="1:13" x14ac:dyDescent="0.25">
      <c r="A2878" s="2"/>
      <c r="D2878" s="2"/>
      <c r="G2878" s="2"/>
      <c r="J2878" s="2"/>
      <c r="M2878" s="2"/>
    </row>
    <row r="2879" spans="1:13" x14ac:dyDescent="0.25">
      <c r="A2879" s="2"/>
      <c r="D2879" s="2"/>
      <c r="G2879" s="2"/>
      <c r="J2879" s="2"/>
      <c r="M2879" s="2"/>
    </row>
    <row r="2880" spans="1:13" x14ac:dyDescent="0.25">
      <c r="A2880" s="2"/>
      <c r="D2880" s="2"/>
      <c r="G2880" s="2"/>
      <c r="J2880" s="2"/>
      <c r="M2880" s="2"/>
    </row>
    <row r="2881" spans="1:13" x14ac:dyDescent="0.25">
      <c r="A2881" s="2"/>
      <c r="D2881" s="2"/>
      <c r="G2881" s="2"/>
      <c r="J2881" s="2"/>
      <c r="M2881" s="2"/>
    </row>
    <row r="2882" spans="1:13" x14ac:dyDescent="0.25">
      <c r="A2882" s="2"/>
      <c r="D2882" s="2"/>
      <c r="G2882" s="2"/>
      <c r="J2882" s="2"/>
      <c r="M2882" s="2"/>
    </row>
    <row r="2883" spans="1:13" x14ac:dyDescent="0.25">
      <c r="A2883" s="2"/>
      <c r="D2883" s="2"/>
      <c r="G2883" s="2"/>
      <c r="J2883" s="2"/>
      <c r="M2883" s="2"/>
    </row>
    <row r="2884" spans="1:13" x14ac:dyDescent="0.25">
      <c r="A2884" s="2"/>
      <c r="D2884" s="2"/>
      <c r="G2884" s="2"/>
      <c r="J2884" s="2"/>
      <c r="M2884" s="2"/>
    </row>
    <row r="2885" spans="1:13" x14ac:dyDescent="0.25">
      <c r="A2885" s="2"/>
      <c r="D2885" s="2"/>
      <c r="G2885" s="2"/>
      <c r="J2885" s="2"/>
      <c r="M2885" s="2"/>
    </row>
    <row r="2886" spans="1:13" x14ac:dyDescent="0.25">
      <c r="A2886" s="2"/>
      <c r="D2886" s="2"/>
      <c r="G2886" s="2"/>
      <c r="J2886" s="2"/>
      <c r="M2886" s="2"/>
    </row>
    <row r="2887" spans="1:13" x14ac:dyDescent="0.25">
      <c r="A2887" s="2"/>
      <c r="D2887" s="2"/>
      <c r="G2887" s="2"/>
      <c r="J2887" s="2"/>
      <c r="M2887" s="2"/>
    </row>
    <row r="2888" spans="1:13" x14ac:dyDescent="0.25">
      <c r="A2888" s="2"/>
      <c r="D2888" s="2"/>
      <c r="G2888" s="2"/>
      <c r="J2888" s="2"/>
      <c r="M2888" s="2"/>
    </row>
    <row r="2889" spans="1:13" x14ac:dyDescent="0.25">
      <c r="A2889" s="2"/>
      <c r="D2889" s="2"/>
      <c r="G2889" s="2"/>
      <c r="J2889" s="2"/>
      <c r="M2889" s="2"/>
    </row>
    <row r="2890" spans="1:13" x14ac:dyDescent="0.25">
      <c r="A2890" s="2"/>
      <c r="D2890" s="2"/>
      <c r="G2890" s="2"/>
      <c r="J2890" s="2"/>
      <c r="M2890" s="2"/>
    </row>
    <row r="2891" spans="1:13" x14ac:dyDescent="0.25">
      <c r="A2891" s="2"/>
      <c r="D2891" s="2"/>
      <c r="G2891" s="2"/>
      <c r="J2891" s="2"/>
      <c r="M2891" s="2"/>
    </row>
    <row r="2892" spans="1:13" x14ac:dyDescent="0.25">
      <c r="A2892" s="2"/>
      <c r="D2892" s="2"/>
      <c r="G2892" s="2"/>
      <c r="J2892" s="2"/>
      <c r="M2892" s="2"/>
    </row>
    <row r="2893" spans="1:13" x14ac:dyDescent="0.25">
      <c r="A2893" s="2"/>
      <c r="D2893" s="2"/>
      <c r="G2893" s="2"/>
      <c r="J2893" s="2"/>
      <c r="M2893" s="2"/>
    </row>
    <row r="2894" spans="1:13" x14ac:dyDescent="0.25">
      <c r="A2894" s="2"/>
      <c r="D2894" s="2"/>
      <c r="G2894" s="2"/>
      <c r="J2894" s="2"/>
      <c r="M2894" s="2"/>
    </row>
    <row r="2895" spans="1:13" x14ac:dyDescent="0.25">
      <c r="A2895" s="2"/>
      <c r="D2895" s="2"/>
      <c r="G2895" s="2"/>
      <c r="J2895" s="2"/>
      <c r="M2895" s="2"/>
    </row>
    <row r="2896" spans="1:13" x14ac:dyDescent="0.25">
      <c r="A2896" s="2"/>
      <c r="D2896" s="2"/>
      <c r="G2896" s="2"/>
      <c r="J2896" s="2"/>
      <c r="M2896" s="2"/>
    </row>
    <row r="2897" spans="1:13" x14ac:dyDescent="0.25">
      <c r="A2897" s="2"/>
      <c r="D2897" s="2"/>
      <c r="G2897" s="2"/>
      <c r="J2897" s="2"/>
      <c r="M2897" s="2"/>
    </row>
    <row r="2898" spans="1:13" x14ac:dyDescent="0.25">
      <c r="A2898" s="2"/>
      <c r="D2898" s="2"/>
      <c r="G2898" s="2"/>
      <c r="J2898" s="2"/>
      <c r="M2898" s="2"/>
    </row>
    <row r="2899" spans="1:13" x14ac:dyDescent="0.25">
      <c r="A2899" s="2"/>
      <c r="D2899" s="2"/>
      <c r="G2899" s="2"/>
      <c r="J2899" s="2"/>
      <c r="M2899" s="2"/>
    </row>
    <row r="2900" spans="1:13" x14ac:dyDescent="0.25">
      <c r="A2900" s="2"/>
      <c r="D2900" s="2"/>
      <c r="G2900" s="2"/>
      <c r="J2900" s="2"/>
      <c r="M2900" s="2"/>
    </row>
    <row r="2901" spans="1:13" x14ac:dyDescent="0.25">
      <c r="A2901" s="2"/>
      <c r="D2901" s="2"/>
      <c r="G2901" s="2"/>
      <c r="J2901" s="2"/>
      <c r="M2901" s="2"/>
    </row>
    <row r="2902" spans="1:13" x14ac:dyDescent="0.25">
      <c r="A2902" s="2"/>
      <c r="D2902" s="2"/>
      <c r="G2902" s="2"/>
      <c r="J2902" s="2"/>
      <c r="M2902" s="2"/>
    </row>
    <row r="2903" spans="1:13" x14ac:dyDescent="0.25">
      <c r="A2903" s="2"/>
      <c r="D2903" s="2"/>
      <c r="G2903" s="2"/>
      <c r="J2903" s="2"/>
      <c r="M2903" s="2"/>
    </row>
    <row r="2904" spans="1:13" x14ac:dyDescent="0.25">
      <c r="A2904" s="2"/>
      <c r="D2904" s="2"/>
      <c r="G2904" s="2"/>
      <c r="J2904" s="2"/>
      <c r="M2904" s="2"/>
    </row>
    <row r="2905" spans="1:13" x14ac:dyDescent="0.25">
      <c r="A2905" s="2"/>
      <c r="D2905" s="2"/>
      <c r="G2905" s="2"/>
      <c r="J2905" s="2"/>
      <c r="M2905" s="2"/>
    </row>
    <row r="2906" spans="1:13" x14ac:dyDescent="0.25">
      <c r="A2906" s="2"/>
      <c r="D2906" s="2"/>
      <c r="G2906" s="2"/>
      <c r="J2906" s="2"/>
      <c r="M2906" s="2"/>
    </row>
    <row r="2907" spans="1:13" x14ac:dyDescent="0.25">
      <c r="A2907" s="2"/>
      <c r="D2907" s="2"/>
      <c r="G2907" s="2"/>
      <c r="J2907" s="2"/>
      <c r="M2907" s="2"/>
    </row>
    <row r="2908" spans="1:13" x14ac:dyDescent="0.25">
      <c r="A2908" s="2"/>
      <c r="D2908" s="2"/>
      <c r="G2908" s="2"/>
      <c r="J2908" s="2"/>
      <c r="M2908" s="2"/>
    </row>
    <row r="2909" spans="1:13" x14ac:dyDescent="0.25">
      <c r="A2909" s="2"/>
      <c r="D2909" s="2"/>
      <c r="G2909" s="2"/>
      <c r="J2909" s="2"/>
      <c r="M2909" s="2"/>
    </row>
    <row r="2910" spans="1:13" x14ac:dyDescent="0.25">
      <c r="A2910" s="2"/>
      <c r="D2910" s="2"/>
      <c r="G2910" s="2"/>
      <c r="J2910" s="2"/>
      <c r="M2910" s="2"/>
    </row>
    <row r="2911" spans="1:13" x14ac:dyDescent="0.25">
      <c r="A2911" s="2"/>
      <c r="D2911" s="2"/>
      <c r="G2911" s="2"/>
      <c r="J2911" s="2"/>
      <c r="M2911" s="2"/>
    </row>
    <row r="2912" spans="1:13" x14ac:dyDescent="0.25">
      <c r="A2912" s="2"/>
      <c r="D2912" s="2"/>
      <c r="G2912" s="2"/>
      <c r="J2912" s="2"/>
      <c r="M2912" s="2"/>
    </row>
    <row r="2913" spans="1:13" x14ac:dyDescent="0.25">
      <c r="A2913" s="2"/>
      <c r="D2913" s="2"/>
      <c r="G2913" s="2"/>
      <c r="J2913" s="2"/>
      <c r="M2913" s="2"/>
    </row>
    <row r="2914" spans="1:13" x14ac:dyDescent="0.25">
      <c r="A2914" s="2"/>
      <c r="D2914" s="2"/>
      <c r="G2914" s="2"/>
      <c r="J2914" s="2"/>
      <c r="M2914" s="2"/>
    </row>
    <row r="2915" spans="1:13" x14ac:dyDescent="0.25">
      <c r="A2915" s="2"/>
      <c r="D2915" s="2"/>
      <c r="G2915" s="2"/>
      <c r="J2915" s="2"/>
      <c r="M2915" s="2"/>
    </row>
    <row r="2916" spans="1:13" x14ac:dyDescent="0.25">
      <c r="A2916" s="2"/>
      <c r="D2916" s="2"/>
      <c r="G2916" s="2"/>
      <c r="J2916" s="2"/>
      <c r="M2916" s="2"/>
    </row>
    <row r="2917" spans="1:13" x14ac:dyDescent="0.25">
      <c r="A2917" s="2"/>
      <c r="D2917" s="2"/>
      <c r="G2917" s="2"/>
      <c r="J2917" s="2"/>
      <c r="M2917" s="2"/>
    </row>
    <row r="2918" spans="1:13" x14ac:dyDescent="0.25">
      <c r="A2918" s="2"/>
      <c r="D2918" s="2"/>
      <c r="G2918" s="2"/>
      <c r="J2918" s="2"/>
      <c r="M2918" s="2"/>
    </row>
    <row r="2919" spans="1:13" x14ac:dyDescent="0.25">
      <c r="A2919" s="2"/>
      <c r="D2919" s="2"/>
      <c r="G2919" s="2"/>
      <c r="J2919" s="2"/>
      <c r="M2919" s="2"/>
    </row>
    <row r="2920" spans="1:13" x14ac:dyDescent="0.25">
      <c r="A2920" s="2"/>
      <c r="D2920" s="2"/>
      <c r="G2920" s="2"/>
      <c r="J2920" s="2"/>
      <c r="M2920" s="2"/>
    </row>
    <row r="2921" spans="1:13" x14ac:dyDescent="0.25">
      <c r="A2921" s="2"/>
      <c r="D2921" s="2"/>
      <c r="G2921" s="2"/>
      <c r="J2921" s="2"/>
      <c r="M2921" s="2"/>
    </row>
    <row r="2922" spans="1:13" x14ac:dyDescent="0.25">
      <c r="A2922" s="2"/>
      <c r="D2922" s="2"/>
      <c r="G2922" s="2"/>
      <c r="J2922" s="2"/>
      <c r="M2922" s="2"/>
    </row>
    <row r="2923" spans="1:13" x14ac:dyDescent="0.25">
      <c r="A2923" s="2"/>
      <c r="D2923" s="2"/>
      <c r="G2923" s="2"/>
      <c r="J2923" s="2"/>
      <c r="M2923" s="2"/>
    </row>
    <row r="2924" spans="1:13" x14ac:dyDescent="0.25">
      <c r="A2924" s="2"/>
      <c r="D2924" s="2"/>
      <c r="G2924" s="2"/>
      <c r="J2924" s="2"/>
      <c r="M2924" s="2"/>
    </row>
    <row r="2925" spans="1:13" x14ac:dyDescent="0.25">
      <c r="A2925" s="2"/>
      <c r="D2925" s="2"/>
      <c r="G2925" s="2"/>
      <c r="J2925" s="2"/>
      <c r="M2925" s="2"/>
    </row>
    <row r="2926" spans="1:13" x14ac:dyDescent="0.25">
      <c r="A2926" s="2"/>
      <c r="D2926" s="2"/>
      <c r="G2926" s="2"/>
      <c r="J2926" s="2"/>
      <c r="M2926" s="2"/>
    </row>
    <row r="2927" spans="1:13" x14ac:dyDescent="0.25">
      <c r="A2927" s="2"/>
      <c r="D2927" s="2"/>
      <c r="G2927" s="2"/>
      <c r="J2927" s="2"/>
      <c r="M2927" s="2"/>
    </row>
    <row r="2928" spans="1:13" x14ac:dyDescent="0.25">
      <c r="A2928" s="2"/>
      <c r="D2928" s="2"/>
      <c r="G2928" s="2"/>
      <c r="J2928" s="2"/>
      <c r="M2928" s="2"/>
    </row>
    <row r="2929" spans="1:13" x14ac:dyDescent="0.25">
      <c r="A2929" s="2"/>
      <c r="D2929" s="2"/>
      <c r="G2929" s="2"/>
      <c r="J2929" s="2"/>
      <c r="M2929" s="2"/>
    </row>
    <row r="2930" spans="1:13" x14ac:dyDescent="0.25">
      <c r="A2930" s="2"/>
      <c r="D2930" s="2"/>
      <c r="G2930" s="2"/>
      <c r="J2930" s="2"/>
      <c r="M2930" s="2"/>
    </row>
    <row r="2931" spans="1:13" x14ac:dyDescent="0.25">
      <c r="A2931" s="2"/>
      <c r="D2931" s="2"/>
      <c r="G2931" s="2"/>
      <c r="J2931" s="2"/>
      <c r="M2931" s="2"/>
    </row>
    <row r="2932" spans="1:13" x14ac:dyDescent="0.25">
      <c r="A2932" s="2"/>
      <c r="D2932" s="2"/>
      <c r="G2932" s="2"/>
      <c r="J2932" s="2"/>
      <c r="M2932" s="2"/>
    </row>
    <row r="2933" spans="1:13" x14ac:dyDescent="0.25">
      <c r="A2933" s="2"/>
      <c r="D2933" s="2"/>
      <c r="G2933" s="2"/>
      <c r="J2933" s="2"/>
      <c r="M2933" s="2"/>
    </row>
    <row r="2934" spans="1:13" x14ac:dyDescent="0.25">
      <c r="A2934" s="2"/>
      <c r="D2934" s="2"/>
      <c r="G2934" s="2"/>
      <c r="J2934" s="2"/>
      <c r="M2934" s="2"/>
    </row>
    <row r="2935" spans="1:13" x14ac:dyDescent="0.25">
      <c r="A2935" s="2"/>
      <c r="D2935" s="2"/>
      <c r="G2935" s="2"/>
      <c r="J2935" s="2"/>
      <c r="M2935" s="2"/>
    </row>
    <row r="2936" spans="1:13" x14ac:dyDescent="0.25">
      <c r="A2936" s="2"/>
      <c r="D2936" s="2"/>
      <c r="G2936" s="2"/>
      <c r="J2936" s="2"/>
      <c r="M2936" s="2"/>
    </row>
    <row r="2937" spans="1:13" x14ac:dyDescent="0.25">
      <c r="A2937" s="2"/>
      <c r="D2937" s="2"/>
      <c r="G2937" s="2"/>
      <c r="J2937" s="2"/>
      <c r="M2937" s="2"/>
    </row>
    <row r="2938" spans="1:13" x14ac:dyDescent="0.25">
      <c r="A2938" s="2"/>
      <c r="D2938" s="2"/>
      <c r="G2938" s="2"/>
      <c r="J2938" s="2"/>
      <c r="M2938" s="2"/>
    </row>
    <row r="2939" spans="1:13" x14ac:dyDescent="0.25">
      <c r="A2939" s="2"/>
      <c r="D2939" s="2"/>
      <c r="G2939" s="2"/>
      <c r="J2939" s="2"/>
      <c r="M2939" s="2"/>
    </row>
    <row r="2940" spans="1:13" x14ac:dyDescent="0.25">
      <c r="A2940" s="2"/>
      <c r="D2940" s="2"/>
      <c r="G2940" s="2"/>
      <c r="J2940" s="2"/>
      <c r="M2940" s="2"/>
    </row>
    <row r="2941" spans="1:13" x14ac:dyDescent="0.25">
      <c r="A2941" s="2"/>
      <c r="D2941" s="2"/>
      <c r="G2941" s="2"/>
      <c r="J2941" s="2"/>
      <c r="M2941" s="2"/>
    </row>
    <row r="2942" spans="1:13" x14ac:dyDescent="0.25">
      <c r="A2942" s="2"/>
      <c r="D2942" s="2"/>
      <c r="G2942" s="2"/>
      <c r="J2942" s="2"/>
      <c r="M2942" s="2"/>
    </row>
    <row r="2943" spans="1:13" x14ac:dyDescent="0.25">
      <c r="A2943" s="2"/>
      <c r="D2943" s="2"/>
      <c r="G2943" s="2"/>
      <c r="J2943" s="2"/>
      <c r="M2943" s="2"/>
    </row>
    <row r="2944" spans="1:13" x14ac:dyDescent="0.25">
      <c r="A2944" s="2"/>
      <c r="D2944" s="2"/>
      <c r="G2944" s="2"/>
      <c r="J2944" s="2"/>
      <c r="M2944" s="2"/>
    </row>
    <row r="2945" spans="1:13" x14ac:dyDescent="0.25">
      <c r="A2945" s="2"/>
      <c r="D2945" s="2"/>
      <c r="G2945" s="2"/>
      <c r="J2945" s="2"/>
      <c r="M2945" s="2"/>
    </row>
    <row r="2946" spans="1:13" x14ac:dyDescent="0.25">
      <c r="A2946" s="2"/>
      <c r="D2946" s="2"/>
      <c r="G2946" s="2"/>
      <c r="J2946" s="2"/>
      <c r="M2946" s="2"/>
    </row>
    <row r="2947" spans="1:13" x14ac:dyDescent="0.25">
      <c r="A2947" s="2"/>
      <c r="D2947" s="2"/>
      <c r="G2947" s="2"/>
      <c r="J2947" s="2"/>
      <c r="M2947" s="2"/>
    </row>
    <row r="2948" spans="1:13" x14ac:dyDescent="0.25">
      <c r="A2948" s="2"/>
      <c r="D2948" s="2"/>
      <c r="G2948" s="2"/>
      <c r="J2948" s="2"/>
      <c r="M2948" s="2"/>
    </row>
    <row r="2949" spans="1:13" x14ac:dyDescent="0.25">
      <c r="A2949" s="2"/>
      <c r="D2949" s="2"/>
      <c r="G2949" s="2"/>
      <c r="J2949" s="2"/>
      <c r="M2949" s="2"/>
    </row>
    <row r="2950" spans="1:13" x14ac:dyDescent="0.25">
      <c r="A2950" s="2"/>
      <c r="D2950" s="2"/>
      <c r="G2950" s="2"/>
      <c r="J2950" s="2"/>
      <c r="M2950" s="2"/>
    </row>
    <row r="2951" spans="1:13" x14ac:dyDescent="0.25">
      <c r="A2951" s="2"/>
      <c r="D2951" s="2"/>
      <c r="G2951" s="2"/>
      <c r="J2951" s="2"/>
      <c r="M2951" s="2"/>
    </row>
    <row r="2952" spans="1:13" x14ac:dyDescent="0.25">
      <c r="A2952" s="2"/>
      <c r="D2952" s="2"/>
      <c r="G2952" s="2"/>
      <c r="J2952" s="2"/>
      <c r="M2952" s="2"/>
    </row>
    <row r="2953" spans="1:13" x14ac:dyDescent="0.25">
      <c r="A2953" s="2"/>
      <c r="D2953" s="2"/>
      <c r="G2953" s="2"/>
      <c r="J2953" s="2"/>
      <c r="M2953" s="2"/>
    </row>
    <row r="2954" spans="1:13" x14ac:dyDescent="0.25">
      <c r="A2954" s="2"/>
      <c r="D2954" s="2"/>
      <c r="G2954" s="2"/>
      <c r="J2954" s="2"/>
      <c r="M2954" s="2"/>
    </row>
    <row r="2955" spans="1:13" x14ac:dyDescent="0.25">
      <c r="A2955" s="2"/>
      <c r="D2955" s="2"/>
      <c r="G2955" s="2"/>
      <c r="J2955" s="2"/>
      <c r="M2955" s="2"/>
    </row>
    <row r="2956" spans="1:13" x14ac:dyDescent="0.25">
      <c r="A2956" s="2"/>
      <c r="D2956" s="2"/>
      <c r="G2956" s="2"/>
      <c r="J2956" s="2"/>
      <c r="M2956" s="2"/>
    </row>
    <row r="2957" spans="1:13" x14ac:dyDescent="0.25">
      <c r="A2957" s="2"/>
      <c r="D2957" s="2"/>
      <c r="G2957" s="2"/>
      <c r="J2957" s="2"/>
      <c r="M2957" s="2"/>
    </row>
    <row r="2958" spans="1:13" x14ac:dyDescent="0.25">
      <c r="A2958" s="2"/>
      <c r="D2958" s="2"/>
      <c r="G2958" s="2"/>
      <c r="J2958" s="2"/>
      <c r="M2958" s="2"/>
    </row>
    <row r="2959" spans="1:13" x14ac:dyDescent="0.25">
      <c r="A2959" s="2"/>
      <c r="D2959" s="2"/>
      <c r="G2959" s="2"/>
      <c r="J2959" s="2"/>
      <c r="M2959" s="2"/>
    </row>
    <row r="2960" spans="1:13" x14ac:dyDescent="0.25">
      <c r="A2960" s="2"/>
      <c r="D2960" s="2"/>
      <c r="G2960" s="2"/>
      <c r="J2960" s="2"/>
      <c r="M2960" s="2"/>
    </row>
    <row r="2961" spans="1:13" x14ac:dyDescent="0.25">
      <c r="A2961" s="2"/>
      <c r="D2961" s="2"/>
      <c r="G2961" s="2"/>
      <c r="J2961" s="2"/>
      <c r="M2961" s="2"/>
    </row>
    <row r="2962" spans="1:13" x14ac:dyDescent="0.25">
      <c r="A2962" s="2"/>
      <c r="D2962" s="2"/>
      <c r="G2962" s="2"/>
      <c r="J2962" s="2"/>
      <c r="M2962" s="2"/>
    </row>
    <row r="2963" spans="1:13" x14ac:dyDescent="0.25">
      <c r="A2963" s="2"/>
      <c r="D2963" s="2"/>
      <c r="G2963" s="2"/>
      <c r="J2963" s="2"/>
      <c r="M2963" s="2"/>
    </row>
    <row r="2964" spans="1:13" x14ac:dyDescent="0.25">
      <c r="A2964" s="2"/>
      <c r="D2964" s="2"/>
      <c r="G2964" s="2"/>
      <c r="J2964" s="2"/>
      <c r="M2964" s="2"/>
    </row>
    <row r="2965" spans="1:13" x14ac:dyDescent="0.25">
      <c r="A2965" s="2"/>
      <c r="D2965" s="2"/>
      <c r="G2965" s="2"/>
      <c r="J2965" s="2"/>
      <c r="M2965" s="2"/>
    </row>
    <row r="2966" spans="1:13" x14ac:dyDescent="0.25">
      <c r="A2966" s="2"/>
      <c r="D2966" s="2"/>
      <c r="G2966" s="2"/>
      <c r="J2966" s="2"/>
      <c r="M2966" s="2"/>
    </row>
    <row r="2967" spans="1:13" x14ac:dyDescent="0.25">
      <c r="A2967" s="2"/>
      <c r="D2967" s="2"/>
      <c r="G2967" s="2"/>
      <c r="J2967" s="2"/>
      <c r="M2967" s="2"/>
    </row>
    <row r="2968" spans="1:13" x14ac:dyDescent="0.25">
      <c r="A2968" s="2"/>
      <c r="D2968" s="2"/>
      <c r="G2968" s="2"/>
      <c r="J2968" s="2"/>
      <c r="M2968" s="2"/>
    </row>
    <row r="2969" spans="1:13" x14ac:dyDescent="0.25">
      <c r="A2969" s="2"/>
      <c r="D2969" s="2"/>
      <c r="G2969" s="2"/>
      <c r="J2969" s="2"/>
      <c r="M2969" s="2"/>
    </row>
    <row r="2970" spans="1:13" x14ac:dyDescent="0.25">
      <c r="A2970" s="2"/>
      <c r="D2970" s="2"/>
      <c r="G2970" s="2"/>
      <c r="J2970" s="2"/>
      <c r="M2970" s="2"/>
    </row>
    <row r="2971" spans="1:13" x14ac:dyDescent="0.25">
      <c r="A2971" s="2"/>
      <c r="D2971" s="2"/>
      <c r="G2971" s="2"/>
      <c r="J2971" s="2"/>
      <c r="M2971" s="2"/>
    </row>
    <row r="2972" spans="1:13" x14ac:dyDescent="0.25">
      <c r="A2972" s="2"/>
      <c r="D2972" s="2"/>
      <c r="G2972" s="2"/>
      <c r="J2972" s="2"/>
      <c r="M2972" s="2"/>
    </row>
    <row r="2973" spans="1:13" x14ac:dyDescent="0.25">
      <c r="A2973" s="2"/>
      <c r="D2973" s="2"/>
      <c r="G2973" s="2"/>
      <c r="J2973" s="2"/>
      <c r="M2973" s="2"/>
    </row>
    <row r="2974" spans="1:13" x14ac:dyDescent="0.25">
      <c r="A2974" s="2"/>
      <c r="D2974" s="2"/>
      <c r="G2974" s="2"/>
      <c r="J2974" s="2"/>
      <c r="M2974" s="2"/>
    </row>
    <row r="2975" spans="1:13" x14ac:dyDescent="0.25">
      <c r="A2975" s="2"/>
      <c r="D2975" s="2"/>
      <c r="G2975" s="2"/>
      <c r="J2975" s="2"/>
      <c r="M2975" s="2"/>
    </row>
    <row r="2976" spans="1:13" x14ac:dyDescent="0.25">
      <c r="A2976" s="2"/>
      <c r="D2976" s="2"/>
      <c r="G2976" s="2"/>
      <c r="J2976" s="2"/>
      <c r="M2976" s="2"/>
    </row>
    <row r="2977" spans="1:13" x14ac:dyDescent="0.25">
      <c r="A2977" s="2"/>
      <c r="D2977" s="2"/>
      <c r="G2977" s="2"/>
      <c r="J2977" s="2"/>
      <c r="M2977" s="2"/>
    </row>
    <row r="2978" spans="1:13" x14ac:dyDescent="0.25">
      <c r="A2978" s="2"/>
      <c r="D2978" s="2"/>
      <c r="G2978" s="2"/>
      <c r="J2978" s="2"/>
      <c r="M2978" s="2"/>
    </row>
    <row r="2979" spans="1:13" x14ac:dyDescent="0.25">
      <c r="A2979" s="2"/>
      <c r="D2979" s="2"/>
      <c r="G2979" s="2"/>
      <c r="J2979" s="2"/>
      <c r="M2979" s="2"/>
    </row>
    <row r="2980" spans="1:13" x14ac:dyDescent="0.25">
      <c r="A2980" s="2"/>
      <c r="D2980" s="2"/>
      <c r="G2980" s="2"/>
      <c r="J2980" s="2"/>
      <c r="M2980" s="2"/>
    </row>
    <row r="2981" spans="1:13" x14ac:dyDescent="0.25">
      <c r="A2981" s="2"/>
      <c r="D2981" s="2"/>
      <c r="G2981" s="2"/>
      <c r="J2981" s="2"/>
      <c r="M2981" s="2"/>
    </row>
    <row r="2982" spans="1:13" x14ac:dyDescent="0.25">
      <c r="A2982" s="2"/>
      <c r="D2982" s="2"/>
      <c r="G2982" s="2"/>
      <c r="J2982" s="2"/>
      <c r="M2982" s="2"/>
    </row>
    <row r="2983" spans="1:13" x14ac:dyDescent="0.25">
      <c r="A2983" s="2"/>
      <c r="D2983" s="2"/>
      <c r="G2983" s="2"/>
      <c r="J2983" s="2"/>
      <c r="M2983" s="2"/>
    </row>
    <row r="2984" spans="1:13" x14ac:dyDescent="0.25">
      <c r="A2984" s="2"/>
      <c r="D2984" s="2"/>
      <c r="G2984" s="2"/>
      <c r="J2984" s="2"/>
      <c r="M2984" s="2"/>
    </row>
    <row r="2985" spans="1:13" x14ac:dyDescent="0.25">
      <c r="A2985" s="2"/>
      <c r="D2985" s="2"/>
      <c r="G2985" s="2"/>
      <c r="J2985" s="2"/>
      <c r="M2985" s="2"/>
    </row>
    <row r="2986" spans="1:13" x14ac:dyDescent="0.25">
      <c r="A2986" s="2"/>
      <c r="D2986" s="2"/>
      <c r="G2986" s="2"/>
      <c r="J2986" s="2"/>
      <c r="M2986" s="2"/>
    </row>
    <row r="2987" spans="1:13" x14ac:dyDescent="0.25">
      <c r="A2987" s="2"/>
      <c r="D2987" s="2"/>
      <c r="G2987" s="2"/>
      <c r="J2987" s="2"/>
      <c r="M2987" s="2"/>
    </row>
    <row r="2988" spans="1:13" x14ac:dyDescent="0.25">
      <c r="A2988" s="2"/>
      <c r="D2988" s="2"/>
      <c r="G2988" s="2"/>
      <c r="J2988" s="2"/>
      <c r="M2988" s="2"/>
    </row>
    <row r="2989" spans="1:13" x14ac:dyDescent="0.25">
      <c r="A2989" s="2"/>
      <c r="D2989" s="2"/>
      <c r="G2989" s="2"/>
      <c r="J2989" s="2"/>
      <c r="M2989" s="2"/>
    </row>
    <row r="2990" spans="1:13" x14ac:dyDescent="0.25">
      <c r="A2990" s="2"/>
      <c r="D2990" s="2"/>
      <c r="G2990" s="2"/>
      <c r="J2990" s="2"/>
      <c r="M2990" s="2"/>
    </row>
    <row r="2991" spans="1:13" x14ac:dyDescent="0.25">
      <c r="A2991" s="2"/>
      <c r="D2991" s="2"/>
      <c r="G2991" s="2"/>
      <c r="J2991" s="2"/>
      <c r="M2991" s="2"/>
    </row>
    <row r="2992" spans="1:13" x14ac:dyDescent="0.25">
      <c r="A2992" s="2"/>
      <c r="D2992" s="2"/>
      <c r="G2992" s="2"/>
      <c r="J2992" s="2"/>
      <c r="M2992" s="2"/>
    </row>
    <row r="2993" spans="1:13" x14ac:dyDescent="0.25">
      <c r="A2993" s="2"/>
      <c r="D2993" s="2"/>
      <c r="G2993" s="2"/>
      <c r="J2993" s="2"/>
      <c r="M2993" s="2"/>
    </row>
    <row r="2994" spans="1:13" x14ac:dyDescent="0.25">
      <c r="A2994" s="2"/>
      <c r="D2994" s="2"/>
      <c r="G2994" s="2"/>
      <c r="J2994" s="2"/>
      <c r="M2994" s="2"/>
    </row>
    <row r="2995" spans="1:13" x14ac:dyDescent="0.25">
      <c r="A2995" s="2"/>
      <c r="D2995" s="2"/>
      <c r="G2995" s="2"/>
      <c r="J2995" s="2"/>
      <c r="M2995" s="2"/>
    </row>
    <row r="2996" spans="1:13" x14ac:dyDescent="0.25">
      <c r="A2996" s="2"/>
      <c r="D2996" s="2"/>
      <c r="G2996" s="2"/>
      <c r="J2996" s="2"/>
      <c r="M2996" s="2"/>
    </row>
    <row r="2997" spans="1:13" x14ac:dyDescent="0.25">
      <c r="A2997" s="2"/>
      <c r="D2997" s="2"/>
      <c r="G2997" s="2"/>
      <c r="J2997" s="2"/>
      <c r="M2997" s="2"/>
    </row>
    <row r="2998" spans="1:13" x14ac:dyDescent="0.25">
      <c r="A2998" s="2"/>
      <c r="D2998" s="2"/>
      <c r="G2998" s="2"/>
      <c r="J2998" s="2"/>
      <c r="M2998" s="2"/>
    </row>
    <row r="2999" spans="1:13" x14ac:dyDescent="0.25">
      <c r="A2999" s="2"/>
      <c r="D2999" s="2"/>
      <c r="G2999" s="2"/>
      <c r="J2999" s="2"/>
      <c r="M2999" s="2"/>
    </row>
    <row r="3000" spans="1:13" x14ac:dyDescent="0.25">
      <c r="A3000" s="2"/>
      <c r="D3000" s="2"/>
      <c r="G3000" s="2"/>
      <c r="J3000" s="2"/>
      <c r="M3000" s="2"/>
    </row>
    <row r="3001" spans="1:13" x14ac:dyDescent="0.25">
      <c r="A3001" s="2"/>
      <c r="D3001" s="2"/>
      <c r="G3001" s="2"/>
      <c r="J3001" s="2"/>
      <c r="M3001" s="2"/>
    </row>
    <row r="3002" spans="1:13" x14ac:dyDescent="0.25">
      <c r="A3002" s="2"/>
      <c r="D3002" s="2"/>
      <c r="G3002" s="2"/>
      <c r="J3002" s="2"/>
      <c r="M3002" s="2"/>
    </row>
    <row r="3003" spans="1:13" x14ac:dyDescent="0.25">
      <c r="A3003" s="2"/>
      <c r="D3003" s="2"/>
      <c r="G3003" s="2"/>
      <c r="J3003" s="2"/>
      <c r="M3003" s="2"/>
    </row>
    <row r="3004" spans="1:13" x14ac:dyDescent="0.25">
      <c r="A3004" s="2"/>
      <c r="D3004" s="2"/>
      <c r="G3004" s="2"/>
      <c r="J3004" s="2"/>
      <c r="M3004" s="2"/>
    </row>
    <row r="3005" spans="1:13" x14ac:dyDescent="0.25">
      <c r="A3005" s="2"/>
      <c r="D3005" s="2"/>
      <c r="G3005" s="2"/>
      <c r="J3005" s="2"/>
      <c r="M3005" s="2"/>
    </row>
    <row r="3006" spans="1:13" x14ac:dyDescent="0.25">
      <c r="A3006" s="2"/>
      <c r="D3006" s="2"/>
      <c r="G3006" s="2"/>
      <c r="J3006" s="2"/>
      <c r="M3006" s="2"/>
    </row>
    <row r="3007" spans="1:13" x14ac:dyDescent="0.25">
      <c r="A3007" s="2"/>
      <c r="D3007" s="2"/>
      <c r="G3007" s="2"/>
      <c r="J3007" s="2"/>
      <c r="M3007" s="2"/>
    </row>
    <row r="3008" spans="1:13" x14ac:dyDescent="0.25">
      <c r="A3008" s="2"/>
      <c r="D3008" s="2"/>
      <c r="G3008" s="2"/>
      <c r="J3008" s="2"/>
      <c r="M3008" s="2"/>
    </row>
    <row r="3009" spans="1:13" x14ac:dyDescent="0.25">
      <c r="A3009" s="2"/>
      <c r="D3009" s="2"/>
      <c r="G3009" s="2"/>
      <c r="J3009" s="2"/>
      <c r="M3009" s="2"/>
    </row>
    <row r="3010" spans="1:13" x14ac:dyDescent="0.25">
      <c r="A3010" s="2"/>
      <c r="D3010" s="2"/>
      <c r="G3010" s="2"/>
      <c r="J3010" s="2"/>
      <c r="M3010" s="2"/>
    </row>
    <row r="3011" spans="1:13" x14ac:dyDescent="0.25">
      <c r="A3011" s="2"/>
      <c r="D3011" s="2"/>
      <c r="G3011" s="2"/>
      <c r="J3011" s="2"/>
      <c r="M3011" s="2"/>
    </row>
    <row r="3012" spans="1:13" x14ac:dyDescent="0.25">
      <c r="A3012" s="2"/>
      <c r="D3012" s="2"/>
      <c r="G3012" s="2"/>
      <c r="J3012" s="2"/>
      <c r="M3012" s="2"/>
    </row>
    <row r="3013" spans="1:13" x14ac:dyDescent="0.25">
      <c r="A3013" s="2"/>
      <c r="D3013" s="2"/>
      <c r="G3013" s="2"/>
      <c r="J3013" s="2"/>
      <c r="M3013" s="2"/>
    </row>
    <row r="3014" spans="1:13" x14ac:dyDescent="0.25">
      <c r="A3014" s="2"/>
      <c r="D3014" s="2"/>
      <c r="G3014" s="2"/>
      <c r="J3014" s="2"/>
      <c r="M3014" s="2"/>
    </row>
    <row r="3015" spans="1:13" x14ac:dyDescent="0.25">
      <c r="A3015" s="2"/>
      <c r="D3015" s="2"/>
      <c r="G3015" s="2"/>
      <c r="J3015" s="2"/>
      <c r="M3015" s="2"/>
    </row>
    <row r="3016" spans="1:13" x14ac:dyDescent="0.25">
      <c r="A3016" s="2"/>
      <c r="D3016" s="2"/>
      <c r="G3016" s="2"/>
      <c r="J3016" s="2"/>
      <c r="M3016" s="2"/>
    </row>
    <row r="3017" spans="1:13" x14ac:dyDescent="0.25">
      <c r="A3017" s="2"/>
      <c r="D3017" s="2"/>
      <c r="G3017" s="2"/>
      <c r="J3017" s="2"/>
      <c r="M3017" s="2"/>
    </row>
    <row r="3018" spans="1:13" x14ac:dyDescent="0.25">
      <c r="A3018" s="2"/>
      <c r="D3018" s="2"/>
      <c r="G3018" s="2"/>
      <c r="J3018" s="2"/>
      <c r="M3018" s="2"/>
    </row>
    <row r="3019" spans="1:13" x14ac:dyDescent="0.25">
      <c r="A3019" s="2"/>
      <c r="D3019" s="2"/>
      <c r="G3019" s="2"/>
      <c r="J3019" s="2"/>
      <c r="M3019" s="2"/>
    </row>
    <row r="3020" spans="1:13" x14ac:dyDescent="0.25">
      <c r="A3020" s="2"/>
      <c r="D3020" s="2"/>
      <c r="G3020" s="2"/>
      <c r="J3020" s="2"/>
      <c r="M3020" s="2"/>
    </row>
    <row r="3021" spans="1:13" x14ac:dyDescent="0.25">
      <c r="A3021" s="2"/>
      <c r="D3021" s="2"/>
      <c r="G3021" s="2"/>
      <c r="J3021" s="2"/>
      <c r="M3021" s="2"/>
    </row>
    <row r="3022" spans="1:13" x14ac:dyDescent="0.25">
      <c r="A3022" s="2"/>
      <c r="D3022" s="2"/>
      <c r="G3022" s="2"/>
      <c r="J3022" s="2"/>
      <c r="M3022" s="2"/>
    </row>
    <row r="3023" spans="1:13" x14ac:dyDescent="0.25">
      <c r="A3023" s="2"/>
      <c r="D3023" s="2"/>
      <c r="G3023" s="2"/>
      <c r="J3023" s="2"/>
      <c r="M3023" s="2"/>
    </row>
    <row r="3024" spans="1:13" x14ac:dyDescent="0.25">
      <c r="A3024" s="2"/>
      <c r="D3024" s="2"/>
      <c r="G3024" s="2"/>
      <c r="J3024" s="2"/>
      <c r="M3024" s="2"/>
    </row>
    <row r="3025" spans="1:13" x14ac:dyDescent="0.25">
      <c r="A3025" s="2"/>
      <c r="D3025" s="2"/>
      <c r="G3025" s="2"/>
      <c r="J3025" s="2"/>
      <c r="M3025" s="2"/>
    </row>
    <row r="3026" spans="1:13" x14ac:dyDescent="0.25">
      <c r="A3026" s="2"/>
      <c r="D3026" s="2"/>
      <c r="G3026" s="2"/>
      <c r="J3026" s="2"/>
      <c r="M3026" s="2"/>
    </row>
    <row r="3027" spans="1:13" x14ac:dyDescent="0.25">
      <c r="A3027" s="2"/>
      <c r="D3027" s="2"/>
      <c r="G3027" s="2"/>
      <c r="J3027" s="2"/>
      <c r="M3027" s="2"/>
    </row>
    <row r="3028" spans="1:13" x14ac:dyDescent="0.25">
      <c r="A3028" s="2"/>
      <c r="D3028" s="2"/>
      <c r="G3028" s="2"/>
      <c r="J3028" s="2"/>
      <c r="M3028" s="2"/>
    </row>
    <row r="3029" spans="1:13" x14ac:dyDescent="0.25">
      <c r="A3029" s="2"/>
      <c r="D3029" s="2"/>
      <c r="G3029" s="2"/>
      <c r="J3029" s="2"/>
      <c r="M3029" s="2"/>
    </row>
    <row r="3030" spans="1:13" x14ac:dyDescent="0.25">
      <c r="A3030" s="2"/>
      <c r="D3030" s="2"/>
      <c r="G3030" s="2"/>
      <c r="J3030" s="2"/>
      <c r="M3030" s="2"/>
    </row>
    <row r="3031" spans="1:13" x14ac:dyDescent="0.25">
      <c r="A3031" s="2"/>
      <c r="D3031" s="2"/>
      <c r="G3031" s="2"/>
      <c r="J3031" s="2"/>
      <c r="M3031" s="2"/>
    </row>
    <row r="3032" spans="1:13" x14ac:dyDescent="0.25">
      <c r="A3032" s="2"/>
      <c r="D3032" s="2"/>
      <c r="G3032" s="2"/>
      <c r="J3032" s="2"/>
      <c r="M3032" s="2"/>
    </row>
    <row r="3033" spans="1:13" x14ac:dyDescent="0.25">
      <c r="A3033" s="2"/>
      <c r="D3033" s="2"/>
      <c r="G3033" s="2"/>
      <c r="J3033" s="2"/>
      <c r="M3033" s="2"/>
    </row>
    <row r="3034" spans="1:13" x14ac:dyDescent="0.25">
      <c r="A3034" s="2"/>
      <c r="D3034" s="2"/>
      <c r="G3034" s="2"/>
      <c r="J3034" s="2"/>
      <c r="M3034" s="2"/>
    </row>
    <row r="3035" spans="1:13" x14ac:dyDescent="0.25">
      <c r="A3035" s="2"/>
      <c r="D3035" s="2"/>
      <c r="G3035" s="2"/>
      <c r="J3035" s="2"/>
      <c r="M3035" s="2"/>
    </row>
    <row r="3036" spans="1:13" x14ac:dyDescent="0.25">
      <c r="A3036" s="2"/>
      <c r="D3036" s="2"/>
      <c r="G3036" s="2"/>
      <c r="J3036" s="2"/>
      <c r="M3036" s="2"/>
    </row>
    <row r="3037" spans="1:13" x14ac:dyDescent="0.25">
      <c r="A3037" s="2"/>
      <c r="D3037" s="2"/>
      <c r="G3037" s="2"/>
      <c r="J3037" s="2"/>
      <c r="M3037" s="2"/>
    </row>
    <row r="3038" spans="1:13" x14ac:dyDescent="0.25">
      <c r="A3038" s="2"/>
      <c r="D3038" s="2"/>
      <c r="G3038" s="2"/>
      <c r="J3038" s="2"/>
      <c r="M3038" s="2"/>
    </row>
    <row r="3039" spans="1:13" x14ac:dyDescent="0.25">
      <c r="A3039" s="2"/>
      <c r="D3039" s="2"/>
      <c r="G3039" s="2"/>
      <c r="J3039" s="2"/>
      <c r="M3039" s="2"/>
    </row>
    <row r="3040" spans="1:13" x14ac:dyDescent="0.25">
      <c r="A3040" s="2"/>
      <c r="D3040" s="2"/>
      <c r="G3040" s="2"/>
      <c r="J3040" s="2"/>
      <c r="M3040" s="2"/>
    </row>
    <row r="3041" spans="1:13" x14ac:dyDescent="0.25">
      <c r="A3041" s="2"/>
      <c r="D3041" s="2"/>
      <c r="G3041" s="2"/>
      <c r="J3041" s="2"/>
      <c r="M3041" s="2"/>
    </row>
    <row r="3042" spans="1:13" x14ac:dyDescent="0.25">
      <c r="A3042" s="2"/>
      <c r="D3042" s="2"/>
      <c r="G3042" s="2"/>
      <c r="J3042" s="2"/>
      <c r="M3042" s="2"/>
    </row>
    <row r="3043" spans="1:13" x14ac:dyDescent="0.25">
      <c r="A3043" s="2"/>
      <c r="D3043" s="2"/>
      <c r="G3043" s="2"/>
      <c r="J3043" s="2"/>
      <c r="M3043" s="2"/>
    </row>
    <row r="3044" spans="1:13" x14ac:dyDescent="0.25">
      <c r="A3044" s="2"/>
      <c r="D3044" s="2"/>
      <c r="G3044" s="2"/>
      <c r="J3044" s="2"/>
      <c r="M3044" s="2"/>
    </row>
    <row r="3045" spans="1:13" x14ac:dyDescent="0.25">
      <c r="A3045" s="2"/>
      <c r="D3045" s="2"/>
      <c r="G3045" s="2"/>
      <c r="J3045" s="2"/>
      <c r="M3045" s="2"/>
    </row>
    <row r="3046" spans="1:13" x14ac:dyDescent="0.25">
      <c r="A3046" s="2"/>
      <c r="D3046" s="2"/>
      <c r="G3046" s="2"/>
      <c r="J3046" s="2"/>
      <c r="M3046" s="2"/>
    </row>
    <row r="3047" spans="1:13" x14ac:dyDescent="0.25">
      <c r="A3047" s="2"/>
      <c r="D3047" s="2"/>
      <c r="G3047" s="2"/>
      <c r="J3047" s="2"/>
      <c r="M3047" s="2"/>
    </row>
    <row r="3048" spans="1:13" x14ac:dyDescent="0.25">
      <c r="A3048" s="2"/>
      <c r="D3048" s="2"/>
      <c r="G3048" s="2"/>
      <c r="J3048" s="2"/>
      <c r="M3048" s="2"/>
    </row>
    <row r="3049" spans="1:13" x14ac:dyDescent="0.25">
      <c r="A3049" s="2"/>
      <c r="D3049" s="2"/>
      <c r="G3049" s="2"/>
      <c r="J3049" s="2"/>
      <c r="M3049" s="2"/>
    </row>
    <row r="3050" spans="1:13" x14ac:dyDescent="0.25">
      <c r="A3050" s="2"/>
      <c r="D3050" s="2"/>
      <c r="G3050" s="2"/>
      <c r="J3050" s="2"/>
      <c r="M3050" s="2"/>
    </row>
    <row r="3051" spans="1:13" x14ac:dyDescent="0.25">
      <c r="A3051" s="2"/>
      <c r="D3051" s="2"/>
      <c r="G3051" s="2"/>
      <c r="J3051" s="2"/>
      <c r="M3051" s="2"/>
    </row>
    <row r="3052" spans="1:13" x14ac:dyDescent="0.25">
      <c r="A3052" s="2"/>
      <c r="D3052" s="2"/>
      <c r="G3052" s="2"/>
      <c r="J3052" s="2"/>
      <c r="M3052" s="2"/>
    </row>
    <row r="3053" spans="1:13" x14ac:dyDescent="0.25">
      <c r="A3053" s="2"/>
      <c r="D3053" s="2"/>
      <c r="G3053" s="2"/>
      <c r="J3053" s="2"/>
      <c r="M3053" s="2"/>
    </row>
    <row r="3054" spans="1:13" x14ac:dyDescent="0.25">
      <c r="A3054" s="2"/>
      <c r="D3054" s="2"/>
      <c r="G3054" s="2"/>
      <c r="J3054" s="2"/>
      <c r="M3054" s="2"/>
    </row>
    <row r="3055" spans="1:13" x14ac:dyDescent="0.25">
      <c r="A3055" s="2"/>
      <c r="D3055" s="2"/>
      <c r="G3055" s="2"/>
      <c r="J3055" s="2"/>
      <c r="M3055" s="2"/>
    </row>
    <row r="3056" spans="1:13" x14ac:dyDescent="0.25">
      <c r="A3056" s="2"/>
      <c r="D3056" s="2"/>
      <c r="G3056" s="2"/>
      <c r="J3056" s="2"/>
      <c r="M3056" s="2"/>
    </row>
    <row r="3057" spans="1:13" x14ac:dyDescent="0.25">
      <c r="A3057" s="2"/>
      <c r="D3057" s="2"/>
      <c r="G3057" s="2"/>
      <c r="J3057" s="2"/>
      <c r="M3057" s="2"/>
    </row>
    <row r="3058" spans="1:13" x14ac:dyDescent="0.25">
      <c r="A3058" s="2"/>
      <c r="D3058" s="2"/>
      <c r="G3058" s="2"/>
      <c r="J3058" s="2"/>
      <c r="M3058" s="2"/>
    </row>
    <row r="3059" spans="1:13" x14ac:dyDescent="0.25">
      <c r="A3059" s="2"/>
      <c r="D3059" s="2"/>
      <c r="G3059" s="2"/>
      <c r="J3059" s="2"/>
      <c r="M3059" s="2"/>
    </row>
    <row r="3060" spans="1:13" x14ac:dyDescent="0.25">
      <c r="A3060" s="2"/>
      <c r="D3060" s="2"/>
      <c r="G3060" s="2"/>
      <c r="J3060" s="2"/>
      <c r="M3060" s="2"/>
    </row>
    <row r="3061" spans="1:13" x14ac:dyDescent="0.25">
      <c r="A3061" s="2"/>
      <c r="D3061" s="2"/>
      <c r="G3061" s="2"/>
      <c r="J3061" s="2"/>
      <c r="M3061" s="2"/>
    </row>
    <row r="3062" spans="1:13" x14ac:dyDescent="0.25">
      <c r="A3062" s="2"/>
      <c r="D3062" s="2"/>
      <c r="G3062" s="2"/>
      <c r="J3062" s="2"/>
      <c r="M3062" s="2"/>
    </row>
    <row r="3063" spans="1:13" x14ac:dyDescent="0.25">
      <c r="A3063" s="2"/>
      <c r="D3063" s="2"/>
      <c r="G3063" s="2"/>
      <c r="J3063" s="2"/>
      <c r="M3063" s="2"/>
    </row>
    <row r="3064" spans="1:13" x14ac:dyDescent="0.25">
      <c r="A3064" s="2"/>
      <c r="D3064" s="2"/>
      <c r="G3064" s="2"/>
      <c r="J3064" s="2"/>
      <c r="M3064" s="2"/>
    </row>
    <row r="3065" spans="1:13" x14ac:dyDescent="0.25">
      <c r="A3065" s="2"/>
      <c r="D3065" s="2"/>
      <c r="G3065" s="2"/>
      <c r="J3065" s="2"/>
      <c r="M3065" s="2"/>
    </row>
    <row r="3066" spans="1:13" x14ac:dyDescent="0.25">
      <c r="A3066" s="2"/>
      <c r="D3066" s="2"/>
      <c r="G3066" s="2"/>
      <c r="J3066" s="2"/>
      <c r="M3066" s="2"/>
    </row>
    <row r="3067" spans="1:13" x14ac:dyDescent="0.25">
      <c r="A3067" s="2"/>
      <c r="D3067" s="2"/>
      <c r="G3067" s="2"/>
      <c r="J3067" s="2"/>
      <c r="M3067" s="2"/>
    </row>
    <row r="3068" spans="1:13" x14ac:dyDescent="0.25">
      <c r="A3068" s="2"/>
      <c r="D3068" s="2"/>
      <c r="G3068" s="2"/>
      <c r="J3068" s="2"/>
      <c r="M3068" s="2"/>
    </row>
    <row r="3069" spans="1:13" x14ac:dyDescent="0.25">
      <c r="A3069" s="2"/>
      <c r="D3069" s="2"/>
      <c r="G3069" s="2"/>
      <c r="J3069" s="2"/>
      <c r="M3069" s="2"/>
    </row>
    <row r="3070" spans="1:13" x14ac:dyDescent="0.25">
      <c r="A3070" s="2"/>
      <c r="D3070" s="2"/>
      <c r="G3070" s="2"/>
      <c r="J3070" s="2"/>
      <c r="M3070" s="2"/>
    </row>
    <row r="3071" spans="1:13" x14ac:dyDescent="0.25">
      <c r="A3071" s="2"/>
      <c r="D3071" s="2"/>
      <c r="G3071" s="2"/>
      <c r="J3071" s="2"/>
      <c r="M3071" s="2"/>
    </row>
    <row r="3072" spans="1:13" x14ac:dyDescent="0.25">
      <c r="A3072" s="2"/>
      <c r="D3072" s="2"/>
      <c r="G3072" s="2"/>
      <c r="J3072" s="2"/>
      <c r="M3072" s="2"/>
    </row>
    <row r="3073" spans="1:13" x14ac:dyDescent="0.25">
      <c r="A3073" s="2"/>
      <c r="D3073" s="2"/>
      <c r="G3073" s="2"/>
      <c r="J3073" s="2"/>
      <c r="M3073" s="2"/>
    </row>
    <row r="3074" spans="1:13" x14ac:dyDescent="0.25">
      <c r="A3074" s="2"/>
      <c r="D3074" s="2"/>
      <c r="G3074" s="2"/>
      <c r="J3074" s="2"/>
      <c r="M3074" s="2"/>
    </row>
    <row r="3075" spans="1:13" x14ac:dyDescent="0.25">
      <c r="A3075" s="2"/>
      <c r="D3075" s="2"/>
      <c r="G3075" s="2"/>
      <c r="J3075" s="2"/>
      <c r="M3075" s="2"/>
    </row>
    <row r="3076" spans="1:13" x14ac:dyDescent="0.25">
      <c r="A3076" s="2"/>
      <c r="D3076" s="2"/>
      <c r="G3076" s="2"/>
      <c r="J3076" s="2"/>
      <c r="M3076" s="2"/>
    </row>
    <row r="3077" spans="1:13" x14ac:dyDescent="0.25">
      <c r="A3077" s="2"/>
      <c r="D3077" s="2"/>
      <c r="G3077" s="2"/>
      <c r="J3077" s="2"/>
      <c r="M3077" s="2"/>
    </row>
    <row r="3078" spans="1:13" x14ac:dyDescent="0.25">
      <c r="A3078" s="2"/>
      <c r="D3078" s="2"/>
      <c r="G3078" s="2"/>
      <c r="J3078" s="2"/>
      <c r="M3078" s="2"/>
    </row>
    <row r="3079" spans="1:13" x14ac:dyDescent="0.25">
      <c r="A3079" s="2"/>
      <c r="D3079" s="2"/>
      <c r="G3079" s="2"/>
      <c r="J3079" s="2"/>
      <c r="M3079" s="2"/>
    </row>
    <row r="3080" spans="1:13" x14ac:dyDescent="0.25">
      <c r="A3080" s="2"/>
      <c r="D3080" s="2"/>
      <c r="G3080" s="2"/>
      <c r="J3080" s="2"/>
      <c r="M3080" s="2"/>
    </row>
    <row r="3081" spans="1:13" x14ac:dyDescent="0.25">
      <c r="A3081" s="2"/>
      <c r="D3081" s="2"/>
      <c r="G3081" s="2"/>
      <c r="J3081" s="2"/>
      <c r="M3081" s="2"/>
    </row>
    <row r="3082" spans="1:13" x14ac:dyDescent="0.25">
      <c r="A3082" s="2"/>
      <c r="D3082" s="2"/>
      <c r="G3082" s="2"/>
      <c r="J3082" s="2"/>
      <c r="M3082" s="2"/>
    </row>
    <row r="3083" spans="1:13" x14ac:dyDescent="0.25">
      <c r="A3083" s="2"/>
      <c r="D3083" s="2"/>
      <c r="G3083" s="2"/>
      <c r="J3083" s="2"/>
      <c r="M3083" s="2"/>
    </row>
    <row r="3084" spans="1:13" x14ac:dyDescent="0.25">
      <c r="A3084" s="2"/>
      <c r="D3084" s="2"/>
      <c r="G3084" s="2"/>
      <c r="J3084" s="2"/>
      <c r="M3084" s="2"/>
    </row>
    <row r="3085" spans="1:13" x14ac:dyDescent="0.25">
      <c r="A3085" s="2"/>
      <c r="D3085" s="2"/>
      <c r="G3085" s="2"/>
      <c r="J3085" s="2"/>
      <c r="M3085" s="2"/>
    </row>
    <row r="3086" spans="1:13" x14ac:dyDescent="0.25">
      <c r="A3086" s="2"/>
      <c r="D3086" s="2"/>
      <c r="G3086" s="2"/>
      <c r="J3086" s="2"/>
      <c r="M3086" s="2"/>
    </row>
    <row r="3087" spans="1:13" x14ac:dyDescent="0.25">
      <c r="A3087" s="2"/>
      <c r="D3087" s="2"/>
      <c r="G3087" s="2"/>
      <c r="J3087" s="2"/>
      <c r="M3087" s="2"/>
    </row>
    <row r="3088" spans="1:13" x14ac:dyDescent="0.25">
      <c r="A3088" s="2"/>
      <c r="D3088" s="2"/>
      <c r="G3088" s="2"/>
      <c r="J3088" s="2"/>
      <c r="M3088" s="2"/>
    </row>
    <row r="3089" spans="1:13" x14ac:dyDescent="0.25">
      <c r="A3089" s="2"/>
      <c r="D3089" s="2"/>
      <c r="G3089" s="2"/>
      <c r="J3089" s="2"/>
      <c r="M3089" s="2"/>
    </row>
    <row r="3090" spans="1:13" x14ac:dyDescent="0.25">
      <c r="A3090" s="2"/>
      <c r="D3090" s="2"/>
      <c r="G3090" s="2"/>
      <c r="J3090" s="2"/>
      <c r="M3090" s="2"/>
    </row>
    <row r="3091" spans="1:13" x14ac:dyDescent="0.25">
      <c r="A3091" s="2"/>
      <c r="D3091" s="2"/>
      <c r="G3091" s="2"/>
      <c r="J3091" s="2"/>
      <c r="M3091" s="2"/>
    </row>
    <row r="3092" spans="1:13" x14ac:dyDescent="0.25">
      <c r="A3092" s="2"/>
      <c r="D3092" s="2"/>
      <c r="G3092" s="2"/>
      <c r="J3092" s="2"/>
      <c r="M3092" s="2"/>
    </row>
    <row r="3093" spans="1:13" x14ac:dyDescent="0.25">
      <c r="A3093" s="2"/>
      <c r="D3093" s="2"/>
      <c r="G3093" s="2"/>
      <c r="J3093" s="2"/>
      <c r="M3093" s="2"/>
    </row>
    <row r="3094" spans="1:13" x14ac:dyDescent="0.25">
      <c r="A3094" s="2"/>
      <c r="D3094" s="2"/>
      <c r="G3094" s="2"/>
      <c r="J3094" s="2"/>
      <c r="M3094" s="2"/>
    </row>
    <row r="3095" spans="1:13" x14ac:dyDescent="0.25">
      <c r="A3095" s="2"/>
      <c r="D3095" s="2"/>
      <c r="G3095" s="2"/>
      <c r="J3095" s="2"/>
      <c r="M3095" s="2"/>
    </row>
    <row r="3096" spans="1:13" x14ac:dyDescent="0.25">
      <c r="A3096" s="2"/>
      <c r="D3096" s="2"/>
      <c r="G3096" s="2"/>
      <c r="J3096" s="2"/>
      <c r="M3096" s="2"/>
    </row>
    <row r="3097" spans="1:13" x14ac:dyDescent="0.25">
      <c r="A3097" s="2"/>
      <c r="D3097" s="2"/>
      <c r="G3097" s="2"/>
      <c r="J3097" s="2"/>
      <c r="M3097" s="2"/>
    </row>
    <row r="3098" spans="1:13" x14ac:dyDescent="0.25">
      <c r="A3098" s="2"/>
      <c r="D3098" s="2"/>
      <c r="G3098" s="2"/>
      <c r="J3098" s="2"/>
      <c r="M3098" s="2"/>
    </row>
    <row r="3099" spans="1:13" x14ac:dyDescent="0.25">
      <c r="A3099" s="2"/>
      <c r="D3099" s="2"/>
      <c r="G3099" s="2"/>
      <c r="J3099" s="2"/>
      <c r="M3099" s="2"/>
    </row>
    <row r="3100" spans="1:13" x14ac:dyDescent="0.25">
      <c r="A3100" s="2"/>
      <c r="D3100" s="2"/>
      <c r="G3100" s="2"/>
      <c r="J3100" s="2"/>
      <c r="M3100" s="2"/>
    </row>
    <row r="3101" spans="1:13" x14ac:dyDescent="0.25">
      <c r="A3101" s="2"/>
      <c r="D3101" s="2"/>
      <c r="G3101" s="2"/>
      <c r="J3101" s="2"/>
      <c r="M3101" s="2"/>
    </row>
    <row r="3102" spans="1:13" x14ac:dyDescent="0.25">
      <c r="A3102" s="2"/>
      <c r="D3102" s="2"/>
      <c r="G3102" s="2"/>
      <c r="J3102" s="2"/>
      <c r="M3102" s="2"/>
    </row>
    <row r="3103" spans="1:13" x14ac:dyDescent="0.25">
      <c r="A3103" s="2"/>
      <c r="D3103" s="2"/>
      <c r="G3103" s="2"/>
      <c r="J3103" s="2"/>
      <c r="M3103" s="2"/>
    </row>
    <row r="3104" spans="1:13" x14ac:dyDescent="0.25">
      <c r="A3104" s="2"/>
      <c r="D3104" s="2"/>
      <c r="G3104" s="2"/>
      <c r="J3104" s="2"/>
      <c r="M3104" s="2"/>
    </row>
    <row r="3105" spans="1:13" x14ac:dyDescent="0.25">
      <c r="A3105" s="2"/>
      <c r="D3105" s="2"/>
      <c r="G3105" s="2"/>
      <c r="J3105" s="2"/>
      <c r="M3105" s="2"/>
    </row>
    <row r="3106" spans="1:13" x14ac:dyDescent="0.25">
      <c r="A3106" s="2"/>
      <c r="D3106" s="2"/>
      <c r="G3106" s="2"/>
      <c r="J3106" s="2"/>
      <c r="M3106" s="2"/>
    </row>
    <row r="3107" spans="1:13" x14ac:dyDescent="0.25">
      <c r="A3107" s="2"/>
      <c r="D3107" s="2"/>
      <c r="G3107" s="2"/>
      <c r="J3107" s="2"/>
      <c r="M3107" s="2"/>
    </row>
    <row r="3108" spans="1:13" x14ac:dyDescent="0.25">
      <c r="A3108" s="2"/>
      <c r="D3108" s="2"/>
      <c r="G3108" s="2"/>
      <c r="J3108" s="2"/>
      <c r="M3108" s="2"/>
    </row>
    <row r="3109" spans="1:13" x14ac:dyDescent="0.25">
      <c r="A3109" s="2"/>
      <c r="D3109" s="2"/>
      <c r="G3109" s="2"/>
      <c r="J3109" s="2"/>
      <c r="M3109" s="2"/>
    </row>
    <row r="3110" spans="1:13" x14ac:dyDescent="0.25">
      <c r="A3110" s="2"/>
      <c r="D3110" s="2"/>
      <c r="G3110" s="2"/>
      <c r="J3110" s="2"/>
      <c r="M3110" s="2"/>
    </row>
    <row r="3111" spans="1:13" x14ac:dyDescent="0.25">
      <c r="A3111" s="2"/>
      <c r="D3111" s="2"/>
      <c r="G3111" s="2"/>
      <c r="J3111" s="2"/>
      <c r="M3111" s="2"/>
    </row>
    <row r="3112" spans="1:13" x14ac:dyDescent="0.25">
      <c r="A3112" s="2"/>
      <c r="D3112" s="2"/>
      <c r="G3112" s="2"/>
      <c r="J3112" s="2"/>
      <c r="M3112" s="2"/>
    </row>
    <row r="3113" spans="1:13" x14ac:dyDescent="0.25">
      <c r="A3113" s="2"/>
      <c r="D3113" s="2"/>
      <c r="G3113" s="2"/>
      <c r="J3113" s="2"/>
      <c r="M3113" s="2"/>
    </row>
    <row r="3114" spans="1:13" x14ac:dyDescent="0.25">
      <c r="A3114" s="2"/>
      <c r="D3114" s="2"/>
      <c r="G3114" s="2"/>
      <c r="J3114" s="2"/>
      <c r="M3114" s="2"/>
    </row>
    <row r="3115" spans="1:13" x14ac:dyDescent="0.25">
      <c r="A3115" s="2"/>
      <c r="D3115" s="2"/>
      <c r="G3115" s="2"/>
      <c r="J3115" s="2"/>
      <c r="M3115" s="2"/>
    </row>
    <row r="3116" spans="1:13" x14ac:dyDescent="0.25">
      <c r="A3116" s="2"/>
      <c r="D3116" s="2"/>
      <c r="G3116" s="2"/>
      <c r="J3116" s="2"/>
      <c r="M3116" s="2"/>
    </row>
    <row r="3117" spans="1:13" x14ac:dyDescent="0.25">
      <c r="A3117" s="2"/>
      <c r="D3117" s="2"/>
      <c r="G3117" s="2"/>
      <c r="J3117" s="2"/>
      <c r="M3117" s="2"/>
    </row>
    <row r="3118" spans="1:13" x14ac:dyDescent="0.25">
      <c r="A3118" s="2"/>
      <c r="D3118" s="2"/>
      <c r="G3118" s="2"/>
      <c r="J3118" s="2"/>
      <c r="M3118" s="2"/>
    </row>
    <row r="3119" spans="1:13" x14ac:dyDescent="0.25">
      <c r="A3119" s="2"/>
      <c r="D3119" s="2"/>
      <c r="G3119" s="2"/>
      <c r="J3119" s="2"/>
      <c r="M3119" s="2"/>
    </row>
    <row r="3120" spans="1:13" x14ac:dyDescent="0.25">
      <c r="A3120" s="2"/>
      <c r="D3120" s="2"/>
      <c r="G3120" s="2"/>
      <c r="J3120" s="2"/>
      <c r="M3120" s="2"/>
    </row>
    <row r="3121" spans="1:13" x14ac:dyDescent="0.25">
      <c r="A3121" s="2"/>
      <c r="D3121" s="2"/>
      <c r="G3121" s="2"/>
      <c r="J3121" s="2"/>
      <c r="M3121" s="2"/>
    </row>
    <row r="3122" spans="1:13" x14ac:dyDescent="0.25">
      <c r="A3122" s="2"/>
      <c r="D3122" s="2"/>
      <c r="G3122" s="2"/>
      <c r="J3122" s="2"/>
      <c r="M3122" s="2"/>
    </row>
    <row r="3123" spans="1:13" x14ac:dyDescent="0.25">
      <c r="A3123" s="2"/>
      <c r="D3123" s="2"/>
      <c r="G3123" s="2"/>
      <c r="J3123" s="2"/>
      <c r="M3123" s="2"/>
    </row>
    <row r="3124" spans="1:13" x14ac:dyDescent="0.25">
      <c r="A3124" s="2"/>
      <c r="D3124" s="2"/>
      <c r="G3124" s="2"/>
      <c r="J3124" s="2"/>
      <c r="M3124" s="2"/>
    </row>
    <row r="3125" spans="1:13" x14ac:dyDescent="0.25">
      <c r="A3125" s="2"/>
      <c r="D3125" s="2"/>
      <c r="G3125" s="2"/>
      <c r="J3125" s="2"/>
      <c r="M3125" s="2"/>
    </row>
    <row r="3126" spans="1:13" x14ac:dyDescent="0.25">
      <c r="A3126" s="2"/>
      <c r="D3126" s="2"/>
      <c r="G3126" s="2"/>
      <c r="J3126" s="2"/>
      <c r="M3126" s="2"/>
    </row>
    <row r="3127" spans="1:13" x14ac:dyDescent="0.25">
      <c r="A3127" s="2"/>
      <c r="D3127" s="2"/>
      <c r="G3127" s="2"/>
      <c r="J3127" s="2"/>
      <c r="M3127" s="2"/>
    </row>
    <row r="3128" spans="1:13" x14ac:dyDescent="0.25">
      <c r="A3128" s="2"/>
      <c r="D3128" s="2"/>
      <c r="G3128" s="2"/>
      <c r="J3128" s="2"/>
      <c r="M3128" s="2"/>
    </row>
    <row r="3129" spans="1:13" x14ac:dyDescent="0.25">
      <c r="A3129" s="2"/>
      <c r="D3129" s="2"/>
      <c r="G3129" s="2"/>
      <c r="J3129" s="2"/>
      <c r="M3129" s="2"/>
    </row>
    <row r="3130" spans="1:13" x14ac:dyDescent="0.25">
      <c r="A3130" s="2"/>
      <c r="D3130" s="2"/>
      <c r="G3130" s="2"/>
      <c r="J3130" s="2"/>
      <c r="M3130" s="2"/>
    </row>
    <row r="3131" spans="1:13" x14ac:dyDescent="0.25">
      <c r="A3131" s="2"/>
      <c r="D3131" s="2"/>
      <c r="G3131" s="2"/>
      <c r="J3131" s="2"/>
      <c r="M3131" s="2"/>
    </row>
    <row r="3132" spans="1:13" x14ac:dyDescent="0.25">
      <c r="A3132" s="2"/>
      <c r="D3132" s="2"/>
      <c r="G3132" s="2"/>
      <c r="J3132" s="2"/>
      <c r="M3132" s="2"/>
    </row>
    <row r="3133" spans="1:13" x14ac:dyDescent="0.25">
      <c r="A3133" s="2"/>
      <c r="D3133" s="2"/>
      <c r="G3133" s="2"/>
      <c r="J3133" s="2"/>
      <c r="M3133" s="2"/>
    </row>
    <row r="3134" spans="1:13" x14ac:dyDescent="0.25">
      <c r="A3134" s="2"/>
      <c r="D3134" s="2"/>
      <c r="G3134" s="2"/>
      <c r="J3134" s="2"/>
      <c r="M3134" s="2"/>
    </row>
    <row r="3135" spans="1:13" x14ac:dyDescent="0.25">
      <c r="A3135" s="2"/>
      <c r="D3135" s="2"/>
      <c r="G3135" s="2"/>
      <c r="J3135" s="2"/>
      <c r="M3135" s="2"/>
    </row>
    <row r="3136" spans="1:13" x14ac:dyDescent="0.25">
      <c r="A3136" s="2"/>
      <c r="D3136" s="2"/>
      <c r="G3136" s="2"/>
      <c r="J3136" s="2"/>
      <c r="M3136" s="2"/>
    </row>
    <row r="3137" spans="1:13" x14ac:dyDescent="0.25">
      <c r="A3137" s="2"/>
      <c r="D3137" s="2"/>
      <c r="G3137" s="2"/>
      <c r="J3137" s="2"/>
      <c r="M3137" s="2"/>
    </row>
    <row r="3138" spans="1:13" x14ac:dyDescent="0.25">
      <c r="A3138" s="2"/>
      <c r="D3138" s="2"/>
      <c r="G3138" s="2"/>
      <c r="J3138" s="2"/>
      <c r="M3138" s="2"/>
    </row>
    <row r="3139" spans="1:13" x14ac:dyDescent="0.25">
      <c r="A3139" s="2"/>
      <c r="D3139" s="2"/>
      <c r="G3139" s="2"/>
      <c r="J3139" s="2"/>
      <c r="M3139" s="2"/>
    </row>
    <row r="3140" spans="1:13" x14ac:dyDescent="0.25">
      <c r="A3140" s="2"/>
      <c r="D3140" s="2"/>
      <c r="G3140" s="2"/>
      <c r="J3140" s="2"/>
      <c r="M3140" s="2"/>
    </row>
    <row r="3141" spans="1:13" x14ac:dyDescent="0.25">
      <c r="A3141" s="2"/>
      <c r="D3141" s="2"/>
      <c r="G3141" s="2"/>
      <c r="J3141" s="2"/>
      <c r="M3141" s="2"/>
    </row>
    <row r="3142" spans="1:13" x14ac:dyDescent="0.25">
      <c r="A3142" s="2"/>
      <c r="D3142" s="2"/>
      <c r="G3142" s="2"/>
      <c r="J3142" s="2"/>
      <c r="M3142" s="2"/>
    </row>
    <row r="3143" spans="1:13" x14ac:dyDescent="0.25">
      <c r="A3143" s="2"/>
      <c r="D3143" s="2"/>
      <c r="G3143" s="2"/>
      <c r="J3143" s="2"/>
      <c r="M3143" s="2"/>
    </row>
    <row r="3144" spans="1:13" x14ac:dyDescent="0.25">
      <c r="A3144" s="2"/>
      <c r="D3144" s="2"/>
      <c r="G3144" s="2"/>
      <c r="J3144" s="2"/>
      <c r="M3144" s="2"/>
    </row>
    <row r="3145" spans="1:13" x14ac:dyDescent="0.25">
      <c r="A3145" s="2"/>
      <c r="D3145" s="2"/>
      <c r="G3145" s="2"/>
      <c r="J3145" s="2"/>
      <c r="M3145" s="2"/>
    </row>
    <row r="3146" spans="1:13" x14ac:dyDescent="0.25">
      <c r="A3146" s="2"/>
      <c r="D3146" s="2"/>
      <c r="G3146" s="2"/>
      <c r="J3146" s="2"/>
      <c r="M3146" s="2"/>
    </row>
    <row r="3147" spans="1:13" x14ac:dyDescent="0.25">
      <c r="A3147" s="2"/>
      <c r="D3147" s="2"/>
      <c r="G3147" s="2"/>
      <c r="J3147" s="2"/>
      <c r="M3147" s="2"/>
    </row>
    <row r="3148" spans="1:13" x14ac:dyDescent="0.25">
      <c r="A3148" s="2"/>
      <c r="D3148" s="2"/>
      <c r="G3148" s="2"/>
      <c r="J3148" s="2"/>
      <c r="M3148" s="2"/>
    </row>
    <row r="3149" spans="1:13" x14ac:dyDescent="0.25">
      <c r="A3149" s="2"/>
      <c r="D3149" s="2"/>
      <c r="G3149" s="2"/>
      <c r="J3149" s="2"/>
      <c r="M3149" s="2"/>
    </row>
    <row r="3150" spans="1:13" x14ac:dyDescent="0.25">
      <c r="A3150" s="2"/>
      <c r="D3150" s="2"/>
      <c r="G3150" s="2"/>
      <c r="J3150" s="2"/>
      <c r="M3150" s="2"/>
    </row>
    <row r="3151" spans="1:13" x14ac:dyDescent="0.25">
      <c r="A3151" s="2"/>
      <c r="D3151" s="2"/>
      <c r="G3151" s="2"/>
      <c r="J3151" s="2"/>
      <c r="M3151" s="2"/>
    </row>
    <row r="3152" spans="1:13" x14ac:dyDescent="0.25">
      <c r="A3152" s="2"/>
      <c r="D3152" s="2"/>
      <c r="G3152" s="2"/>
      <c r="J3152" s="2"/>
      <c r="M3152" s="2"/>
    </row>
    <row r="3153" spans="1:13" x14ac:dyDescent="0.25">
      <c r="A3153" s="2"/>
      <c r="D3153" s="2"/>
      <c r="G3153" s="2"/>
      <c r="J3153" s="2"/>
      <c r="M3153" s="2"/>
    </row>
    <row r="3154" spans="1:13" x14ac:dyDescent="0.25">
      <c r="A3154" s="2"/>
      <c r="D3154" s="2"/>
      <c r="G3154" s="2"/>
      <c r="J3154" s="2"/>
      <c r="M3154" s="2"/>
    </row>
    <row r="3155" spans="1:13" x14ac:dyDescent="0.25">
      <c r="A3155" s="2"/>
      <c r="D3155" s="2"/>
      <c r="G3155" s="2"/>
      <c r="J3155" s="2"/>
      <c r="M3155" s="2"/>
    </row>
    <row r="3156" spans="1:13" x14ac:dyDescent="0.25">
      <c r="A3156" s="2"/>
      <c r="D3156" s="2"/>
      <c r="G3156" s="2"/>
      <c r="J3156" s="2"/>
      <c r="M3156" s="2"/>
    </row>
    <row r="3157" spans="1:13" x14ac:dyDescent="0.25">
      <c r="A3157" s="2"/>
      <c r="D3157" s="2"/>
      <c r="G3157" s="2"/>
      <c r="J3157" s="2"/>
      <c r="M3157" s="2"/>
    </row>
    <row r="3158" spans="1:13" x14ac:dyDescent="0.25">
      <c r="A3158" s="2"/>
      <c r="D3158" s="2"/>
      <c r="G3158" s="2"/>
      <c r="J3158" s="2"/>
      <c r="M3158" s="2"/>
    </row>
    <row r="3159" spans="1:13" x14ac:dyDescent="0.25">
      <c r="A3159" s="2"/>
      <c r="D3159" s="2"/>
      <c r="G3159" s="2"/>
      <c r="J3159" s="2"/>
      <c r="M3159" s="2"/>
    </row>
    <row r="3160" spans="1:13" x14ac:dyDescent="0.25">
      <c r="A3160" s="2"/>
      <c r="D3160" s="2"/>
      <c r="G3160" s="2"/>
      <c r="J3160" s="2"/>
      <c r="M3160" s="2"/>
    </row>
    <row r="3161" spans="1:13" x14ac:dyDescent="0.25">
      <c r="A3161" s="2"/>
      <c r="D3161" s="2"/>
      <c r="G3161" s="2"/>
      <c r="J3161" s="2"/>
      <c r="M3161" s="2"/>
    </row>
    <row r="3162" spans="1:13" x14ac:dyDescent="0.25">
      <c r="A3162" s="2"/>
      <c r="D3162" s="2"/>
      <c r="G3162" s="2"/>
      <c r="J3162" s="2"/>
      <c r="M3162" s="2"/>
    </row>
    <row r="3163" spans="1:13" x14ac:dyDescent="0.25">
      <c r="A3163" s="2"/>
      <c r="D3163" s="2"/>
      <c r="G3163" s="2"/>
      <c r="J3163" s="2"/>
      <c r="M3163" s="2"/>
    </row>
    <row r="3164" spans="1:13" x14ac:dyDescent="0.25">
      <c r="A3164" s="2"/>
      <c r="D3164" s="2"/>
      <c r="G3164" s="2"/>
      <c r="J3164" s="2"/>
      <c r="M3164" s="2"/>
    </row>
    <row r="3165" spans="1:13" x14ac:dyDescent="0.25">
      <c r="A3165" s="2"/>
      <c r="D3165" s="2"/>
      <c r="G3165" s="2"/>
      <c r="J3165" s="2"/>
      <c r="M3165" s="2"/>
    </row>
    <row r="3166" spans="1:13" x14ac:dyDescent="0.25">
      <c r="A3166" s="2"/>
      <c r="D3166" s="2"/>
      <c r="G3166" s="2"/>
      <c r="J3166" s="2"/>
      <c r="M3166" s="2"/>
    </row>
    <row r="3167" spans="1:13" x14ac:dyDescent="0.25">
      <c r="A3167" s="2"/>
      <c r="D3167" s="2"/>
      <c r="G3167" s="2"/>
      <c r="J3167" s="2"/>
      <c r="M3167" s="2"/>
    </row>
    <row r="3168" spans="1:13" x14ac:dyDescent="0.25">
      <c r="A3168" s="2"/>
      <c r="D3168" s="2"/>
      <c r="G3168" s="2"/>
      <c r="J3168" s="2"/>
      <c r="M3168" s="2"/>
    </row>
    <row r="3169" spans="1:13" x14ac:dyDescent="0.25">
      <c r="A3169" s="2"/>
      <c r="D3169" s="2"/>
      <c r="G3169" s="2"/>
      <c r="J3169" s="2"/>
      <c r="M3169" s="2"/>
    </row>
    <row r="3170" spans="1:13" x14ac:dyDescent="0.25">
      <c r="A3170" s="2"/>
      <c r="D3170" s="2"/>
      <c r="G3170" s="2"/>
      <c r="J3170" s="2"/>
      <c r="M3170" s="2"/>
    </row>
    <row r="3171" spans="1:13" x14ac:dyDescent="0.25">
      <c r="A3171" s="2"/>
      <c r="D3171" s="2"/>
      <c r="G3171" s="2"/>
      <c r="J3171" s="2"/>
      <c r="M3171" s="2"/>
    </row>
    <row r="3172" spans="1:13" x14ac:dyDescent="0.25">
      <c r="A3172" s="2"/>
      <c r="D3172" s="2"/>
      <c r="G3172" s="2"/>
      <c r="J3172" s="2"/>
      <c r="M3172" s="2"/>
    </row>
    <row r="3173" spans="1:13" x14ac:dyDescent="0.25">
      <c r="A3173" s="2"/>
      <c r="D3173" s="2"/>
      <c r="G3173" s="2"/>
      <c r="J3173" s="2"/>
      <c r="M3173" s="2"/>
    </row>
    <row r="3174" spans="1:13" x14ac:dyDescent="0.25">
      <c r="A3174" s="2"/>
      <c r="D3174" s="2"/>
      <c r="G3174" s="2"/>
      <c r="J3174" s="2"/>
      <c r="M3174" s="2"/>
    </row>
    <row r="3175" spans="1:13" x14ac:dyDescent="0.25">
      <c r="A3175" s="2"/>
      <c r="D3175" s="2"/>
      <c r="G3175" s="2"/>
      <c r="J3175" s="2"/>
      <c r="M3175" s="2"/>
    </row>
    <row r="3176" spans="1:13" x14ac:dyDescent="0.25">
      <c r="A3176" s="2"/>
      <c r="D3176" s="2"/>
      <c r="G3176" s="2"/>
      <c r="J3176" s="2"/>
      <c r="M3176" s="2"/>
    </row>
    <row r="3177" spans="1:13" x14ac:dyDescent="0.25">
      <c r="A3177" s="2"/>
      <c r="D3177" s="2"/>
      <c r="G3177" s="2"/>
      <c r="J3177" s="2"/>
      <c r="M3177" s="2"/>
    </row>
    <row r="3178" spans="1:13" x14ac:dyDescent="0.25">
      <c r="A3178" s="2"/>
      <c r="D3178" s="2"/>
      <c r="G3178" s="2"/>
      <c r="J3178" s="2"/>
      <c r="M3178" s="2"/>
    </row>
    <row r="3179" spans="1:13" x14ac:dyDescent="0.25">
      <c r="A3179" s="2"/>
      <c r="D3179" s="2"/>
      <c r="G3179" s="2"/>
      <c r="J3179" s="2"/>
      <c r="M3179" s="2"/>
    </row>
    <row r="3180" spans="1:13" x14ac:dyDescent="0.25">
      <c r="A3180" s="2"/>
      <c r="D3180" s="2"/>
      <c r="G3180" s="2"/>
      <c r="J3180" s="2"/>
      <c r="M3180" s="2"/>
    </row>
    <row r="3181" spans="1:13" x14ac:dyDescent="0.25">
      <c r="A3181" s="2"/>
      <c r="D3181" s="2"/>
      <c r="G3181" s="2"/>
      <c r="J3181" s="2"/>
      <c r="M3181" s="2"/>
    </row>
    <row r="3182" spans="1:13" x14ac:dyDescent="0.25">
      <c r="A3182" s="2"/>
      <c r="D3182" s="2"/>
      <c r="G3182" s="2"/>
      <c r="J3182" s="2"/>
      <c r="M3182" s="2"/>
    </row>
    <row r="3183" spans="1:13" x14ac:dyDescent="0.25">
      <c r="A3183" s="2"/>
      <c r="D3183" s="2"/>
      <c r="G3183" s="2"/>
      <c r="J3183" s="2"/>
      <c r="M3183" s="2"/>
    </row>
    <row r="3184" spans="1:13" x14ac:dyDescent="0.25">
      <c r="A3184" s="2"/>
      <c r="D3184" s="2"/>
      <c r="G3184" s="2"/>
      <c r="J3184" s="2"/>
      <c r="M3184" s="2"/>
    </row>
    <row r="3185" spans="1:13" x14ac:dyDescent="0.25">
      <c r="A3185" s="2"/>
      <c r="D3185" s="2"/>
      <c r="G3185" s="2"/>
      <c r="J3185" s="2"/>
      <c r="M3185" s="2"/>
    </row>
    <row r="3186" spans="1:13" x14ac:dyDescent="0.25">
      <c r="A3186" s="2"/>
      <c r="D3186" s="2"/>
      <c r="G3186" s="2"/>
      <c r="J3186" s="2"/>
      <c r="M3186" s="2"/>
    </row>
    <row r="3187" spans="1:13" x14ac:dyDescent="0.25">
      <c r="A3187" s="2"/>
      <c r="D3187" s="2"/>
      <c r="G3187" s="2"/>
      <c r="J3187" s="2"/>
      <c r="M3187" s="2"/>
    </row>
    <row r="3188" spans="1:13" x14ac:dyDescent="0.25">
      <c r="A3188" s="2"/>
      <c r="D3188" s="2"/>
      <c r="G3188" s="2"/>
      <c r="J3188" s="2"/>
      <c r="M3188" s="2"/>
    </row>
    <row r="3189" spans="1:13" x14ac:dyDescent="0.25">
      <c r="A3189" s="2"/>
      <c r="D3189" s="2"/>
      <c r="G3189" s="2"/>
      <c r="J3189" s="2"/>
      <c r="M3189" s="2"/>
    </row>
    <row r="3190" spans="1:13" x14ac:dyDescent="0.25">
      <c r="A3190" s="2"/>
      <c r="D3190" s="2"/>
      <c r="G3190" s="2"/>
      <c r="J3190" s="2"/>
      <c r="M3190" s="2"/>
    </row>
    <row r="3191" spans="1:13" x14ac:dyDescent="0.25">
      <c r="A3191" s="2"/>
      <c r="D3191" s="2"/>
      <c r="G3191" s="2"/>
      <c r="J3191" s="2"/>
      <c r="M3191" s="2"/>
    </row>
    <row r="3192" spans="1:13" x14ac:dyDescent="0.25">
      <c r="A3192" s="2"/>
      <c r="D3192" s="2"/>
      <c r="G3192" s="2"/>
      <c r="J3192" s="2"/>
      <c r="M3192" s="2"/>
    </row>
    <row r="3193" spans="1:13" x14ac:dyDescent="0.25">
      <c r="A3193" s="2"/>
      <c r="D3193" s="2"/>
      <c r="G3193" s="2"/>
      <c r="J3193" s="2"/>
      <c r="M3193" s="2"/>
    </row>
    <row r="3194" spans="1:13" x14ac:dyDescent="0.25">
      <c r="A3194" s="2"/>
      <c r="D3194" s="2"/>
      <c r="G3194" s="2"/>
      <c r="J3194" s="2"/>
      <c r="M3194" s="2"/>
    </row>
    <row r="3195" spans="1:13" x14ac:dyDescent="0.25">
      <c r="A3195" s="2"/>
      <c r="D3195" s="2"/>
      <c r="G3195" s="2"/>
      <c r="J3195" s="2"/>
      <c r="M3195" s="2"/>
    </row>
    <row r="3196" spans="1:13" x14ac:dyDescent="0.25">
      <c r="A3196" s="2"/>
      <c r="D3196" s="2"/>
      <c r="G3196" s="2"/>
      <c r="J3196" s="2"/>
      <c r="M3196" s="2"/>
    </row>
    <row r="3197" spans="1:13" x14ac:dyDescent="0.25">
      <c r="A3197" s="2"/>
      <c r="D3197" s="2"/>
      <c r="G3197" s="2"/>
      <c r="J3197" s="2"/>
      <c r="M3197" s="2"/>
    </row>
    <row r="3198" spans="1:13" x14ac:dyDescent="0.25">
      <c r="A3198" s="2"/>
      <c r="D3198" s="2"/>
      <c r="G3198" s="2"/>
      <c r="J3198" s="2"/>
      <c r="M3198" s="2"/>
    </row>
    <row r="3199" spans="1:13" x14ac:dyDescent="0.25">
      <c r="A3199" s="2"/>
      <c r="D3199" s="2"/>
      <c r="G3199" s="2"/>
      <c r="J3199" s="2"/>
      <c r="M3199" s="2"/>
    </row>
    <row r="3200" spans="1:13" x14ac:dyDescent="0.25">
      <c r="A3200" s="2"/>
      <c r="D3200" s="2"/>
      <c r="G3200" s="2"/>
      <c r="J3200" s="2"/>
      <c r="M3200" s="2"/>
    </row>
    <row r="3201" spans="1:13" x14ac:dyDescent="0.25">
      <c r="A3201" s="2"/>
      <c r="D3201" s="2"/>
      <c r="G3201" s="2"/>
      <c r="J3201" s="2"/>
      <c r="M3201" s="2"/>
    </row>
    <row r="3202" spans="1:13" x14ac:dyDescent="0.25">
      <c r="A3202" s="2"/>
      <c r="D3202" s="2"/>
      <c r="G3202" s="2"/>
      <c r="J3202" s="2"/>
      <c r="M3202" s="2"/>
    </row>
    <row r="3203" spans="1:13" x14ac:dyDescent="0.25">
      <c r="A3203" s="2"/>
      <c r="D3203" s="2"/>
      <c r="G3203" s="2"/>
      <c r="J3203" s="2"/>
      <c r="M3203" s="2"/>
    </row>
    <row r="3204" spans="1:13" x14ac:dyDescent="0.25">
      <c r="A3204" s="2"/>
      <c r="D3204" s="2"/>
      <c r="G3204" s="2"/>
      <c r="J3204" s="2"/>
      <c r="M3204" s="2"/>
    </row>
    <row r="3205" spans="1:13" x14ac:dyDescent="0.25">
      <c r="A3205" s="2"/>
      <c r="D3205" s="2"/>
      <c r="G3205" s="2"/>
      <c r="J3205" s="2"/>
      <c r="M3205" s="2"/>
    </row>
    <row r="3206" spans="1:13" x14ac:dyDescent="0.25">
      <c r="A3206" s="2"/>
      <c r="D3206" s="2"/>
      <c r="G3206" s="2"/>
      <c r="J3206" s="2"/>
      <c r="M3206" s="2"/>
    </row>
    <row r="3207" spans="1:13" x14ac:dyDescent="0.25">
      <c r="A3207" s="2"/>
      <c r="D3207" s="2"/>
      <c r="G3207" s="2"/>
      <c r="J3207" s="2"/>
      <c r="M3207" s="2"/>
    </row>
    <row r="3208" spans="1:13" x14ac:dyDescent="0.25">
      <c r="A3208" s="2"/>
      <c r="D3208" s="2"/>
      <c r="G3208" s="2"/>
      <c r="J3208" s="2"/>
      <c r="M3208" s="2"/>
    </row>
    <row r="3209" spans="1:13" x14ac:dyDescent="0.25">
      <c r="A3209" s="2"/>
      <c r="D3209" s="2"/>
      <c r="G3209" s="2"/>
      <c r="J3209" s="2"/>
      <c r="M3209" s="2"/>
    </row>
    <row r="3210" spans="1:13" x14ac:dyDescent="0.25">
      <c r="A3210" s="2"/>
      <c r="D3210" s="2"/>
      <c r="G3210" s="2"/>
      <c r="J3210" s="2"/>
      <c r="M3210" s="2"/>
    </row>
    <row r="3211" spans="1:13" x14ac:dyDescent="0.25">
      <c r="A3211" s="2"/>
      <c r="D3211" s="2"/>
      <c r="G3211" s="2"/>
      <c r="J3211" s="2"/>
      <c r="M3211" s="2"/>
    </row>
    <row r="3212" spans="1:13" x14ac:dyDescent="0.25">
      <c r="A3212" s="2"/>
      <c r="D3212" s="2"/>
      <c r="G3212" s="2"/>
      <c r="J3212" s="2"/>
      <c r="M3212" s="2"/>
    </row>
    <row r="3213" spans="1:13" x14ac:dyDescent="0.25">
      <c r="A3213" s="2"/>
      <c r="D3213" s="2"/>
      <c r="G3213" s="2"/>
      <c r="J3213" s="2"/>
      <c r="M3213" s="2"/>
    </row>
    <row r="3214" spans="1:13" x14ac:dyDescent="0.25">
      <c r="A3214" s="2"/>
      <c r="D3214" s="2"/>
      <c r="G3214" s="2"/>
      <c r="J3214" s="2"/>
      <c r="M3214" s="2"/>
    </row>
    <row r="3215" spans="1:13" x14ac:dyDescent="0.25">
      <c r="A3215" s="2"/>
      <c r="D3215" s="2"/>
      <c r="G3215" s="2"/>
      <c r="J3215" s="2"/>
      <c r="M3215" s="2"/>
    </row>
    <row r="3216" spans="1:13" x14ac:dyDescent="0.25">
      <c r="A3216" s="2"/>
      <c r="D3216" s="2"/>
      <c r="G3216" s="2"/>
      <c r="J3216" s="2"/>
      <c r="M3216" s="2"/>
    </row>
    <row r="3217" spans="1:13" x14ac:dyDescent="0.25">
      <c r="A3217" s="2"/>
      <c r="D3217" s="2"/>
      <c r="G3217" s="2"/>
      <c r="J3217" s="2"/>
      <c r="M3217" s="2"/>
    </row>
    <row r="3218" spans="1:13" x14ac:dyDescent="0.25">
      <c r="A3218" s="2"/>
      <c r="D3218" s="2"/>
      <c r="G3218" s="2"/>
      <c r="J3218" s="2"/>
      <c r="M3218" s="2"/>
    </row>
    <row r="3219" spans="1:13" x14ac:dyDescent="0.25">
      <c r="A3219" s="2"/>
      <c r="D3219" s="2"/>
      <c r="G3219" s="2"/>
      <c r="J3219" s="2"/>
      <c r="M3219" s="2"/>
    </row>
    <row r="3220" spans="1:13" x14ac:dyDescent="0.25">
      <c r="A3220" s="2"/>
      <c r="D3220" s="2"/>
      <c r="G3220" s="2"/>
      <c r="J3220" s="2"/>
      <c r="M3220" s="2"/>
    </row>
    <row r="3221" spans="1:13" x14ac:dyDescent="0.25">
      <c r="A3221" s="2"/>
      <c r="D3221" s="2"/>
      <c r="G3221" s="2"/>
      <c r="J3221" s="2"/>
      <c r="M3221" s="2"/>
    </row>
    <row r="3222" spans="1:13" x14ac:dyDescent="0.25">
      <c r="A3222" s="2"/>
      <c r="D3222" s="2"/>
      <c r="G3222" s="2"/>
      <c r="J3222" s="2"/>
      <c r="M3222" s="2"/>
    </row>
    <row r="3223" spans="1:13" x14ac:dyDescent="0.25">
      <c r="A3223" s="2"/>
      <c r="D3223" s="2"/>
      <c r="G3223" s="2"/>
      <c r="J3223" s="2"/>
      <c r="M3223" s="2"/>
    </row>
    <row r="3224" spans="1:13" x14ac:dyDescent="0.25">
      <c r="A3224" s="2"/>
      <c r="D3224" s="2"/>
      <c r="G3224" s="2"/>
      <c r="J3224" s="2"/>
      <c r="M3224" s="2"/>
    </row>
    <row r="3225" spans="1:13" x14ac:dyDescent="0.25">
      <c r="A3225" s="2"/>
      <c r="D3225" s="2"/>
      <c r="G3225" s="2"/>
      <c r="J3225" s="2"/>
      <c r="M3225" s="2"/>
    </row>
    <row r="3226" spans="1:13" x14ac:dyDescent="0.25">
      <c r="A3226" s="2"/>
      <c r="D3226" s="2"/>
      <c r="G3226" s="2"/>
      <c r="J3226" s="2"/>
      <c r="M3226" s="2"/>
    </row>
    <row r="3227" spans="1:13" x14ac:dyDescent="0.25">
      <c r="A3227" s="2"/>
      <c r="D3227" s="2"/>
      <c r="G3227" s="2"/>
      <c r="J3227" s="2"/>
      <c r="M3227" s="2"/>
    </row>
    <row r="3228" spans="1:13" x14ac:dyDescent="0.25">
      <c r="A3228" s="2"/>
      <c r="D3228" s="2"/>
      <c r="G3228" s="2"/>
      <c r="J3228" s="2"/>
      <c r="M3228" s="2"/>
    </row>
    <row r="3229" spans="1:13" x14ac:dyDescent="0.25">
      <c r="A3229" s="2"/>
      <c r="D3229" s="2"/>
      <c r="G3229" s="2"/>
      <c r="J3229" s="2"/>
      <c r="M3229" s="2"/>
    </row>
    <row r="3230" spans="1:13" x14ac:dyDescent="0.25">
      <c r="A3230" s="2"/>
      <c r="D3230" s="2"/>
      <c r="G3230" s="2"/>
      <c r="J3230" s="2"/>
      <c r="M3230" s="2"/>
    </row>
    <row r="3231" spans="1:13" x14ac:dyDescent="0.25">
      <c r="A3231" s="2"/>
      <c r="D3231" s="2"/>
      <c r="G3231" s="2"/>
      <c r="J3231" s="2"/>
      <c r="M3231" s="2"/>
    </row>
    <row r="3232" spans="1:13" x14ac:dyDescent="0.25">
      <c r="A3232" s="2"/>
      <c r="D3232" s="2"/>
      <c r="G3232" s="2"/>
      <c r="J3232" s="2"/>
      <c r="M3232" s="2"/>
    </row>
    <row r="3233" spans="1:13" x14ac:dyDescent="0.25">
      <c r="A3233" s="2"/>
      <c r="D3233" s="2"/>
      <c r="G3233" s="2"/>
      <c r="J3233" s="2"/>
      <c r="M3233" s="2"/>
    </row>
    <row r="3234" spans="1:13" x14ac:dyDescent="0.25">
      <c r="A3234" s="2"/>
      <c r="D3234" s="2"/>
      <c r="G3234" s="2"/>
      <c r="J3234" s="2"/>
      <c r="M3234" s="2"/>
    </row>
    <row r="3235" spans="1:13" x14ac:dyDescent="0.25">
      <c r="A3235" s="2"/>
      <c r="D3235" s="2"/>
      <c r="G3235" s="2"/>
      <c r="J3235" s="2"/>
      <c r="M3235" s="2"/>
    </row>
    <row r="3236" spans="1:13" x14ac:dyDescent="0.25">
      <c r="A3236" s="2"/>
      <c r="D3236" s="2"/>
      <c r="G3236" s="2"/>
      <c r="J3236" s="2"/>
      <c r="M3236" s="2"/>
    </row>
    <row r="3237" spans="1:13" x14ac:dyDescent="0.25">
      <c r="A3237" s="2"/>
      <c r="D3237" s="2"/>
      <c r="G3237" s="2"/>
      <c r="J3237" s="2"/>
      <c r="M3237" s="2"/>
    </row>
    <row r="3238" spans="1:13" x14ac:dyDescent="0.25">
      <c r="A3238" s="2"/>
      <c r="D3238" s="2"/>
      <c r="G3238" s="2"/>
      <c r="J3238" s="2"/>
      <c r="M3238" s="2"/>
    </row>
    <row r="3239" spans="1:13" x14ac:dyDescent="0.25">
      <c r="A3239" s="2"/>
      <c r="D3239" s="2"/>
      <c r="G3239" s="2"/>
      <c r="J3239" s="2"/>
      <c r="M3239" s="2"/>
    </row>
    <row r="3240" spans="1:13" x14ac:dyDescent="0.25">
      <c r="A3240" s="2"/>
      <c r="D3240" s="2"/>
      <c r="G3240" s="2"/>
      <c r="J3240" s="2"/>
      <c r="M3240" s="2"/>
    </row>
    <row r="3241" spans="1:13" x14ac:dyDescent="0.25">
      <c r="A3241" s="2"/>
      <c r="D3241" s="2"/>
      <c r="G3241" s="2"/>
      <c r="J3241" s="2"/>
      <c r="M3241" s="2"/>
    </row>
    <row r="3242" spans="1:13" x14ac:dyDescent="0.25">
      <c r="A3242" s="2"/>
      <c r="D3242" s="2"/>
      <c r="G3242" s="2"/>
      <c r="J3242" s="2"/>
      <c r="M3242" s="2"/>
    </row>
    <row r="3243" spans="1:13" x14ac:dyDescent="0.25">
      <c r="A3243" s="2"/>
      <c r="D3243" s="2"/>
      <c r="G3243" s="2"/>
      <c r="J3243" s="2"/>
      <c r="M3243" s="2"/>
    </row>
    <row r="3244" spans="1:13" x14ac:dyDescent="0.25">
      <c r="A3244" s="2"/>
      <c r="D3244" s="2"/>
      <c r="G3244" s="2"/>
      <c r="J3244" s="2"/>
      <c r="M3244" s="2"/>
    </row>
    <row r="3245" spans="1:13" x14ac:dyDescent="0.25">
      <c r="A3245" s="2"/>
      <c r="D3245" s="2"/>
      <c r="G3245" s="2"/>
      <c r="J3245" s="2"/>
      <c r="M3245" s="2"/>
    </row>
    <row r="3246" spans="1:13" x14ac:dyDescent="0.25">
      <c r="A3246" s="2"/>
      <c r="D3246" s="2"/>
      <c r="G3246" s="2"/>
      <c r="J3246" s="2"/>
      <c r="M3246" s="2"/>
    </row>
    <row r="3247" spans="1:13" x14ac:dyDescent="0.25">
      <c r="A3247" s="2"/>
      <c r="D3247" s="2"/>
      <c r="G3247" s="2"/>
      <c r="J3247" s="2"/>
      <c r="M3247" s="2"/>
    </row>
    <row r="3248" spans="1:13" x14ac:dyDescent="0.25">
      <c r="A3248" s="2"/>
      <c r="D3248" s="2"/>
      <c r="G3248" s="2"/>
      <c r="J3248" s="2"/>
      <c r="M3248" s="2"/>
    </row>
    <row r="3249" spans="1:13" x14ac:dyDescent="0.25">
      <c r="A3249" s="2"/>
      <c r="D3249" s="2"/>
      <c r="G3249" s="2"/>
      <c r="J3249" s="2"/>
      <c r="M3249" s="2"/>
    </row>
    <row r="3250" spans="1:13" x14ac:dyDescent="0.25">
      <c r="A3250" s="2"/>
      <c r="D3250" s="2"/>
      <c r="G3250" s="2"/>
      <c r="J3250" s="2"/>
      <c r="M3250" s="2"/>
    </row>
    <row r="3251" spans="1:13" x14ac:dyDescent="0.25">
      <c r="A3251" s="2"/>
      <c r="D3251" s="2"/>
      <c r="G3251" s="2"/>
      <c r="J3251" s="2"/>
      <c r="M3251" s="2"/>
    </row>
    <row r="3252" spans="1:13" x14ac:dyDescent="0.25">
      <c r="A3252" s="2"/>
      <c r="D3252" s="2"/>
      <c r="G3252" s="2"/>
      <c r="J3252" s="2"/>
      <c r="M3252" s="2"/>
    </row>
    <row r="3253" spans="1:13" x14ac:dyDescent="0.25">
      <c r="A3253" s="2"/>
      <c r="D3253" s="2"/>
      <c r="G3253" s="2"/>
      <c r="J3253" s="2"/>
      <c r="M3253" s="2"/>
    </row>
    <row r="3254" spans="1:13" x14ac:dyDescent="0.25">
      <c r="A3254" s="2"/>
      <c r="D3254" s="2"/>
      <c r="G3254" s="2"/>
      <c r="J3254" s="2"/>
      <c r="M3254" s="2"/>
    </row>
    <row r="3255" spans="1:13" x14ac:dyDescent="0.25">
      <c r="A3255" s="2"/>
      <c r="D3255" s="2"/>
      <c r="G3255" s="2"/>
      <c r="J3255" s="2"/>
      <c r="M3255" s="2"/>
    </row>
    <row r="3256" spans="1:13" x14ac:dyDescent="0.25">
      <c r="A3256" s="2"/>
      <c r="D3256" s="2"/>
      <c r="G3256" s="2"/>
      <c r="J3256" s="2"/>
      <c r="M3256" s="2"/>
    </row>
    <row r="3257" spans="1:13" x14ac:dyDescent="0.25">
      <c r="A3257" s="2"/>
      <c r="D3257" s="2"/>
      <c r="G3257" s="2"/>
      <c r="J3257" s="2"/>
      <c r="M3257" s="2"/>
    </row>
    <row r="3258" spans="1:13" x14ac:dyDescent="0.25">
      <c r="A3258" s="2"/>
      <c r="D3258" s="2"/>
      <c r="G3258" s="2"/>
      <c r="J3258" s="2"/>
      <c r="M3258" s="2"/>
    </row>
    <row r="3259" spans="1:13" x14ac:dyDescent="0.25">
      <c r="A3259" s="2"/>
      <c r="D3259" s="2"/>
      <c r="G3259" s="2"/>
      <c r="J3259" s="2"/>
      <c r="M3259" s="2"/>
    </row>
    <row r="3260" spans="1:13" x14ac:dyDescent="0.25">
      <c r="A3260" s="2"/>
      <c r="D3260" s="2"/>
      <c r="G3260" s="2"/>
      <c r="J3260" s="2"/>
      <c r="M3260" s="2"/>
    </row>
    <row r="3261" spans="1:13" x14ac:dyDescent="0.25">
      <c r="A3261" s="2"/>
      <c r="D3261" s="2"/>
      <c r="G3261" s="2"/>
      <c r="J3261" s="2"/>
      <c r="M3261" s="2"/>
    </row>
    <row r="3262" spans="1:13" x14ac:dyDescent="0.25">
      <c r="A3262" s="2"/>
      <c r="D3262" s="2"/>
      <c r="G3262" s="2"/>
      <c r="J3262" s="2"/>
      <c r="M3262" s="2"/>
    </row>
    <row r="3263" spans="1:13" x14ac:dyDescent="0.25">
      <c r="A3263" s="2"/>
      <c r="D3263" s="2"/>
      <c r="G3263" s="2"/>
      <c r="J3263" s="2"/>
      <c r="M3263" s="2"/>
    </row>
    <row r="3264" spans="1:13" x14ac:dyDescent="0.25">
      <c r="A3264" s="2"/>
      <c r="D3264" s="2"/>
      <c r="G3264" s="2"/>
      <c r="J3264" s="2"/>
      <c r="M3264" s="2"/>
    </row>
    <row r="3265" spans="1:13" x14ac:dyDescent="0.25">
      <c r="A3265" s="2"/>
      <c r="D3265" s="2"/>
      <c r="G3265" s="2"/>
      <c r="J3265" s="2"/>
      <c r="M3265" s="2"/>
    </row>
    <row r="3266" spans="1:13" x14ac:dyDescent="0.25">
      <c r="A3266" s="2"/>
      <c r="D3266" s="2"/>
      <c r="G3266" s="2"/>
      <c r="J3266" s="2"/>
      <c r="M3266" s="2"/>
    </row>
    <row r="3267" spans="1:13" x14ac:dyDescent="0.25">
      <c r="A3267" s="2"/>
      <c r="D3267" s="2"/>
      <c r="G3267" s="2"/>
      <c r="J3267" s="2"/>
      <c r="M3267" s="2"/>
    </row>
    <row r="3268" spans="1:13" x14ac:dyDescent="0.25">
      <c r="A3268" s="2"/>
      <c r="D3268" s="2"/>
      <c r="G3268" s="2"/>
      <c r="J3268" s="2"/>
      <c r="M3268" s="2"/>
    </row>
    <row r="3269" spans="1:13" x14ac:dyDescent="0.25">
      <c r="A3269" s="2"/>
      <c r="D3269" s="2"/>
      <c r="G3269" s="2"/>
      <c r="J3269" s="2"/>
      <c r="M3269" s="2"/>
    </row>
    <row r="3270" spans="1:13" x14ac:dyDescent="0.25">
      <c r="A3270" s="2"/>
      <c r="D3270" s="2"/>
      <c r="G3270" s="2"/>
      <c r="J3270" s="2"/>
      <c r="M3270" s="2"/>
    </row>
    <row r="3271" spans="1:13" x14ac:dyDescent="0.25">
      <c r="A3271" s="2"/>
      <c r="D3271" s="2"/>
      <c r="G3271" s="2"/>
      <c r="J3271" s="2"/>
      <c r="M3271" s="2"/>
    </row>
    <row r="3272" spans="1:13" x14ac:dyDescent="0.25">
      <c r="A3272" s="2"/>
      <c r="D3272" s="2"/>
      <c r="G3272" s="2"/>
      <c r="J3272" s="2"/>
      <c r="M3272" s="2"/>
    </row>
    <row r="3273" spans="1:13" x14ac:dyDescent="0.25">
      <c r="A3273" s="2"/>
      <c r="D3273" s="2"/>
      <c r="G3273" s="2"/>
      <c r="J3273" s="2"/>
      <c r="M3273" s="2"/>
    </row>
    <row r="3274" spans="1:13" x14ac:dyDescent="0.25">
      <c r="A3274" s="2"/>
      <c r="D3274" s="2"/>
      <c r="G3274" s="2"/>
      <c r="J3274" s="2"/>
      <c r="M3274" s="2"/>
    </row>
    <row r="3275" spans="1:13" x14ac:dyDescent="0.25">
      <c r="A3275" s="2"/>
      <c r="D3275" s="2"/>
      <c r="G3275" s="2"/>
      <c r="J3275" s="2"/>
      <c r="M3275" s="2"/>
    </row>
    <row r="3276" spans="1:13" x14ac:dyDescent="0.25">
      <c r="A3276" s="2"/>
      <c r="D3276" s="2"/>
      <c r="G3276" s="2"/>
      <c r="J3276" s="2"/>
      <c r="M3276" s="2"/>
    </row>
    <row r="3277" spans="1:13" x14ac:dyDescent="0.25">
      <c r="A3277" s="2"/>
      <c r="D3277" s="2"/>
      <c r="G3277" s="2"/>
      <c r="J3277" s="2"/>
      <c r="M3277" s="2"/>
    </row>
    <row r="3278" spans="1:13" x14ac:dyDescent="0.25">
      <c r="A3278" s="2"/>
      <c r="D3278" s="2"/>
      <c r="G3278" s="2"/>
      <c r="J3278" s="2"/>
      <c r="M3278" s="2"/>
    </row>
    <row r="3279" spans="1:13" x14ac:dyDescent="0.25">
      <c r="A3279" s="2"/>
      <c r="D3279" s="2"/>
      <c r="G3279" s="2"/>
      <c r="J3279" s="2"/>
      <c r="M3279" s="2"/>
    </row>
    <row r="3280" spans="1:13" x14ac:dyDescent="0.25">
      <c r="A3280" s="2"/>
      <c r="D3280" s="2"/>
      <c r="G3280" s="2"/>
      <c r="J3280" s="2"/>
      <c r="M3280" s="2"/>
    </row>
    <row r="3281" spans="1:13" x14ac:dyDescent="0.25">
      <c r="A3281" s="2"/>
      <c r="D3281" s="2"/>
      <c r="G3281" s="2"/>
      <c r="J3281" s="2"/>
      <c r="M3281" s="2"/>
    </row>
    <row r="3282" spans="1:13" x14ac:dyDescent="0.25">
      <c r="A3282" s="2"/>
      <c r="D3282" s="2"/>
      <c r="G3282" s="2"/>
      <c r="J3282" s="2"/>
      <c r="M3282" s="2"/>
    </row>
    <row r="3283" spans="1:13" x14ac:dyDescent="0.25">
      <c r="A3283" s="2"/>
      <c r="D3283" s="2"/>
      <c r="G3283" s="2"/>
      <c r="J3283" s="2"/>
      <c r="M3283" s="2"/>
    </row>
    <row r="3284" spans="1:13" x14ac:dyDescent="0.25">
      <c r="A3284" s="2"/>
      <c r="D3284" s="2"/>
      <c r="G3284" s="2"/>
      <c r="J3284" s="2"/>
      <c r="M3284" s="2"/>
    </row>
    <row r="3285" spans="1:13" x14ac:dyDescent="0.25">
      <c r="A3285" s="2"/>
      <c r="D3285" s="2"/>
      <c r="G3285" s="2"/>
      <c r="J3285" s="2"/>
      <c r="M3285" s="2"/>
    </row>
    <row r="3286" spans="1:13" x14ac:dyDescent="0.25">
      <c r="A3286" s="2"/>
      <c r="D3286" s="2"/>
      <c r="G3286" s="2"/>
      <c r="J3286" s="2"/>
      <c r="M3286" s="2"/>
    </row>
    <row r="3287" spans="1:13" x14ac:dyDescent="0.25">
      <c r="A3287" s="2"/>
      <c r="D3287" s="2"/>
      <c r="G3287" s="2"/>
      <c r="J3287" s="2"/>
      <c r="M3287" s="2"/>
    </row>
    <row r="3288" spans="1:13" x14ac:dyDescent="0.25">
      <c r="A3288" s="2"/>
      <c r="D3288" s="2"/>
      <c r="G3288" s="2"/>
      <c r="J3288" s="2"/>
      <c r="M3288" s="2"/>
    </row>
    <row r="3289" spans="1:13" x14ac:dyDescent="0.25">
      <c r="A3289" s="2"/>
      <c r="D3289" s="2"/>
      <c r="G3289" s="2"/>
      <c r="J3289" s="2"/>
      <c r="M3289" s="2"/>
    </row>
    <row r="3290" spans="1:13" x14ac:dyDescent="0.25">
      <c r="A3290" s="2"/>
      <c r="D3290" s="2"/>
      <c r="G3290" s="2"/>
      <c r="J3290" s="2"/>
      <c r="M3290" s="2"/>
    </row>
    <row r="3291" spans="1:13" x14ac:dyDescent="0.25">
      <c r="A3291" s="2"/>
      <c r="D3291" s="2"/>
      <c r="G3291" s="2"/>
      <c r="J3291" s="2"/>
      <c r="M3291" s="2"/>
    </row>
    <row r="3292" spans="1:13" x14ac:dyDescent="0.25">
      <c r="A3292" s="2"/>
      <c r="D3292" s="2"/>
      <c r="G3292" s="2"/>
      <c r="J3292" s="2"/>
      <c r="M3292" s="2"/>
    </row>
    <row r="3293" spans="1:13" x14ac:dyDescent="0.25">
      <c r="A3293" s="2"/>
      <c r="D3293" s="2"/>
      <c r="G3293" s="2"/>
      <c r="J3293" s="2"/>
      <c r="M3293" s="2"/>
    </row>
    <row r="3294" spans="1:13" x14ac:dyDescent="0.25">
      <c r="A3294" s="2"/>
      <c r="D3294" s="2"/>
      <c r="G3294" s="2"/>
      <c r="J3294" s="2"/>
      <c r="M3294" s="2"/>
    </row>
    <row r="3295" spans="1:13" x14ac:dyDescent="0.25">
      <c r="A3295" s="2"/>
      <c r="D3295" s="2"/>
      <c r="G3295" s="2"/>
      <c r="J3295" s="2"/>
      <c r="M3295" s="2"/>
    </row>
    <row r="3296" spans="1:13" x14ac:dyDescent="0.25">
      <c r="A3296" s="2"/>
      <c r="D3296" s="2"/>
      <c r="G3296" s="2"/>
      <c r="J3296" s="2"/>
      <c r="M3296" s="2"/>
    </row>
    <row r="3297" spans="1:13" x14ac:dyDescent="0.25">
      <c r="A3297" s="2"/>
      <c r="D3297" s="2"/>
      <c r="G3297" s="2"/>
      <c r="J3297" s="2"/>
      <c r="M3297" s="2"/>
    </row>
    <row r="3298" spans="1:13" x14ac:dyDescent="0.25">
      <c r="A3298" s="2"/>
      <c r="D3298" s="2"/>
      <c r="G3298" s="2"/>
      <c r="J3298" s="2"/>
      <c r="M3298" s="2"/>
    </row>
    <row r="3299" spans="1:13" x14ac:dyDescent="0.25">
      <c r="A3299" s="2"/>
      <c r="D3299" s="2"/>
      <c r="G3299" s="2"/>
      <c r="J3299" s="2"/>
      <c r="M3299" s="2"/>
    </row>
    <row r="3300" spans="1:13" x14ac:dyDescent="0.25">
      <c r="A3300" s="2"/>
      <c r="D3300" s="2"/>
      <c r="G3300" s="2"/>
      <c r="J3300" s="2"/>
      <c r="M3300" s="2"/>
    </row>
    <row r="3301" spans="1:13" x14ac:dyDescent="0.25">
      <c r="A3301" s="2"/>
      <c r="D3301" s="2"/>
      <c r="G3301" s="2"/>
      <c r="J3301" s="2"/>
      <c r="M3301" s="2"/>
    </row>
    <row r="3302" spans="1:13" x14ac:dyDescent="0.25">
      <c r="A3302" s="2"/>
      <c r="D3302" s="2"/>
      <c r="G3302" s="2"/>
      <c r="J3302" s="2"/>
      <c r="M3302" s="2"/>
    </row>
    <row r="3303" spans="1:13" x14ac:dyDescent="0.25">
      <c r="A3303" s="2"/>
      <c r="D3303" s="2"/>
      <c r="G3303" s="2"/>
      <c r="J3303" s="2"/>
      <c r="M3303" s="2"/>
    </row>
    <row r="3304" spans="1:13" x14ac:dyDescent="0.25">
      <c r="A3304" s="2"/>
      <c r="D3304" s="2"/>
      <c r="G3304" s="2"/>
      <c r="J3304" s="2"/>
      <c r="M3304" s="2"/>
    </row>
    <row r="3305" spans="1:13" x14ac:dyDescent="0.25">
      <c r="A3305" s="2"/>
      <c r="D3305" s="2"/>
      <c r="G3305" s="2"/>
      <c r="J3305" s="2"/>
      <c r="M3305" s="2"/>
    </row>
    <row r="3306" spans="1:13" x14ac:dyDescent="0.25">
      <c r="A3306" s="2"/>
      <c r="D3306" s="2"/>
      <c r="G3306" s="2"/>
      <c r="J3306" s="2"/>
      <c r="M3306" s="2"/>
    </row>
    <row r="3307" spans="1:13" x14ac:dyDescent="0.25">
      <c r="A3307" s="2"/>
      <c r="D3307" s="2"/>
      <c r="G3307" s="2"/>
      <c r="J3307" s="2"/>
      <c r="M3307" s="2"/>
    </row>
    <row r="3308" spans="1:13" x14ac:dyDescent="0.25">
      <c r="A3308" s="2"/>
      <c r="D3308" s="2"/>
      <c r="G3308" s="2"/>
      <c r="J3308" s="2"/>
      <c r="M3308" s="2"/>
    </row>
    <row r="3309" spans="1:13" x14ac:dyDescent="0.25">
      <c r="A3309" s="2"/>
      <c r="D3309" s="2"/>
      <c r="G3309" s="2"/>
      <c r="J3309" s="2"/>
      <c r="M3309" s="2"/>
    </row>
    <row r="3310" spans="1:13" x14ac:dyDescent="0.25">
      <c r="A3310" s="2"/>
      <c r="D3310" s="2"/>
      <c r="G3310" s="2"/>
      <c r="J3310" s="2"/>
      <c r="M3310" s="2"/>
    </row>
    <row r="3311" spans="1:13" x14ac:dyDescent="0.25">
      <c r="A3311" s="2"/>
      <c r="D3311" s="2"/>
      <c r="G3311" s="2"/>
      <c r="J3311" s="2"/>
      <c r="M3311" s="2"/>
    </row>
    <row r="3312" spans="1:13" x14ac:dyDescent="0.25">
      <c r="A3312" s="2"/>
      <c r="D3312" s="2"/>
      <c r="G3312" s="2"/>
      <c r="J3312" s="2"/>
      <c r="M3312" s="2"/>
    </row>
    <row r="3313" spans="1:13" x14ac:dyDescent="0.25">
      <c r="A3313" s="2"/>
      <c r="D3313" s="2"/>
      <c r="G3313" s="2"/>
      <c r="J3313" s="2"/>
      <c r="M3313" s="2"/>
    </row>
    <row r="3314" spans="1:13" x14ac:dyDescent="0.25">
      <c r="A3314" s="2"/>
      <c r="D3314" s="2"/>
      <c r="G3314" s="2"/>
      <c r="J3314" s="2"/>
      <c r="M3314" s="2"/>
    </row>
    <row r="3315" spans="1:13" x14ac:dyDescent="0.25">
      <c r="A3315" s="2"/>
      <c r="D3315" s="2"/>
      <c r="G3315" s="2"/>
      <c r="J3315" s="2"/>
      <c r="M3315" s="2"/>
    </row>
    <row r="3316" spans="1:13" x14ac:dyDescent="0.25">
      <c r="A3316" s="2"/>
      <c r="D3316" s="2"/>
      <c r="G3316" s="2"/>
      <c r="J3316" s="2"/>
      <c r="M3316" s="2"/>
    </row>
    <row r="3317" spans="1:13" x14ac:dyDescent="0.25">
      <c r="A3317" s="2"/>
      <c r="D3317" s="2"/>
      <c r="G3317" s="2"/>
      <c r="J3317" s="2"/>
      <c r="M3317" s="2"/>
    </row>
    <row r="3318" spans="1:13" x14ac:dyDescent="0.25">
      <c r="A3318" s="2"/>
      <c r="D3318" s="2"/>
      <c r="G3318" s="2"/>
      <c r="J3318" s="2"/>
      <c r="M3318" s="2"/>
    </row>
    <row r="3319" spans="1:13" x14ac:dyDescent="0.25">
      <c r="A3319" s="2"/>
      <c r="D3319" s="2"/>
      <c r="G3319" s="2"/>
      <c r="J3319" s="2"/>
      <c r="M3319" s="2"/>
    </row>
    <row r="3320" spans="1:13" x14ac:dyDescent="0.25">
      <c r="A3320" s="2"/>
      <c r="D3320" s="2"/>
      <c r="G3320" s="2"/>
      <c r="J3320" s="2"/>
      <c r="M3320" s="2"/>
    </row>
    <row r="3321" spans="1:13" x14ac:dyDescent="0.25">
      <c r="A3321" s="2"/>
      <c r="D3321" s="2"/>
      <c r="G3321" s="2"/>
      <c r="J3321" s="2"/>
      <c r="M3321" s="2"/>
    </row>
    <row r="3322" spans="1:13" x14ac:dyDescent="0.25">
      <c r="A3322" s="2"/>
      <c r="D3322" s="2"/>
      <c r="G3322" s="2"/>
      <c r="J3322" s="2"/>
      <c r="M3322" s="2"/>
    </row>
    <row r="3323" spans="1:13" x14ac:dyDescent="0.25">
      <c r="A3323" s="2"/>
      <c r="D3323" s="2"/>
      <c r="G3323" s="2"/>
      <c r="J3323" s="2"/>
      <c r="M3323" s="2"/>
    </row>
    <row r="3324" spans="1:13" x14ac:dyDescent="0.25">
      <c r="A3324" s="2"/>
      <c r="D3324" s="2"/>
      <c r="G3324" s="2"/>
      <c r="J3324" s="2"/>
      <c r="M3324" s="2"/>
    </row>
    <row r="3325" spans="1:13" x14ac:dyDescent="0.25">
      <c r="A3325" s="2"/>
      <c r="D3325" s="2"/>
      <c r="G3325" s="2"/>
      <c r="J3325" s="2"/>
      <c r="M3325" s="2"/>
    </row>
    <row r="3326" spans="1:13" x14ac:dyDescent="0.25">
      <c r="A3326" s="2"/>
      <c r="D3326" s="2"/>
      <c r="G3326" s="2"/>
      <c r="J3326" s="2"/>
      <c r="M3326" s="2"/>
    </row>
    <row r="3327" spans="1:13" x14ac:dyDescent="0.25">
      <c r="A3327" s="2"/>
      <c r="D3327" s="2"/>
      <c r="G3327" s="2"/>
      <c r="J3327" s="2"/>
      <c r="M3327" s="2"/>
    </row>
    <row r="3328" spans="1:13" x14ac:dyDescent="0.25">
      <c r="A3328" s="2"/>
      <c r="D3328" s="2"/>
      <c r="G3328" s="2"/>
      <c r="J3328" s="2"/>
      <c r="M3328" s="2"/>
    </row>
    <row r="3329" spans="1:13" x14ac:dyDescent="0.25">
      <c r="A3329" s="2"/>
      <c r="D3329" s="2"/>
      <c r="G3329" s="2"/>
      <c r="J3329" s="2"/>
      <c r="M3329" s="2"/>
    </row>
    <row r="3330" spans="1:13" x14ac:dyDescent="0.25">
      <c r="A3330" s="2"/>
      <c r="D3330" s="2"/>
      <c r="G3330" s="2"/>
      <c r="J3330" s="2"/>
      <c r="M3330" s="2"/>
    </row>
    <row r="3331" spans="1:13" x14ac:dyDescent="0.25">
      <c r="A3331" s="2"/>
      <c r="D3331" s="2"/>
      <c r="G3331" s="2"/>
      <c r="J3331" s="2"/>
      <c r="M3331" s="2"/>
    </row>
    <row r="3332" spans="1:13" x14ac:dyDescent="0.25">
      <c r="A3332" s="2"/>
      <c r="D3332" s="2"/>
      <c r="G3332" s="2"/>
      <c r="J3332" s="2"/>
      <c r="M3332" s="2"/>
    </row>
    <row r="3333" spans="1:13" x14ac:dyDescent="0.25">
      <c r="A3333" s="2"/>
      <c r="D3333" s="2"/>
      <c r="G3333" s="2"/>
      <c r="J3333" s="2"/>
      <c r="M3333" s="2"/>
    </row>
    <row r="3334" spans="1:13" x14ac:dyDescent="0.25">
      <c r="A3334" s="2"/>
      <c r="D3334" s="2"/>
      <c r="G3334" s="2"/>
      <c r="J3334" s="2"/>
      <c r="M3334" s="2"/>
    </row>
    <row r="3335" spans="1:13" x14ac:dyDescent="0.25">
      <c r="A3335" s="2"/>
      <c r="D3335" s="2"/>
      <c r="G3335" s="2"/>
      <c r="J3335" s="2"/>
      <c r="M3335" s="2"/>
    </row>
    <row r="3336" spans="1:13" x14ac:dyDescent="0.25">
      <c r="A3336" s="2"/>
      <c r="D3336" s="2"/>
      <c r="G3336" s="2"/>
      <c r="J3336" s="2"/>
      <c r="M3336" s="2"/>
    </row>
    <row r="3337" spans="1:13" x14ac:dyDescent="0.25">
      <c r="A3337" s="2"/>
      <c r="D3337" s="2"/>
      <c r="G3337" s="2"/>
      <c r="J3337" s="2"/>
      <c r="M3337" s="2"/>
    </row>
    <row r="3338" spans="1:13" x14ac:dyDescent="0.25">
      <c r="A3338" s="2"/>
      <c r="D3338" s="2"/>
      <c r="G3338" s="2"/>
      <c r="J3338" s="2"/>
      <c r="M3338" s="2"/>
    </row>
    <row r="3339" spans="1:13" x14ac:dyDescent="0.25">
      <c r="A3339" s="2"/>
      <c r="D3339" s="2"/>
      <c r="G3339" s="2"/>
      <c r="J3339" s="2"/>
      <c r="M3339" s="2"/>
    </row>
    <row r="3340" spans="1:13" x14ac:dyDescent="0.25">
      <c r="A3340" s="2"/>
      <c r="D3340" s="2"/>
      <c r="G3340" s="2"/>
      <c r="J3340" s="2"/>
      <c r="M3340" s="2"/>
    </row>
    <row r="3341" spans="1:13" x14ac:dyDescent="0.25">
      <c r="A3341" s="2"/>
      <c r="D3341" s="2"/>
      <c r="G3341" s="2"/>
      <c r="J3341" s="2"/>
      <c r="M3341" s="2"/>
    </row>
    <row r="3342" spans="1:13" x14ac:dyDescent="0.25">
      <c r="A3342" s="2"/>
      <c r="D3342" s="2"/>
      <c r="G3342" s="2"/>
      <c r="J3342" s="2"/>
      <c r="M3342" s="2"/>
    </row>
    <row r="3343" spans="1:13" x14ac:dyDescent="0.25">
      <c r="A3343" s="2"/>
      <c r="D3343" s="2"/>
      <c r="G3343" s="2"/>
      <c r="J3343" s="2"/>
      <c r="M3343" s="2"/>
    </row>
    <row r="3344" spans="1:13" x14ac:dyDescent="0.25">
      <c r="A3344" s="2"/>
      <c r="D3344" s="2"/>
      <c r="G3344" s="2"/>
      <c r="J3344" s="2"/>
      <c r="M3344" s="2"/>
    </row>
    <row r="3345" spans="1:13" x14ac:dyDescent="0.25">
      <c r="A3345" s="2"/>
      <c r="D3345" s="2"/>
      <c r="G3345" s="2"/>
      <c r="J3345" s="2"/>
      <c r="M3345" s="2"/>
    </row>
    <row r="3346" spans="1:13" x14ac:dyDescent="0.25">
      <c r="A3346" s="2"/>
      <c r="D3346" s="2"/>
      <c r="G3346" s="2"/>
      <c r="J3346" s="2"/>
      <c r="M3346" s="2"/>
    </row>
    <row r="3347" spans="1:13" x14ac:dyDescent="0.25">
      <c r="A3347" s="2"/>
      <c r="D3347" s="2"/>
      <c r="G3347" s="2"/>
      <c r="J3347" s="2"/>
      <c r="M3347" s="2"/>
    </row>
    <row r="3348" spans="1:13" x14ac:dyDescent="0.25">
      <c r="A3348" s="2"/>
      <c r="D3348" s="2"/>
      <c r="G3348" s="2"/>
      <c r="J3348" s="2"/>
      <c r="M3348" s="2"/>
    </row>
    <row r="3349" spans="1:13" x14ac:dyDescent="0.25">
      <c r="A3349" s="2"/>
      <c r="D3349" s="2"/>
      <c r="G3349" s="2"/>
      <c r="J3349" s="2"/>
      <c r="M3349" s="2"/>
    </row>
    <row r="3350" spans="1:13" x14ac:dyDescent="0.25">
      <c r="A3350" s="2"/>
      <c r="D3350" s="2"/>
      <c r="G3350" s="2"/>
      <c r="J3350" s="2"/>
      <c r="M3350" s="2"/>
    </row>
    <row r="3351" spans="1:13" x14ac:dyDescent="0.25">
      <c r="A3351" s="2"/>
      <c r="D3351" s="2"/>
      <c r="G3351" s="2"/>
      <c r="J3351" s="2"/>
      <c r="M3351" s="2"/>
    </row>
    <row r="3352" spans="1:13" x14ac:dyDescent="0.25">
      <c r="A3352" s="2"/>
      <c r="D3352" s="2"/>
      <c r="G3352" s="2"/>
      <c r="J3352" s="2"/>
      <c r="M3352" s="2"/>
    </row>
    <row r="3353" spans="1:13" x14ac:dyDescent="0.25">
      <c r="A3353" s="2"/>
      <c r="D3353" s="2"/>
      <c r="G3353" s="2"/>
      <c r="J3353" s="2"/>
      <c r="M3353" s="2"/>
    </row>
    <row r="3354" spans="1:13" x14ac:dyDescent="0.25">
      <c r="A3354" s="2"/>
      <c r="D3354" s="2"/>
      <c r="G3354" s="2"/>
      <c r="J3354" s="2"/>
      <c r="M3354" s="2"/>
    </row>
    <row r="3355" spans="1:13" x14ac:dyDescent="0.25">
      <c r="A3355" s="2"/>
      <c r="D3355" s="2"/>
      <c r="G3355" s="2"/>
      <c r="J3355" s="2"/>
      <c r="M3355" s="2"/>
    </row>
    <row r="3356" spans="1:13" x14ac:dyDescent="0.25">
      <c r="A3356" s="2"/>
      <c r="D3356" s="2"/>
      <c r="G3356" s="2"/>
      <c r="J3356" s="2"/>
      <c r="M3356" s="2"/>
    </row>
    <row r="3357" spans="1:13" x14ac:dyDescent="0.25">
      <c r="A3357" s="2"/>
      <c r="D3357" s="2"/>
      <c r="G3357" s="2"/>
      <c r="J3357" s="2"/>
      <c r="M3357" s="2"/>
    </row>
    <row r="3358" spans="1:13" x14ac:dyDescent="0.25">
      <c r="A3358" s="2"/>
      <c r="D3358" s="2"/>
      <c r="G3358" s="2"/>
      <c r="J3358" s="2"/>
      <c r="M3358" s="2"/>
    </row>
    <row r="3359" spans="1:13" x14ac:dyDescent="0.25">
      <c r="A3359" s="2"/>
      <c r="D3359" s="2"/>
      <c r="G3359" s="2"/>
      <c r="J3359" s="2"/>
      <c r="M3359" s="2"/>
    </row>
    <row r="3360" spans="1:13" x14ac:dyDescent="0.25">
      <c r="A3360" s="2"/>
      <c r="D3360" s="2"/>
      <c r="G3360" s="2"/>
      <c r="J3360" s="2"/>
      <c r="M3360" s="2"/>
    </row>
    <row r="3361" spans="1:13" x14ac:dyDescent="0.25">
      <c r="A3361" s="2"/>
      <c r="D3361" s="2"/>
      <c r="G3361" s="2"/>
      <c r="J3361" s="2"/>
      <c r="M3361" s="2"/>
    </row>
    <row r="3362" spans="1:13" x14ac:dyDescent="0.25">
      <c r="A3362" s="2"/>
      <c r="D3362" s="2"/>
      <c r="G3362" s="2"/>
      <c r="J3362" s="2"/>
      <c r="M3362" s="2"/>
    </row>
    <row r="3363" spans="1:13" x14ac:dyDescent="0.25">
      <c r="A3363" s="2"/>
      <c r="D3363" s="2"/>
      <c r="G3363" s="2"/>
      <c r="J3363" s="2"/>
      <c r="M3363" s="2"/>
    </row>
    <row r="3364" spans="1:13" x14ac:dyDescent="0.25">
      <c r="A3364" s="2"/>
      <c r="D3364" s="2"/>
      <c r="G3364" s="2"/>
      <c r="J3364" s="2"/>
      <c r="M3364" s="2"/>
    </row>
    <row r="3365" spans="1:13" x14ac:dyDescent="0.25">
      <c r="A3365" s="2"/>
      <c r="D3365" s="2"/>
      <c r="G3365" s="2"/>
      <c r="J3365" s="2"/>
      <c r="M3365" s="2"/>
    </row>
    <row r="3366" spans="1:13" x14ac:dyDescent="0.25">
      <c r="A3366" s="2"/>
      <c r="D3366" s="2"/>
      <c r="G3366" s="2"/>
      <c r="J3366" s="2"/>
      <c r="M3366" s="2"/>
    </row>
    <row r="3367" spans="1:13" x14ac:dyDescent="0.25">
      <c r="A3367" s="2"/>
      <c r="D3367" s="2"/>
      <c r="G3367" s="2"/>
      <c r="J3367" s="2"/>
      <c r="M3367" s="2"/>
    </row>
    <row r="3368" spans="1:13" x14ac:dyDescent="0.25">
      <c r="A3368" s="2"/>
      <c r="D3368" s="2"/>
      <c r="G3368" s="2"/>
      <c r="J3368" s="2"/>
      <c r="M3368" s="2"/>
    </row>
    <row r="3369" spans="1:13" x14ac:dyDescent="0.25">
      <c r="A3369" s="2"/>
      <c r="D3369" s="2"/>
      <c r="G3369" s="2"/>
      <c r="J3369" s="2"/>
      <c r="M3369" s="2"/>
    </row>
    <row r="3370" spans="1:13" x14ac:dyDescent="0.25">
      <c r="A3370" s="2"/>
      <c r="D3370" s="2"/>
      <c r="G3370" s="2"/>
      <c r="J3370" s="2"/>
      <c r="M3370" s="2"/>
    </row>
    <row r="3371" spans="1:13" x14ac:dyDescent="0.25">
      <c r="A3371" s="2"/>
      <c r="D3371" s="2"/>
      <c r="G3371" s="2"/>
      <c r="J3371" s="2"/>
      <c r="M3371" s="2"/>
    </row>
    <row r="3372" spans="1:13" x14ac:dyDescent="0.25">
      <c r="A3372" s="2"/>
      <c r="D3372" s="2"/>
      <c r="G3372" s="2"/>
      <c r="J3372" s="2"/>
      <c r="M3372" s="2"/>
    </row>
    <row r="3373" spans="1:13" x14ac:dyDescent="0.25">
      <c r="A3373" s="2"/>
      <c r="D3373" s="2"/>
      <c r="G3373" s="2"/>
      <c r="J3373" s="2"/>
      <c r="M3373" s="2"/>
    </row>
    <row r="3374" spans="1:13" x14ac:dyDescent="0.25">
      <c r="A3374" s="2"/>
      <c r="D3374" s="2"/>
      <c r="G3374" s="2"/>
      <c r="J3374" s="2"/>
      <c r="M3374" s="2"/>
    </row>
    <row r="3375" spans="1:13" x14ac:dyDescent="0.25">
      <c r="A3375" s="2"/>
      <c r="D3375" s="2"/>
      <c r="G3375" s="2"/>
      <c r="J3375" s="2"/>
      <c r="M3375" s="2"/>
    </row>
    <row r="3376" spans="1:13" x14ac:dyDescent="0.25">
      <c r="A3376" s="2"/>
      <c r="D3376" s="2"/>
      <c r="G3376" s="2"/>
      <c r="J3376" s="2"/>
      <c r="M3376" s="2"/>
    </row>
    <row r="3377" spans="1:13" x14ac:dyDescent="0.25">
      <c r="A3377" s="2"/>
      <c r="D3377" s="2"/>
      <c r="G3377" s="2"/>
      <c r="J3377" s="2"/>
      <c r="M3377" s="2"/>
    </row>
    <row r="3378" spans="1:13" x14ac:dyDescent="0.25">
      <c r="A3378" s="2"/>
      <c r="D3378" s="2"/>
      <c r="G3378" s="2"/>
      <c r="J3378" s="2"/>
      <c r="M3378" s="2"/>
    </row>
    <row r="3379" spans="1:13" x14ac:dyDescent="0.25">
      <c r="A3379" s="2"/>
      <c r="D3379" s="2"/>
      <c r="G3379" s="2"/>
      <c r="J3379" s="2"/>
      <c r="M3379" s="2"/>
    </row>
    <row r="3380" spans="1:13" x14ac:dyDescent="0.25">
      <c r="A3380" s="2"/>
      <c r="D3380" s="2"/>
      <c r="G3380" s="2"/>
      <c r="J3380" s="2"/>
      <c r="M3380" s="2"/>
    </row>
    <row r="3381" spans="1:13" x14ac:dyDescent="0.25">
      <c r="A3381" s="2"/>
      <c r="D3381" s="2"/>
      <c r="G3381" s="2"/>
      <c r="J3381" s="2"/>
      <c r="M3381" s="2"/>
    </row>
    <row r="3382" spans="1:13" x14ac:dyDescent="0.25">
      <c r="A3382" s="2"/>
      <c r="D3382" s="2"/>
      <c r="G3382" s="2"/>
      <c r="J3382" s="2"/>
      <c r="M3382" s="2"/>
    </row>
    <row r="3383" spans="1:13" x14ac:dyDescent="0.25">
      <c r="A3383" s="2"/>
      <c r="D3383" s="2"/>
      <c r="G3383" s="2"/>
      <c r="J3383" s="2"/>
      <c r="M3383" s="2"/>
    </row>
    <row r="3384" spans="1:13" x14ac:dyDescent="0.25">
      <c r="A3384" s="2"/>
      <c r="D3384" s="2"/>
      <c r="G3384" s="2"/>
      <c r="J3384" s="2"/>
      <c r="M3384" s="2"/>
    </row>
    <row r="3385" spans="1:13" x14ac:dyDescent="0.25">
      <c r="A3385" s="2"/>
      <c r="D3385" s="2"/>
      <c r="G3385" s="2"/>
      <c r="J3385" s="2"/>
      <c r="M3385" s="2"/>
    </row>
    <row r="3386" spans="1:13" x14ac:dyDescent="0.25">
      <c r="A3386" s="2"/>
      <c r="D3386" s="2"/>
      <c r="G3386" s="2"/>
      <c r="J3386" s="2"/>
      <c r="M3386" s="2"/>
    </row>
    <row r="3387" spans="1:13" x14ac:dyDescent="0.25">
      <c r="A3387" s="2"/>
      <c r="D3387" s="2"/>
      <c r="G3387" s="2"/>
      <c r="J3387" s="2"/>
      <c r="M3387" s="2"/>
    </row>
    <row r="3388" spans="1:13" x14ac:dyDescent="0.25">
      <c r="A3388" s="2"/>
      <c r="D3388" s="2"/>
      <c r="G3388" s="2"/>
      <c r="J3388" s="2"/>
      <c r="M3388" s="2"/>
    </row>
    <row r="3389" spans="1:13" x14ac:dyDescent="0.25">
      <c r="A3389" s="2"/>
      <c r="D3389" s="2"/>
      <c r="G3389" s="2"/>
      <c r="J3389" s="2"/>
      <c r="M3389" s="2"/>
    </row>
    <row r="3390" spans="1:13" x14ac:dyDescent="0.25">
      <c r="A3390" s="2"/>
      <c r="D3390" s="2"/>
      <c r="G3390" s="2"/>
      <c r="J3390" s="2"/>
      <c r="M3390" s="2"/>
    </row>
    <row r="3391" spans="1:13" x14ac:dyDescent="0.25">
      <c r="A3391" s="2"/>
      <c r="D3391" s="2"/>
      <c r="G3391" s="2"/>
      <c r="J3391" s="2"/>
      <c r="M3391" s="2"/>
    </row>
    <row r="3392" spans="1:13" x14ac:dyDescent="0.25">
      <c r="A3392" s="2"/>
      <c r="D3392" s="2"/>
      <c r="G3392" s="2"/>
      <c r="J3392" s="2"/>
      <c r="M3392" s="2"/>
    </row>
    <row r="3393" spans="1:13" x14ac:dyDescent="0.25">
      <c r="A3393" s="2"/>
      <c r="D3393" s="2"/>
      <c r="G3393" s="2"/>
      <c r="J3393" s="2"/>
      <c r="M3393" s="2"/>
    </row>
    <row r="3394" spans="1:13" x14ac:dyDescent="0.25">
      <c r="A3394" s="2"/>
      <c r="D3394" s="2"/>
      <c r="G3394" s="2"/>
      <c r="J3394" s="2"/>
      <c r="M3394" s="2"/>
    </row>
    <row r="3395" spans="1:13" x14ac:dyDescent="0.25">
      <c r="A3395" s="2"/>
      <c r="D3395" s="2"/>
      <c r="G3395" s="2"/>
      <c r="J3395" s="2"/>
      <c r="M3395" s="2"/>
    </row>
    <row r="3396" spans="1:13" x14ac:dyDescent="0.25">
      <c r="A3396" s="2"/>
      <c r="D3396" s="2"/>
      <c r="G3396" s="2"/>
      <c r="J3396" s="2"/>
      <c r="M3396" s="2"/>
    </row>
    <row r="3397" spans="1:13" x14ac:dyDescent="0.25">
      <c r="A3397" s="2"/>
      <c r="D3397" s="2"/>
      <c r="G3397" s="2"/>
      <c r="J3397" s="2"/>
      <c r="M3397" s="2"/>
    </row>
    <row r="3398" spans="1:13" x14ac:dyDescent="0.25">
      <c r="A3398" s="2"/>
      <c r="D3398" s="2"/>
      <c r="G3398" s="2"/>
      <c r="J3398" s="2"/>
      <c r="M3398" s="2"/>
    </row>
    <row r="3399" spans="1:13" x14ac:dyDescent="0.25">
      <c r="A3399" s="2"/>
      <c r="D3399" s="2"/>
      <c r="G3399" s="2"/>
      <c r="J3399" s="2"/>
      <c r="M3399" s="2"/>
    </row>
    <row r="3400" spans="1:13" x14ac:dyDescent="0.25">
      <c r="A3400" s="2"/>
      <c r="D3400" s="2"/>
      <c r="G3400" s="2"/>
      <c r="J3400" s="2"/>
      <c r="M3400" s="2"/>
    </row>
    <row r="3401" spans="1:13" x14ac:dyDescent="0.25">
      <c r="A3401" s="2"/>
      <c r="D3401" s="2"/>
      <c r="G3401" s="2"/>
      <c r="J3401" s="2"/>
      <c r="M3401" s="2"/>
    </row>
    <row r="3402" spans="1:13" x14ac:dyDescent="0.25">
      <c r="A3402" s="2"/>
      <c r="D3402" s="2"/>
      <c r="G3402" s="2"/>
      <c r="J3402" s="2"/>
      <c r="M3402" s="2"/>
    </row>
    <row r="3403" spans="1:13" x14ac:dyDescent="0.25">
      <c r="A3403" s="2"/>
      <c r="D3403" s="2"/>
      <c r="G3403" s="2"/>
      <c r="J3403" s="2"/>
      <c r="M3403" s="2"/>
    </row>
    <row r="3404" spans="1:13" x14ac:dyDescent="0.25">
      <c r="A3404" s="2"/>
      <c r="D3404" s="2"/>
      <c r="G3404" s="2"/>
      <c r="J3404" s="2"/>
      <c r="M3404" s="2"/>
    </row>
    <row r="3405" spans="1:13" x14ac:dyDescent="0.25">
      <c r="A3405" s="2"/>
      <c r="D3405" s="2"/>
      <c r="G3405" s="2"/>
      <c r="J3405" s="2"/>
      <c r="M3405" s="2"/>
    </row>
    <row r="3406" spans="1:13" x14ac:dyDescent="0.25">
      <c r="A3406" s="2"/>
      <c r="D3406" s="2"/>
      <c r="G3406" s="2"/>
      <c r="J3406" s="2"/>
      <c r="M3406" s="2"/>
    </row>
    <row r="3407" spans="1:13" x14ac:dyDescent="0.25">
      <c r="A3407" s="2"/>
      <c r="D3407" s="2"/>
      <c r="G3407" s="2"/>
      <c r="J3407" s="2"/>
      <c r="M3407" s="2"/>
    </row>
    <row r="3408" spans="1:13" x14ac:dyDescent="0.25">
      <c r="A3408" s="2"/>
      <c r="D3408" s="2"/>
      <c r="G3408" s="2"/>
      <c r="J3408" s="2"/>
      <c r="M3408" s="2"/>
    </row>
    <row r="3409" spans="1:13" x14ac:dyDescent="0.25">
      <c r="A3409" s="2"/>
      <c r="D3409" s="2"/>
      <c r="G3409" s="2"/>
      <c r="J3409" s="2"/>
      <c r="M3409" s="2"/>
    </row>
    <row r="3410" spans="1:13" x14ac:dyDescent="0.25">
      <c r="A3410" s="2"/>
      <c r="D3410" s="2"/>
      <c r="G3410" s="2"/>
      <c r="J3410" s="2"/>
      <c r="M3410" s="2"/>
    </row>
    <row r="3411" spans="1:13" x14ac:dyDescent="0.25">
      <c r="A3411" s="2"/>
      <c r="D3411" s="2"/>
      <c r="G3411" s="2"/>
      <c r="J3411" s="2"/>
      <c r="M3411" s="2"/>
    </row>
    <row r="3412" spans="1:13" x14ac:dyDescent="0.25">
      <c r="A3412" s="2"/>
      <c r="D3412" s="2"/>
      <c r="G3412" s="2"/>
      <c r="J3412" s="2"/>
      <c r="M3412" s="2"/>
    </row>
    <row r="3413" spans="1:13" x14ac:dyDescent="0.25">
      <c r="A3413" s="2"/>
      <c r="D3413" s="2"/>
      <c r="G3413" s="2"/>
      <c r="J3413" s="2"/>
      <c r="M3413" s="2"/>
    </row>
    <row r="3414" spans="1:13" x14ac:dyDescent="0.25">
      <c r="A3414" s="2"/>
      <c r="D3414" s="2"/>
      <c r="G3414" s="2"/>
      <c r="J3414" s="2"/>
      <c r="M3414" s="2"/>
    </row>
    <row r="3415" spans="1:13" x14ac:dyDescent="0.25">
      <c r="A3415" s="2"/>
      <c r="D3415" s="2"/>
      <c r="G3415" s="2"/>
      <c r="J3415" s="2"/>
      <c r="M3415" s="2"/>
    </row>
    <row r="3416" spans="1:13" x14ac:dyDescent="0.25">
      <c r="A3416" s="2"/>
      <c r="D3416" s="2"/>
      <c r="G3416" s="2"/>
      <c r="J3416" s="2"/>
      <c r="M3416" s="2"/>
    </row>
    <row r="3417" spans="1:13" x14ac:dyDescent="0.25">
      <c r="A3417" s="2"/>
      <c r="D3417" s="2"/>
      <c r="G3417" s="2"/>
      <c r="J3417" s="2"/>
      <c r="M3417" s="2"/>
    </row>
    <row r="3418" spans="1:13" x14ac:dyDescent="0.25">
      <c r="A3418" s="2"/>
      <c r="D3418" s="2"/>
      <c r="G3418" s="2"/>
      <c r="J3418" s="2"/>
      <c r="M3418" s="2"/>
    </row>
    <row r="3419" spans="1:13" x14ac:dyDescent="0.25">
      <c r="A3419" s="2"/>
      <c r="D3419" s="2"/>
      <c r="G3419" s="2"/>
      <c r="J3419" s="2"/>
      <c r="M3419" s="2"/>
    </row>
    <row r="3420" spans="1:13" x14ac:dyDescent="0.25">
      <c r="A3420" s="2"/>
      <c r="D3420" s="2"/>
      <c r="G3420" s="2"/>
      <c r="J3420" s="2"/>
      <c r="M3420" s="2"/>
    </row>
    <row r="3421" spans="1:13" x14ac:dyDescent="0.25">
      <c r="A3421" s="2"/>
      <c r="D3421" s="2"/>
      <c r="G3421" s="2"/>
      <c r="J3421" s="2"/>
      <c r="M3421" s="2"/>
    </row>
    <row r="3422" spans="1:13" x14ac:dyDescent="0.25">
      <c r="A3422" s="2"/>
      <c r="D3422" s="2"/>
      <c r="G3422" s="2"/>
      <c r="J3422" s="2"/>
      <c r="M3422" s="2"/>
    </row>
    <row r="3423" spans="1:13" x14ac:dyDescent="0.25">
      <c r="A3423" s="2"/>
      <c r="D3423" s="2"/>
      <c r="G3423" s="2"/>
      <c r="J3423" s="2"/>
      <c r="M3423" s="2"/>
    </row>
    <row r="3424" spans="1:13" x14ac:dyDescent="0.25">
      <c r="A3424" s="2"/>
      <c r="D3424" s="2"/>
      <c r="G3424" s="2"/>
      <c r="J3424" s="2"/>
      <c r="M3424" s="2"/>
    </row>
    <row r="3425" spans="1:13" x14ac:dyDescent="0.25">
      <c r="A3425" s="2"/>
      <c r="D3425" s="2"/>
      <c r="G3425" s="2"/>
      <c r="J3425" s="2"/>
      <c r="M3425" s="2"/>
    </row>
    <row r="3426" spans="1:13" x14ac:dyDescent="0.25">
      <c r="A3426" s="2"/>
      <c r="D3426" s="2"/>
      <c r="G3426" s="2"/>
      <c r="J3426" s="2"/>
      <c r="M3426" s="2"/>
    </row>
    <row r="3427" spans="1:13" x14ac:dyDescent="0.25">
      <c r="A3427" s="2"/>
      <c r="D3427" s="2"/>
      <c r="G3427" s="2"/>
      <c r="J3427" s="2"/>
      <c r="M3427" s="2"/>
    </row>
    <row r="3428" spans="1:13" x14ac:dyDescent="0.25">
      <c r="A3428" s="2"/>
      <c r="D3428" s="2"/>
      <c r="G3428" s="2"/>
      <c r="J3428" s="2"/>
      <c r="M3428" s="2"/>
    </row>
    <row r="3429" spans="1:13" x14ac:dyDescent="0.25">
      <c r="A3429" s="2"/>
      <c r="D3429" s="2"/>
      <c r="G3429" s="2"/>
      <c r="J3429" s="2"/>
      <c r="M3429" s="2"/>
    </row>
    <row r="3430" spans="1:13" x14ac:dyDescent="0.25">
      <c r="A3430" s="2"/>
      <c r="D3430" s="2"/>
      <c r="G3430" s="2"/>
      <c r="J3430" s="2"/>
      <c r="M3430" s="2"/>
    </row>
    <row r="3431" spans="1:13" x14ac:dyDescent="0.25">
      <c r="A3431" s="2"/>
      <c r="D3431" s="2"/>
      <c r="G3431" s="2"/>
      <c r="J3431" s="2"/>
      <c r="M3431" s="2"/>
    </row>
    <row r="3432" spans="1:13" x14ac:dyDescent="0.25">
      <c r="A3432" s="2"/>
      <c r="D3432" s="2"/>
      <c r="G3432" s="2"/>
      <c r="J3432" s="2"/>
      <c r="M3432" s="2"/>
    </row>
    <row r="3433" spans="1:13" x14ac:dyDescent="0.25">
      <c r="A3433" s="2"/>
      <c r="D3433" s="2"/>
      <c r="G3433" s="2"/>
      <c r="J3433" s="2"/>
      <c r="M3433" s="2"/>
    </row>
    <row r="3434" spans="1:13" x14ac:dyDescent="0.25">
      <c r="A3434" s="2"/>
      <c r="D3434" s="2"/>
      <c r="G3434" s="2"/>
      <c r="J3434" s="2"/>
      <c r="M3434" s="2"/>
    </row>
    <row r="3435" spans="1:13" x14ac:dyDescent="0.25">
      <c r="A3435" s="2"/>
      <c r="D3435" s="2"/>
      <c r="G3435" s="2"/>
      <c r="J3435" s="2"/>
      <c r="M3435" s="2"/>
    </row>
    <row r="3436" spans="1:13" x14ac:dyDescent="0.25">
      <c r="A3436" s="2"/>
      <c r="D3436" s="2"/>
      <c r="G3436" s="2"/>
      <c r="J3436" s="2"/>
      <c r="M3436" s="2"/>
    </row>
    <row r="3437" spans="1:13" x14ac:dyDescent="0.25">
      <c r="A3437" s="2"/>
      <c r="D3437" s="2"/>
      <c r="G3437" s="2"/>
      <c r="J3437" s="2"/>
      <c r="M3437" s="2"/>
    </row>
    <row r="3438" spans="1:13" x14ac:dyDescent="0.25">
      <c r="A3438" s="2"/>
      <c r="D3438" s="2"/>
      <c r="G3438" s="2"/>
      <c r="J3438" s="2"/>
      <c r="M3438" s="2"/>
    </row>
    <row r="3439" spans="1:13" x14ac:dyDescent="0.25">
      <c r="A3439" s="2"/>
      <c r="D3439" s="2"/>
      <c r="G3439" s="2"/>
      <c r="J3439" s="2"/>
      <c r="M3439" s="2"/>
    </row>
    <row r="3440" spans="1:13" x14ac:dyDescent="0.25">
      <c r="A3440" s="2"/>
      <c r="D3440" s="2"/>
      <c r="G3440" s="2"/>
      <c r="J3440" s="2"/>
      <c r="M3440" s="2"/>
    </row>
    <row r="3441" spans="1:13" x14ac:dyDescent="0.25">
      <c r="A3441" s="2"/>
      <c r="D3441" s="2"/>
      <c r="G3441" s="2"/>
      <c r="J3441" s="2"/>
      <c r="M3441" s="2"/>
    </row>
    <row r="3442" spans="1:13" x14ac:dyDescent="0.25">
      <c r="A3442" s="2"/>
      <c r="D3442" s="2"/>
      <c r="G3442" s="2"/>
      <c r="J3442" s="2"/>
      <c r="M3442" s="2"/>
    </row>
    <row r="3443" spans="1:13" x14ac:dyDescent="0.25">
      <c r="A3443" s="2"/>
      <c r="D3443" s="2"/>
      <c r="G3443" s="2"/>
      <c r="J3443" s="2"/>
      <c r="M3443" s="2"/>
    </row>
    <row r="3444" spans="1:13" x14ac:dyDescent="0.25">
      <c r="A3444" s="2"/>
      <c r="D3444" s="2"/>
      <c r="G3444" s="2"/>
      <c r="J3444" s="2"/>
      <c r="M3444" s="2"/>
    </row>
    <row r="3445" spans="1:13" x14ac:dyDescent="0.25">
      <c r="A3445" s="2"/>
      <c r="D3445" s="2"/>
      <c r="G3445" s="2"/>
      <c r="J3445" s="2"/>
      <c r="M3445" s="2"/>
    </row>
    <row r="3446" spans="1:13" x14ac:dyDescent="0.25">
      <c r="A3446" s="2"/>
      <c r="D3446" s="2"/>
      <c r="G3446" s="2"/>
      <c r="J3446" s="2"/>
      <c r="M3446" s="2"/>
    </row>
    <row r="3447" spans="1:13" x14ac:dyDescent="0.25">
      <c r="A3447" s="2"/>
      <c r="D3447" s="2"/>
      <c r="G3447" s="2"/>
      <c r="J3447" s="2"/>
      <c r="M3447" s="2"/>
    </row>
    <row r="3448" spans="1:13" x14ac:dyDescent="0.25">
      <c r="A3448" s="2"/>
      <c r="D3448" s="2"/>
      <c r="G3448" s="2"/>
      <c r="J3448" s="2"/>
      <c r="M3448" s="2"/>
    </row>
    <row r="3449" spans="1:13" x14ac:dyDescent="0.25">
      <c r="A3449" s="2"/>
      <c r="D3449" s="2"/>
      <c r="G3449" s="2"/>
      <c r="J3449" s="2"/>
      <c r="M3449" s="2"/>
    </row>
    <row r="3450" spans="1:13" x14ac:dyDescent="0.25">
      <c r="A3450" s="2"/>
      <c r="D3450" s="2"/>
      <c r="G3450" s="2"/>
      <c r="J3450" s="2"/>
      <c r="M3450" s="2"/>
    </row>
    <row r="3451" spans="1:13" x14ac:dyDescent="0.25">
      <c r="A3451" s="2"/>
      <c r="D3451" s="2"/>
      <c r="G3451" s="2"/>
      <c r="J3451" s="2"/>
      <c r="M3451" s="2"/>
    </row>
    <row r="3452" spans="1:13" x14ac:dyDescent="0.25">
      <c r="A3452" s="2"/>
      <c r="D3452" s="2"/>
      <c r="G3452" s="2"/>
      <c r="J3452" s="2"/>
      <c r="M3452" s="2"/>
    </row>
    <row r="3453" spans="1:13" x14ac:dyDescent="0.25">
      <c r="A3453" s="2"/>
      <c r="D3453" s="2"/>
      <c r="G3453" s="2"/>
      <c r="J3453" s="2"/>
      <c r="M3453" s="2"/>
    </row>
    <row r="3454" spans="1:13" x14ac:dyDescent="0.25">
      <c r="A3454" s="2"/>
      <c r="D3454" s="2"/>
      <c r="G3454" s="2"/>
      <c r="J3454" s="2"/>
      <c r="M3454" s="2"/>
    </row>
    <row r="3455" spans="1:13" x14ac:dyDescent="0.25">
      <c r="A3455" s="2"/>
      <c r="D3455" s="2"/>
      <c r="G3455" s="2"/>
      <c r="J3455" s="2"/>
      <c r="M3455" s="2"/>
    </row>
    <row r="3456" spans="1:13" x14ac:dyDescent="0.25">
      <c r="A3456" s="2"/>
      <c r="D3456" s="2"/>
      <c r="G3456" s="2"/>
      <c r="J3456" s="2"/>
      <c r="M3456" s="2"/>
    </row>
    <row r="3457" spans="1:13" x14ac:dyDescent="0.25">
      <c r="A3457" s="2"/>
      <c r="D3457" s="2"/>
      <c r="G3457" s="2"/>
      <c r="J3457" s="2"/>
      <c r="M3457" s="2"/>
    </row>
    <row r="3458" spans="1:13" x14ac:dyDescent="0.25">
      <c r="A3458" s="2"/>
      <c r="D3458" s="2"/>
      <c r="G3458" s="2"/>
      <c r="J3458" s="2"/>
      <c r="M3458" s="2"/>
    </row>
    <row r="3459" spans="1:13" x14ac:dyDescent="0.25">
      <c r="A3459" s="2"/>
      <c r="D3459" s="2"/>
      <c r="G3459" s="2"/>
      <c r="J3459" s="2"/>
      <c r="M3459" s="2"/>
    </row>
    <row r="3460" spans="1:13" x14ac:dyDescent="0.25">
      <c r="A3460" s="2"/>
      <c r="D3460" s="2"/>
      <c r="G3460" s="2"/>
      <c r="J3460" s="2"/>
      <c r="M3460" s="2"/>
    </row>
    <row r="3461" spans="1:13" x14ac:dyDescent="0.25">
      <c r="A3461" s="2"/>
      <c r="D3461" s="2"/>
      <c r="G3461" s="2"/>
      <c r="J3461" s="2"/>
      <c r="M3461" s="2"/>
    </row>
    <row r="3462" spans="1:13" x14ac:dyDescent="0.25">
      <c r="A3462" s="2"/>
      <c r="D3462" s="2"/>
      <c r="G3462" s="2"/>
      <c r="J3462" s="2"/>
      <c r="M3462" s="2"/>
    </row>
    <row r="3463" spans="1:13" x14ac:dyDescent="0.25">
      <c r="A3463" s="2"/>
      <c r="D3463" s="2"/>
      <c r="G3463" s="2"/>
      <c r="J3463" s="2"/>
      <c r="M3463" s="2"/>
    </row>
    <row r="3464" spans="1:13" x14ac:dyDescent="0.25">
      <c r="A3464" s="2"/>
      <c r="D3464" s="2"/>
      <c r="G3464" s="2"/>
      <c r="J3464" s="2"/>
      <c r="M3464" s="2"/>
    </row>
    <row r="3465" spans="1:13" x14ac:dyDescent="0.25">
      <c r="A3465" s="2"/>
      <c r="D3465" s="2"/>
      <c r="G3465" s="2"/>
      <c r="J3465" s="2"/>
      <c r="M3465" s="2"/>
    </row>
    <row r="3466" spans="1:13" x14ac:dyDescent="0.25">
      <c r="A3466" s="2"/>
      <c r="D3466" s="2"/>
      <c r="G3466" s="2"/>
      <c r="J3466" s="2"/>
      <c r="M3466" s="2"/>
    </row>
    <row r="3467" spans="1:13" x14ac:dyDescent="0.25">
      <c r="A3467" s="2"/>
      <c r="D3467" s="2"/>
      <c r="G3467" s="2"/>
      <c r="J3467" s="2"/>
      <c r="M3467" s="2"/>
    </row>
    <row r="3468" spans="1:13" x14ac:dyDescent="0.25">
      <c r="A3468" s="2"/>
      <c r="D3468" s="2"/>
      <c r="G3468" s="2"/>
      <c r="J3468" s="2"/>
      <c r="M3468" s="2"/>
    </row>
    <row r="3469" spans="1:13" x14ac:dyDescent="0.25">
      <c r="A3469" s="2"/>
      <c r="D3469" s="2"/>
      <c r="G3469" s="2"/>
      <c r="J3469" s="2"/>
      <c r="M3469" s="2"/>
    </row>
    <row r="3470" spans="1:13" x14ac:dyDescent="0.25">
      <c r="A3470" s="2"/>
      <c r="D3470" s="2"/>
      <c r="G3470" s="2"/>
      <c r="J3470" s="2"/>
      <c r="M3470" s="2"/>
    </row>
    <row r="3471" spans="1:13" x14ac:dyDescent="0.25">
      <c r="A3471" s="2"/>
      <c r="D3471" s="2"/>
      <c r="G3471" s="2"/>
      <c r="J3471" s="2"/>
      <c r="M3471" s="2"/>
    </row>
    <row r="3472" spans="1:13" x14ac:dyDescent="0.25">
      <c r="A3472" s="2"/>
      <c r="D3472" s="2"/>
      <c r="G3472" s="2"/>
      <c r="J3472" s="2"/>
      <c r="M3472" s="2"/>
    </row>
    <row r="3473" spans="1:13" x14ac:dyDescent="0.25">
      <c r="A3473" s="2"/>
      <c r="D3473" s="2"/>
      <c r="G3473" s="2"/>
      <c r="J3473" s="2"/>
      <c r="M3473" s="2"/>
    </row>
    <row r="3474" spans="1:13" x14ac:dyDescent="0.25">
      <c r="A3474" s="2"/>
      <c r="D3474" s="2"/>
      <c r="G3474" s="2"/>
      <c r="J3474" s="2"/>
      <c r="M3474" s="2"/>
    </row>
    <row r="3475" spans="1:13" x14ac:dyDescent="0.25">
      <c r="A3475" s="2"/>
      <c r="D3475" s="2"/>
      <c r="G3475" s="2"/>
      <c r="J3475" s="2"/>
      <c r="M3475" s="2"/>
    </row>
    <row r="3476" spans="1:13" x14ac:dyDescent="0.25">
      <c r="A3476" s="2"/>
      <c r="D3476" s="2"/>
      <c r="G3476" s="2"/>
      <c r="J3476" s="2"/>
      <c r="M3476" s="2"/>
    </row>
    <row r="3477" spans="1:13" x14ac:dyDescent="0.25">
      <c r="A3477" s="2"/>
      <c r="D3477" s="2"/>
      <c r="G3477" s="2"/>
      <c r="J3477" s="2"/>
      <c r="M3477" s="2"/>
    </row>
    <row r="3478" spans="1:13" x14ac:dyDescent="0.25">
      <c r="A3478" s="2"/>
      <c r="D3478" s="2"/>
      <c r="G3478" s="2"/>
      <c r="J3478" s="2"/>
      <c r="M3478" s="2"/>
    </row>
    <row r="3479" spans="1:13" x14ac:dyDescent="0.25">
      <c r="A3479" s="2"/>
      <c r="D3479" s="2"/>
      <c r="G3479" s="2"/>
      <c r="J3479" s="2"/>
      <c r="M3479" s="2"/>
    </row>
    <row r="3480" spans="1:13" x14ac:dyDescent="0.25">
      <c r="A3480" s="2"/>
      <c r="D3480" s="2"/>
      <c r="G3480" s="2"/>
      <c r="J3480" s="2"/>
      <c r="M3480" s="2"/>
    </row>
    <row r="3481" spans="1:13" x14ac:dyDescent="0.25">
      <c r="A3481" s="2"/>
      <c r="D3481" s="2"/>
      <c r="G3481" s="2"/>
      <c r="J3481" s="2"/>
      <c r="M3481" s="2"/>
    </row>
    <row r="3482" spans="1:13" x14ac:dyDescent="0.25">
      <c r="A3482" s="2"/>
      <c r="D3482" s="2"/>
      <c r="G3482" s="2"/>
      <c r="J3482" s="2"/>
      <c r="M3482" s="2"/>
    </row>
    <row r="3483" spans="1:13" x14ac:dyDescent="0.25">
      <c r="A3483" s="2"/>
      <c r="D3483" s="2"/>
      <c r="G3483" s="2"/>
      <c r="J3483" s="2"/>
      <c r="M3483" s="2"/>
    </row>
    <row r="3484" spans="1:13" x14ac:dyDescent="0.25">
      <c r="A3484" s="2"/>
      <c r="D3484" s="2"/>
      <c r="G3484" s="2"/>
      <c r="J3484" s="2"/>
      <c r="M3484" s="2"/>
    </row>
    <row r="3485" spans="1:13" x14ac:dyDescent="0.25">
      <c r="A3485" s="2"/>
      <c r="D3485" s="2"/>
      <c r="G3485" s="2"/>
      <c r="J3485" s="2"/>
      <c r="M3485" s="2"/>
    </row>
    <row r="3486" spans="1:13" x14ac:dyDescent="0.25">
      <c r="A3486" s="2"/>
      <c r="D3486" s="2"/>
      <c r="G3486" s="2"/>
      <c r="J3486" s="2"/>
      <c r="M3486" s="2"/>
    </row>
    <row r="3487" spans="1:13" x14ac:dyDescent="0.25">
      <c r="A3487" s="2"/>
      <c r="D3487" s="2"/>
      <c r="G3487" s="2"/>
      <c r="J3487" s="2"/>
      <c r="M3487" s="2"/>
    </row>
    <row r="3488" spans="1:13" x14ac:dyDescent="0.25">
      <c r="A3488" s="2"/>
      <c r="D3488" s="2"/>
      <c r="G3488" s="2"/>
      <c r="J3488" s="2"/>
      <c r="M3488" s="2"/>
    </row>
    <row r="3489" spans="1:13" x14ac:dyDescent="0.25">
      <c r="A3489" s="2"/>
      <c r="D3489" s="2"/>
      <c r="G3489" s="2"/>
      <c r="J3489" s="2"/>
      <c r="M3489" s="2"/>
    </row>
    <row r="3490" spans="1:13" x14ac:dyDescent="0.25">
      <c r="A3490" s="2"/>
      <c r="D3490" s="2"/>
      <c r="G3490" s="2"/>
      <c r="J3490" s="2"/>
      <c r="M3490" s="2"/>
    </row>
    <row r="3491" spans="1:13" x14ac:dyDescent="0.25">
      <c r="A3491" s="2"/>
      <c r="D3491" s="2"/>
      <c r="G3491" s="2"/>
      <c r="J3491" s="2"/>
      <c r="M3491" s="2"/>
    </row>
    <row r="3492" spans="1:13" x14ac:dyDescent="0.25">
      <c r="A3492" s="2"/>
      <c r="D3492" s="2"/>
      <c r="G3492" s="2"/>
      <c r="J3492" s="2"/>
      <c r="M3492" s="2"/>
    </row>
    <row r="3493" spans="1:13" x14ac:dyDescent="0.25">
      <c r="A3493" s="2"/>
      <c r="D3493" s="2"/>
      <c r="G3493" s="2"/>
      <c r="J3493" s="2"/>
      <c r="M3493" s="2"/>
    </row>
    <row r="3494" spans="1:13" x14ac:dyDescent="0.25">
      <c r="A3494" s="2"/>
      <c r="D3494" s="2"/>
      <c r="G3494" s="2"/>
      <c r="J3494" s="2"/>
      <c r="M3494" s="2"/>
    </row>
    <row r="3495" spans="1:13" x14ac:dyDescent="0.25">
      <c r="A3495" s="2"/>
      <c r="D3495" s="2"/>
      <c r="G3495" s="2"/>
      <c r="J3495" s="2"/>
      <c r="M3495" s="2"/>
    </row>
    <row r="3496" spans="1:13" x14ac:dyDescent="0.25">
      <c r="A3496" s="2"/>
      <c r="D3496" s="2"/>
      <c r="G3496" s="2"/>
      <c r="J3496" s="2"/>
      <c r="M3496" s="2"/>
    </row>
    <row r="3497" spans="1:13" x14ac:dyDescent="0.25">
      <c r="A3497" s="2"/>
      <c r="D3497" s="2"/>
      <c r="G3497" s="2"/>
      <c r="J3497" s="2"/>
      <c r="M3497" s="2"/>
    </row>
    <row r="3498" spans="1:13" x14ac:dyDescent="0.25">
      <c r="A3498" s="2"/>
      <c r="D3498" s="2"/>
      <c r="G3498" s="2"/>
      <c r="J3498" s="2"/>
      <c r="M3498" s="2"/>
    </row>
    <row r="3499" spans="1:13" x14ac:dyDescent="0.25">
      <c r="A3499" s="2"/>
      <c r="D3499" s="2"/>
      <c r="G3499" s="2"/>
      <c r="J3499" s="2"/>
      <c r="M3499" s="2"/>
    </row>
    <row r="3500" spans="1:13" x14ac:dyDescent="0.25">
      <c r="A3500" s="2"/>
      <c r="D3500" s="2"/>
      <c r="G3500" s="2"/>
      <c r="J3500" s="2"/>
      <c r="M3500" s="2"/>
    </row>
    <row r="3501" spans="1:13" x14ac:dyDescent="0.25">
      <c r="A3501" s="2"/>
      <c r="D3501" s="2"/>
      <c r="G3501" s="2"/>
      <c r="J3501" s="2"/>
      <c r="M3501" s="2"/>
    </row>
    <row r="3502" spans="1:13" x14ac:dyDescent="0.25">
      <c r="A3502" s="2"/>
      <c r="D3502" s="2"/>
      <c r="G3502" s="2"/>
      <c r="J3502" s="2"/>
      <c r="M3502" s="2"/>
    </row>
    <row r="3503" spans="1:13" x14ac:dyDescent="0.25">
      <c r="A3503" s="2"/>
      <c r="D3503" s="2"/>
      <c r="G3503" s="2"/>
      <c r="J3503" s="2"/>
      <c r="M3503" s="2"/>
    </row>
    <row r="3504" spans="1:13" x14ac:dyDescent="0.25">
      <c r="A3504" s="2"/>
      <c r="D3504" s="2"/>
      <c r="G3504" s="2"/>
      <c r="J3504" s="2"/>
      <c r="M3504" s="2"/>
    </row>
    <row r="3505" spans="1:13" x14ac:dyDescent="0.25">
      <c r="A3505" s="2"/>
      <c r="D3505" s="2"/>
      <c r="G3505" s="2"/>
      <c r="J3505" s="2"/>
      <c r="M3505" s="2"/>
    </row>
    <row r="3506" spans="1:13" x14ac:dyDescent="0.25">
      <c r="A3506" s="2"/>
      <c r="D3506" s="2"/>
      <c r="G3506" s="2"/>
      <c r="J3506" s="2"/>
      <c r="M3506" s="2"/>
    </row>
    <row r="3507" spans="1:13" x14ac:dyDescent="0.25">
      <c r="A3507" s="2"/>
      <c r="D3507" s="2"/>
      <c r="G3507" s="2"/>
      <c r="J3507" s="2"/>
      <c r="M3507" s="2"/>
    </row>
    <row r="3508" spans="1:13" x14ac:dyDescent="0.25">
      <c r="A3508" s="2"/>
      <c r="D3508" s="2"/>
      <c r="G3508" s="2"/>
      <c r="J3508" s="2"/>
      <c r="M3508" s="2"/>
    </row>
    <row r="3509" spans="1:13" x14ac:dyDescent="0.25">
      <c r="A3509" s="2"/>
      <c r="D3509" s="2"/>
      <c r="G3509" s="2"/>
      <c r="J3509" s="2"/>
      <c r="M3509" s="2"/>
    </row>
    <row r="3510" spans="1:13" x14ac:dyDescent="0.25">
      <c r="A3510" s="2"/>
      <c r="D3510" s="2"/>
      <c r="G3510" s="2"/>
      <c r="J3510" s="2"/>
      <c r="M3510" s="2"/>
    </row>
    <row r="3511" spans="1:13" x14ac:dyDescent="0.25">
      <c r="A3511" s="2"/>
      <c r="D3511" s="2"/>
      <c r="G3511" s="2"/>
      <c r="J3511" s="2"/>
      <c r="M3511" s="2"/>
    </row>
    <row r="3512" spans="1:13" x14ac:dyDescent="0.25">
      <c r="A3512" s="2"/>
      <c r="D3512" s="2"/>
      <c r="G3512" s="2"/>
      <c r="J3512" s="2"/>
      <c r="M3512" s="2"/>
    </row>
    <row r="3513" spans="1:13" x14ac:dyDescent="0.25">
      <c r="A3513" s="2"/>
      <c r="D3513" s="2"/>
      <c r="G3513" s="2"/>
      <c r="J3513" s="2"/>
      <c r="M3513" s="2"/>
    </row>
    <row r="3514" spans="1:13" x14ac:dyDescent="0.25">
      <c r="A3514" s="2"/>
      <c r="D3514" s="2"/>
      <c r="G3514" s="2"/>
      <c r="J3514" s="2"/>
      <c r="M3514" s="2"/>
    </row>
    <row r="3515" spans="1:13" x14ac:dyDescent="0.25">
      <c r="A3515" s="2"/>
      <c r="D3515" s="2"/>
      <c r="G3515" s="2"/>
      <c r="J3515" s="2"/>
      <c r="M3515" s="2"/>
    </row>
    <row r="3516" spans="1:13" x14ac:dyDescent="0.25">
      <c r="A3516" s="2"/>
      <c r="D3516" s="2"/>
      <c r="G3516" s="2"/>
      <c r="J3516" s="2"/>
      <c r="M3516" s="2"/>
    </row>
    <row r="3517" spans="1:13" x14ac:dyDescent="0.25">
      <c r="A3517" s="2"/>
      <c r="D3517" s="2"/>
      <c r="G3517" s="2"/>
      <c r="J3517" s="2"/>
      <c r="M3517" s="2"/>
    </row>
    <row r="3518" spans="1:13" x14ac:dyDescent="0.25">
      <c r="A3518" s="2"/>
      <c r="D3518" s="2"/>
      <c r="G3518" s="2"/>
      <c r="J3518" s="2"/>
      <c r="M3518" s="2"/>
    </row>
    <row r="3519" spans="1:13" x14ac:dyDescent="0.25">
      <c r="A3519" s="2"/>
      <c r="D3519" s="2"/>
      <c r="G3519" s="2"/>
      <c r="J3519" s="2"/>
      <c r="M3519" s="2"/>
    </row>
    <row r="3520" spans="1:13" x14ac:dyDescent="0.25">
      <c r="A3520" s="2"/>
      <c r="D3520" s="2"/>
      <c r="G3520" s="2"/>
      <c r="J3520" s="2"/>
      <c r="M3520" s="2"/>
    </row>
    <row r="3521" spans="1:13" x14ac:dyDescent="0.25">
      <c r="A3521" s="2"/>
      <c r="D3521" s="2"/>
      <c r="G3521" s="2"/>
      <c r="J3521" s="2"/>
      <c r="M3521" s="2"/>
    </row>
    <row r="3522" spans="1:13" x14ac:dyDescent="0.25">
      <c r="A3522" s="2"/>
      <c r="D3522" s="2"/>
      <c r="G3522" s="2"/>
      <c r="J3522" s="2"/>
      <c r="M3522" s="2"/>
    </row>
    <row r="3523" spans="1:13" x14ac:dyDescent="0.25">
      <c r="A3523" s="2"/>
      <c r="D3523" s="2"/>
      <c r="G3523" s="2"/>
      <c r="J3523" s="2"/>
      <c r="M3523" s="2"/>
    </row>
    <row r="3524" spans="1:13" x14ac:dyDescent="0.25">
      <c r="A3524" s="2"/>
      <c r="D3524" s="2"/>
      <c r="G3524" s="2"/>
      <c r="J3524" s="2"/>
      <c r="M3524" s="2"/>
    </row>
    <row r="3525" spans="1:13" x14ac:dyDescent="0.25">
      <c r="A3525" s="2"/>
      <c r="D3525" s="2"/>
      <c r="G3525" s="2"/>
      <c r="J3525" s="2"/>
      <c r="M3525" s="2"/>
    </row>
    <row r="3526" spans="1:13" x14ac:dyDescent="0.25">
      <c r="A3526" s="2"/>
      <c r="D3526" s="2"/>
      <c r="G3526" s="2"/>
      <c r="J3526" s="2"/>
      <c r="M3526" s="2"/>
    </row>
    <row r="3527" spans="1:13" x14ac:dyDescent="0.25">
      <c r="A3527" s="2"/>
      <c r="D3527" s="2"/>
      <c r="G3527" s="2"/>
      <c r="J3527" s="2"/>
      <c r="M3527" s="2"/>
    </row>
    <row r="3528" spans="1:13" x14ac:dyDescent="0.25">
      <c r="A3528" s="2"/>
      <c r="D3528" s="2"/>
      <c r="G3528" s="2"/>
      <c r="J3528" s="2"/>
      <c r="M3528" s="2"/>
    </row>
    <row r="3529" spans="1:13" x14ac:dyDescent="0.25">
      <c r="A3529" s="2"/>
      <c r="D3529" s="2"/>
      <c r="G3529" s="2"/>
      <c r="J3529" s="2"/>
      <c r="M3529" s="2"/>
    </row>
    <row r="3530" spans="1:13" x14ac:dyDescent="0.25">
      <c r="A3530" s="2"/>
      <c r="D3530" s="2"/>
      <c r="G3530" s="2"/>
      <c r="J3530" s="2"/>
      <c r="M3530" s="2"/>
    </row>
    <row r="3531" spans="1:13" x14ac:dyDescent="0.25">
      <c r="A3531" s="2"/>
      <c r="D3531" s="2"/>
      <c r="G3531" s="2"/>
      <c r="J3531" s="2"/>
      <c r="M3531" s="2"/>
    </row>
    <row r="3532" spans="1:13" x14ac:dyDescent="0.25">
      <c r="A3532" s="2"/>
      <c r="D3532" s="2"/>
      <c r="G3532" s="2"/>
      <c r="J3532" s="2"/>
      <c r="M3532" s="2"/>
    </row>
    <row r="3533" spans="1:13" x14ac:dyDescent="0.25">
      <c r="A3533" s="2"/>
      <c r="D3533" s="2"/>
      <c r="G3533" s="2"/>
      <c r="J3533" s="2"/>
      <c r="M3533" s="2"/>
    </row>
    <row r="3534" spans="1:13" x14ac:dyDescent="0.25">
      <c r="A3534" s="2"/>
      <c r="D3534" s="2"/>
      <c r="G3534" s="2"/>
      <c r="J3534" s="2"/>
      <c r="M3534" s="2"/>
    </row>
    <row r="3535" spans="1:13" x14ac:dyDescent="0.25">
      <c r="A3535" s="2"/>
      <c r="D3535" s="2"/>
      <c r="G3535" s="2"/>
      <c r="J3535" s="2"/>
      <c r="M3535" s="2"/>
    </row>
    <row r="3536" spans="1:13" x14ac:dyDescent="0.25">
      <c r="A3536" s="2"/>
      <c r="D3536" s="2"/>
      <c r="G3536" s="2"/>
      <c r="J3536" s="2"/>
      <c r="M3536" s="2"/>
    </row>
    <row r="3537" spans="1:13" x14ac:dyDescent="0.25">
      <c r="A3537" s="2"/>
      <c r="D3537" s="2"/>
      <c r="G3537" s="2"/>
      <c r="J3537" s="2"/>
      <c r="M3537" s="2"/>
    </row>
    <row r="3538" spans="1:13" x14ac:dyDescent="0.25">
      <c r="A3538" s="2"/>
      <c r="D3538" s="2"/>
      <c r="G3538" s="2"/>
      <c r="J3538" s="2"/>
      <c r="M3538" s="2"/>
    </row>
    <row r="3539" spans="1:13" x14ac:dyDescent="0.25">
      <c r="A3539" s="2"/>
      <c r="D3539" s="2"/>
      <c r="G3539" s="2"/>
      <c r="J3539" s="2"/>
      <c r="M3539" s="2"/>
    </row>
    <row r="3540" spans="1:13" x14ac:dyDescent="0.25">
      <c r="A3540" s="2"/>
      <c r="D3540" s="2"/>
      <c r="G3540" s="2"/>
      <c r="J3540" s="2"/>
      <c r="M3540" s="2"/>
    </row>
    <row r="3541" spans="1:13" x14ac:dyDescent="0.25">
      <c r="A3541" s="2"/>
      <c r="D3541" s="2"/>
      <c r="G3541" s="2"/>
      <c r="J3541" s="2"/>
      <c r="M3541" s="2"/>
    </row>
    <row r="3542" spans="1:13" x14ac:dyDescent="0.25">
      <c r="A3542" s="2"/>
      <c r="D3542" s="2"/>
      <c r="G3542" s="2"/>
      <c r="J3542" s="2"/>
      <c r="M3542" s="2"/>
    </row>
    <row r="3543" spans="1:13" x14ac:dyDescent="0.25">
      <c r="A3543" s="2"/>
      <c r="D3543" s="2"/>
      <c r="G3543" s="2"/>
      <c r="J3543" s="2"/>
      <c r="M3543" s="2"/>
    </row>
    <row r="3544" spans="1:13" x14ac:dyDescent="0.25">
      <c r="A3544" s="2"/>
      <c r="D3544" s="2"/>
      <c r="G3544" s="2"/>
      <c r="J3544" s="2"/>
      <c r="M3544" s="2"/>
    </row>
    <row r="3545" spans="1:13" x14ac:dyDescent="0.25">
      <c r="A3545" s="2"/>
      <c r="D3545" s="2"/>
      <c r="G3545" s="2"/>
      <c r="J3545" s="2"/>
      <c r="M3545" s="2"/>
    </row>
    <row r="3546" spans="1:13" x14ac:dyDescent="0.25">
      <c r="A3546" s="2"/>
      <c r="D3546" s="2"/>
      <c r="G3546" s="2"/>
      <c r="J3546" s="2"/>
      <c r="M3546" s="2"/>
    </row>
    <row r="3547" spans="1:13" x14ac:dyDescent="0.25">
      <c r="A3547" s="2"/>
      <c r="D3547" s="2"/>
      <c r="G3547" s="2"/>
      <c r="J3547" s="2"/>
      <c r="M3547" s="2"/>
    </row>
    <row r="3548" spans="1:13" x14ac:dyDescent="0.25">
      <c r="A3548" s="2"/>
      <c r="D3548" s="2"/>
      <c r="G3548" s="2"/>
      <c r="J3548" s="2"/>
      <c r="M3548" s="2"/>
    </row>
    <row r="3549" spans="1:13" x14ac:dyDescent="0.25">
      <c r="A3549" s="2"/>
      <c r="D3549" s="2"/>
      <c r="G3549" s="2"/>
      <c r="J3549" s="2"/>
      <c r="M3549" s="2"/>
    </row>
    <row r="3550" spans="1:13" x14ac:dyDescent="0.25">
      <c r="A3550" s="2"/>
      <c r="D3550" s="2"/>
      <c r="G3550" s="2"/>
      <c r="J3550" s="2"/>
      <c r="M3550" s="2"/>
    </row>
    <row r="3551" spans="1:13" x14ac:dyDescent="0.25">
      <c r="A3551" s="2"/>
      <c r="D3551" s="2"/>
      <c r="G3551" s="2"/>
      <c r="J3551" s="2"/>
      <c r="M3551" s="2"/>
    </row>
    <row r="3552" spans="1:13" x14ac:dyDescent="0.25">
      <c r="A3552" s="2"/>
      <c r="D3552" s="2"/>
      <c r="G3552" s="2"/>
      <c r="J3552" s="2"/>
      <c r="M3552" s="2"/>
    </row>
    <row r="3553" spans="1:13" x14ac:dyDescent="0.25">
      <c r="A3553" s="2"/>
      <c r="D3553" s="2"/>
      <c r="G3553" s="2"/>
      <c r="J3553" s="2"/>
      <c r="M3553" s="2"/>
    </row>
    <row r="3554" spans="1:13" x14ac:dyDescent="0.25">
      <c r="A3554" s="2"/>
      <c r="D3554" s="2"/>
      <c r="G3554" s="2"/>
      <c r="J3554" s="2"/>
      <c r="M3554" s="2"/>
    </row>
    <row r="3555" spans="1:13" x14ac:dyDescent="0.25">
      <c r="A3555" s="2"/>
      <c r="D3555" s="2"/>
      <c r="G3555" s="2"/>
      <c r="J3555" s="2"/>
      <c r="M3555" s="2"/>
    </row>
    <row r="3556" spans="1:13" x14ac:dyDescent="0.25">
      <c r="A3556" s="2"/>
      <c r="D3556" s="2"/>
      <c r="G3556" s="2"/>
      <c r="J3556" s="2"/>
      <c r="M3556" s="2"/>
    </row>
    <row r="3557" spans="1:13" x14ac:dyDescent="0.25">
      <c r="A3557" s="2"/>
      <c r="D3557" s="2"/>
      <c r="G3557" s="2"/>
      <c r="J3557" s="2"/>
      <c r="M3557" s="2"/>
    </row>
    <row r="3558" spans="1:13" x14ac:dyDescent="0.25">
      <c r="A3558" s="2"/>
      <c r="D3558" s="2"/>
      <c r="G3558" s="2"/>
      <c r="J3558" s="2"/>
      <c r="M3558" s="2"/>
    </row>
    <row r="3559" spans="1:13" x14ac:dyDescent="0.25">
      <c r="A3559" s="2"/>
      <c r="D3559" s="2"/>
      <c r="G3559" s="2"/>
      <c r="J3559" s="2"/>
      <c r="M3559" s="2"/>
    </row>
    <row r="3560" spans="1:13" x14ac:dyDescent="0.25">
      <c r="A3560" s="2"/>
      <c r="D3560" s="2"/>
      <c r="G3560" s="2"/>
      <c r="J3560" s="2"/>
      <c r="M3560" s="2"/>
    </row>
    <row r="3561" spans="1:13" x14ac:dyDescent="0.25">
      <c r="A3561" s="2"/>
      <c r="D3561" s="2"/>
      <c r="G3561" s="2"/>
      <c r="J3561" s="2"/>
      <c r="M3561" s="2"/>
    </row>
    <row r="3562" spans="1:13" x14ac:dyDescent="0.25">
      <c r="A3562" s="2"/>
      <c r="D3562" s="2"/>
      <c r="G3562" s="2"/>
      <c r="J3562" s="2"/>
      <c r="M3562" s="2"/>
    </row>
    <row r="3563" spans="1:13" x14ac:dyDescent="0.25">
      <c r="A3563" s="2"/>
      <c r="D3563" s="2"/>
      <c r="G3563" s="2"/>
      <c r="J3563" s="2"/>
      <c r="M3563" s="2"/>
    </row>
    <row r="3564" spans="1:13" x14ac:dyDescent="0.25">
      <c r="A3564" s="2"/>
      <c r="D3564" s="2"/>
      <c r="G3564" s="2"/>
      <c r="J3564" s="2"/>
      <c r="M3564" s="2"/>
    </row>
    <row r="3565" spans="1:13" x14ac:dyDescent="0.25">
      <c r="A3565" s="2"/>
      <c r="D3565" s="2"/>
      <c r="G3565" s="2"/>
      <c r="J3565" s="2"/>
      <c r="M3565" s="2"/>
    </row>
    <row r="3566" spans="1:13" x14ac:dyDescent="0.25">
      <c r="A3566" s="2"/>
      <c r="D3566" s="2"/>
      <c r="G3566" s="2"/>
      <c r="J3566" s="2"/>
      <c r="M3566" s="2"/>
    </row>
    <row r="3567" spans="1:13" x14ac:dyDescent="0.25">
      <c r="A3567" s="2"/>
      <c r="D3567" s="2"/>
      <c r="G3567" s="2"/>
      <c r="J3567" s="2"/>
      <c r="M3567" s="2"/>
    </row>
    <row r="3568" spans="1:13" x14ac:dyDescent="0.25">
      <c r="A3568" s="2"/>
      <c r="D3568" s="2"/>
      <c r="G3568" s="2"/>
      <c r="J3568" s="2"/>
      <c r="M3568" s="2"/>
    </row>
    <row r="3569" spans="1:13" x14ac:dyDescent="0.25">
      <c r="A3569" s="2"/>
      <c r="D3569" s="2"/>
      <c r="G3569" s="2"/>
      <c r="J3569" s="2"/>
      <c r="M3569" s="2"/>
    </row>
    <row r="3570" spans="1:13" x14ac:dyDescent="0.25">
      <c r="A3570" s="2"/>
      <c r="D3570" s="2"/>
      <c r="G3570" s="2"/>
      <c r="J3570" s="2"/>
      <c r="M3570" s="2"/>
    </row>
    <row r="3571" spans="1:13" x14ac:dyDescent="0.25">
      <c r="A3571" s="2"/>
      <c r="D3571" s="2"/>
      <c r="G3571" s="2"/>
      <c r="J3571" s="2"/>
      <c r="M3571" s="2"/>
    </row>
    <row r="3572" spans="1:13" x14ac:dyDescent="0.25">
      <c r="A3572" s="2"/>
      <c r="D3572" s="2"/>
      <c r="G3572" s="2"/>
      <c r="J3572" s="2"/>
      <c r="M3572" s="2"/>
    </row>
    <row r="3573" spans="1:13" x14ac:dyDescent="0.25">
      <c r="A3573" s="2"/>
      <c r="D3573" s="2"/>
      <c r="G3573" s="2"/>
      <c r="J3573" s="2"/>
      <c r="M3573" s="2"/>
    </row>
    <row r="3574" spans="1:13" x14ac:dyDescent="0.25">
      <c r="A3574" s="2"/>
      <c r="D3574" s="2"/>
      <c r="G3574" s="2"/>
      <c r="J3574" s="2"/>
      <c r="M3574" s="2"/>
    </row>
    <row r="3575" spans="1:13" x14ac:dyDescent="0.25">
      <c r="A3575" s="2"/>
      <c r="D3575" s="2"/>
      <c r="G3575" s="2"/>
      <c r="J3575" s="2"/>
      <c r="M3575" s="2"/>
    </row>
    <row r="3576" spans="1:13" x14ac:dyDescent="0.25">
      <c r="A3576" s="2"/>
      <c r="D3576" s="2"/>
      <c r="G3576" s="2"/>
      <c r="J3576" s="2"/>
      <c r="M3576" s="2"/>
    </row>
    <row r="3577" spans="1:13" x14ac:dyDescent="0.25">
      <c r="A3577" s="2"/>
      <c r="D3577" s="2"/>
      <c r="G3577" s="2"/>
      <c r="J3577" s="2"/>
      <c r="M3577" s="2"/>
    </row>
    <row r="3578" spans="1:13" x14ac:dyDescent="0.25">
      <c r="A3578" s="2"/>
      <c r="D3578" s="2"/>
      <c r="G3578" s="2"/>
      <c r="J3578" s="2"/>
      <c r="M3578" s="2"/>
    </row>
    <row r="3579" spans="1:13" x14ac:dyDescent="0.25">
      <c r="A3579" s="2"/>
      <c r="D3579" s="2"/>
      <c r="G3579" s="2"/>
      <c r="J3579" s="2"/>
      <c r="M3579" s="2"/>
    </row>
    <row r="3580" spans="1:13" x14ac:dyDescent="0.25">
      <c r="A3580" s="2"/>
      <c r="D3580" s="2"/>
      <c r="G3580" s="2"/>
      <c r="J3580" s="2"/>
      <c r="M3580" s="2"/>
    </row>
    <row r="3581" spans="1:13" x14ac:dyDescent="0.25">
      <c r="A3581" s="2"/>
      <c r="D3581" s="2"/>
      <c r="G3581" s="2"/>
      <c r="J3581" s="2"/>
      <c r="M3581" s="2"/>
    </row>
    <row r="3582" spans="1:13" x14ac:dyDescent="0.25">
      <c r="A3582" s="2"/>
      <c r="D3582" s="2"/>
      <c r="G3582" s="2"/>
      <c r="J3582" s="2"/>
      <c r="M3582" s="2"/>
    </row>
    <row r="3583" spans="1:13" x14ac:dyDescent="0.25">
      <c r="A3583" s="2"/>
      <c r="D3583" s="2"/>
      <c r="G3583" s="2"/>
      <c r="J3583" s="2"/>
      <c r="M3583" s="2"/>
    </row>
    <row r="3584" spans="1:13" x14ac:dyDescent="0.25">
      <c r="A3584" s="2"/>
      <c r="D3584" s="2"/>
      <c r="G3584" s="2"/>
      <c r="J3584" s="2"/>
      <c r="M3584" s="2"/>
    </row>
    <row r="3585" spans="1:13" x14ac:dyDescent="0.25">
      <c r="A3585" s="2"/>
      <c r="D3585" s="2"/>
      <c r="G3585" s="2"/>
      <c r="J3585" s="2"/>
      <c r="M3585" s="2"/>
    </row>
    <row r="3586" spans="1:13" x14ac:dyDescent="0.25">
      <c r="A3586" s="2"/>
      <c r="D3586" s="2"/>
      <c r="G3586" s="2"/>
      <c r="J3586" s="2"/>
      <c r="M3586" s="2"/>
    </row>
    <row r="3587" spans="1:13" x14ac:dyDescent="0.25">
      <c r="A3587" s="2"/>
      <c r="D3587" s="2"/>
      <c r="G3587" s="2"/>
      <c r="J3587" s="2"/>
      <c r="M3587" s="2"/>
    </row>
    <row r="3588" spans="1:13" x14ac:dyDescent="0.25">
      <c r="A3588" s="2"/>
      <c r="D3588" s="2"/>
      <c r="G3588" s="2"/>
      <c r="J3588" s="2"/>
      <c r="M3588" s="2"/>
    </row>
    <row r="3589" spans="1:13" x14ac:dyDescent="0.25">
      <c r="A3589" s="2"/>
      <c r="D3589" s="2"/>
      <c r="G3589" s="2"/>
      <c r="J3589" s="2"/>
      <c r="M3589" s="2"/>
    </row>
    <row r="3590" spans="1:13" x14ac:dyDescent="0.25">
      <c r="A3590" s="2"/>
      <c r="D3590" s="2"/>
      <c r="G3590" s="2"/>
      <c r="J3590" s="2"/>
      <c r="M3590" s="2"/>
    </row>
    <row r="3591" spans="1:13" x14ac:dyDescent="0.25">
      <c r="A3591" s="2"/>
      <c r="D3591" s="2"/>
      <c r="G3591" s="2"/>
      <c r="J3591" s="2"/>
      <c r="M3591" s="2"/>
    </row>
    <row r="3592" spans="1:13" x14ac:dyDescent="0.25">
      <c r="A3592" s="2"/>
      <c r="D3592" s="2"/>
      <c r="G3592" s="2"/>
      <c r="J3592" s="2"/>
      <c r="M3592" s="2"/>
    </row>
    <row r="3593" spans="1:13" x14ac:dyDescent="0.25">
      <c r="A3593" s="2"/>
      <c r="D3593" s="2"/>
      <c r="G3593" s="2"/>
      <c r="J3593" s="2"/>
      <c r="M3593" s="2"/>
    </row>
    <row r="3594" spans="1:13" x14ac:dyDescent="0.25">
      <c r="A3594" s="2"/>
      <c r="D3594" s="2"/>
      <c r="G3594" s="2"/>
      <c r="J3594" s="2"/>
      <c r="M3594" s="2"/>
    </row>
    <row r="3595" spans="1:13" x14ac:dyDescent="0.25">
      <c r="A3595" s="2"/>
      <c r="D3595" s="2"/>
      <c r="G3595" s="2"/>
      <c r="J3595" s="2"/>
      <c r="M3595" s="2"/>
    </row>
    <row r="3596" spans="1:13" x14ac:dyDescent="0.25">
      <c r="A3596" s="2"/>
      <c r="D3596" s="2"/>
      <c r="G3596" s="2"/>
      <c r="J3596" s="2"/>
      <c r="M3596" s="2"/>
    </row>
    <row r="3597" spans="1:13" x14ac:dyDescent="0.25">
      <c r="A3597" s="2"/>
      <c r="D3597" s="2"/>
      <c r="G3597" s="2"/>
      <c r="J3597" s="2"/>
      <c r="M3597" s="2"/>
    </row>
    <row r="3598" spans="1:13" x14ac:dyDescent="0.25">
      <c r="A3598" s="2"/>
      <c r="D3598" s="2"/>
      <c r="G3598" s="2"/>
      <c r="J3598" s="2"/>
      <c r="M3598" s="2"/>
    </row>
    <row r="3599" spans="1:13" x14ac:dyDescent="0.25">
      <c r="A3599" s="2"/>
      <c r="D3599" s="2"/>
      <c r="G3599" s="2"/>
      <c r="J3599" s="2"/>
      <c r="M3599" s="2"/>
    </row>
    <row r="3600" spans="1:13" x14ac:dyDescent="0.25">
      <c r="A3600" s="2"/>
      <c r="D3600" s="2"/>
      <c r="G3600" s="2"/>
      <c r="J3600" s="2"/>
      <c r="M3600" s="2"/>
    </row>
    <row r="3601" spans="1:13" x14ac:dyDescent="0.25">
      <c r="A3601" s="2"/>
      <c r="D3601" s="2"/>
      <c r="G3601" s="2"/>
      <c r="J3601" s="2"/>
      <c r="M3601" s="2"/>
    </row>
    <row r="3602" spans="1:13" x14ac:dyDescent="0.25">
      <c r="A3602" s="2"/>
      <c r="D3602" s="2"/>
      <c r="G3602" s="2"/>
      <c r="J3602" s="2"/>
      <c r="M3602" s="2"/>
    </row>
    <row r="3603" spans="1:13" x14ac:dyDescent="0.25">
      <c r="A3603" s="2"/>
      <c r="D3603" s="2"/>
      <c r="G3603" s="2"/>
      <c r="J3603" s="2"/>
      <c r="M3603" s="2"/>
    </row>
    <row r="3604" spans="1:13" x14ac:dyDescent="0.25">
      <c r="A3604" s="2"/>
      <c r="D3604" s="2"/>
      <c r="G3604" s="2"/>
      <c r="J3604" s="2"/>
      <c r="M3604" s="2"/>
    </row>
    <row r="3605" spans="1:13" x14ac:dyDescent="0.25">
      <c r="A3605" s="2"/>
      <c r="D3605" s="2"/>
      <c r="G3605" s="2"/>
      <c r="J3605" s="2"/>
      <c r="M3605" s="2"/>
    </row>
    <row r="3606" spans="1:13" x14ac:dyDescent="0.25">
      <c r="A3606" s="2"/>
      <c r="D3606" s="2"/>
      <c r="G3606" s="2"/>
      <c r="J3606" s="2"/>
      <c r="M3606" s="2"/>
    </row>
    <row r="3607" spans="1:13" x14ac:dyDescent="0.25">
      <c r="A3607" s="2"/>
      <c r="D3607" s="2"/>
      <c r="G3607" s="2"/>
      <c r="J3607" s="2"/>
      <c r="M3607" s="2"/>
    </row>
    <row r="3608" spans="1:13" x14ac:dyDescent="0.25">
      <c r="A3608" s="2"/>
      <c r="D3608" s="2"/>
      <c r="G3608" s="2"/>
      <c r="J3608" s="2"/>
      <c r="M3608" s="2"/>
    </row>
    <row r="3609" spans="1:13" x14ac:dyDescent="0.25">
      <c r="A3609" s="2"/>
      <c r="D3609" s="2"/>
      <c r="G3609" s="2"/>
      <c r="J3609" s="2"/>
      <c r="M3609" s="2"/>
    </row>
    <row r="3610" spans="1:13" x14ac:dyDescent="0.25">
      <c r="A3610" s="2"/>
      <c r="D3610" s="2"/>
      <c r="G3610" s="2"/>
      <c r="J3610" s="2"/>
      <c r="M3610" s="2"/>
    </row>
    <row r="3611" spans="1:13" x14ac:dyDescent="0.25">
      <c r="A3611" s="2"/>
      <c r="D3611" s="2"/>
      <c r="G3611" s="2"/>
      <c r="J3611" s="2"/>
      <c r="M3611" s="2"/>
    </row>
    <row r="3612" spans="1:13" x14ac:dyDescent="0.25">
      <c r="A3612" s="2"/>
      <c r="D3612" s="2"/>
      <c r="G3612" s="2"/>
      <c r="J3612" s="2"/>
      <c r="M3612" s="2"/>
    </row>
    <row r="3613" spans="1:13" x14ac:dyDescent="0.25">
      <c r="A3613" s="2"/>
      <c r="D3613" s="2"/>
      <c r="G3613" s="2"/>
      <c r="J3613" s="2"/>
      <c r="M3613" s="2"/>
    </row>
    <row r="3614" spans="1:13" x14ac:dyDescent="0.25">
      <c r="A3614" s="2"/>
      <c r="D3614" s="2"/>
      <c r="G3614" s="2"/>
      <c r="J3614" s="2"/>
      <c r="M3614" s="2"/>
    </row>
    <row r="3615" spans="1:13" x14ac:dyDescent="0.25">
      <c r="A3615" s="2"/>
      <c r="D3615" s="2"/>
      <c r="G3615" s="2"/>
      <c r="J3615" s="2"/>
      <c r="M3615" s="2"/>
    </row>
    <row r="3616" spans="1:13" x14ac:dyDescent="0.25">
      <c r="A3616" s="2"/>
      <c r="D3616" s="2"/>
      <c r="G3616" s="2"/>
      <c r="J3616" s="2"/>
      <c r="M3616" s="2"/>
    </row>
    <row r="3617" spans="1:13" x14ac:dyDescent="0.25">
      <c r="A3617" s="2"/>
      <c r="D3617" s="2"/>
      <c r="G3617" s="2"/>
      <c r="J3617" s="2"/>
      <c r="M3617" s="2"/>
    </row>
    <row r="3618" spans="1:13" x14ac:dyDescent="0.25">
      <c r="A3618" s="2"/>
      <c r="D3618" s="2"/>
      <c r="G3618" s="2"/>
      <c r="J3618" s="2"/>
      <c r="M3618" s="2"/>
    </row>
    <row r="3619" spans="1:13" x14ac:dyDescent="0.25">
      <c r="A3619" s="2"/>
      <c r="D3619" s="2"/>
      <c r="G3619" s="2"/>
      <c r="J3619" s="2"/>
      <c r="M3619" s="2"/>
    </row>
    <row r="3620" spans="1:13" x14ac:dyDescent="0.25">
      <c r="A3620" s="2"/>
      <c r="D3620" s="2"/>
      <c r="G3620" s="2"/>
      <c r="J3620" s="2"/>
      <c r="M3620" s="2"/>
    </row>
    <row r="3621" spans="1:13" x14ac:dyDescent="0.25">
      <c r="A3621" s="2"/>
      <c r="D3621" s="2"/>
      <c r="G3621" s="2"/>
      <c r="J3621" s="2"/>
      <c r="M3621" s="2"/>
    </row>
    <row r="3622" spans="1:13" x14ac:dyDescent="0.25">
      <c r="A3622" s="2"/>
      <c r="D3622" s="2"/>
      <c r="G3622" s="2"/>
      <c r="J3622" s="2"/>
      <c r="M3622" s="2"/>
    </row>
    <row r="3623" spans="1:13" x14ac:dyDescent="0.25">
      <c r="A3623" s="2"/>
      <c r="D3623" s="2"/>
      <c r="G3623" s="2"/>
      <c r="J3623" s="2"/>
      <c r="M3623" s="2"/>
    </row>
    <row r="3624" spans="1:13" x14ac:dyDescent="0.25">
      <c r="A3624" s="2"/>
      <c r="D3624" s="2"/>
      <c r="G3624" s="2"/>
      <c r="J3624" s="2"/>
      <c r="M3624" s="2"/>
    </row>
    <row r="3625" spans="1:13" x14ac:dyDescent="0.25">
      <c r="A3625" s="2"/>
      <c r="D3625" s="2"/>
      <c r="G3625" s="2"/>
      <c r="J3625" s="2"/>
      <c r="M3625" s="2"/>
    </row>
    <row r="3626" spans="1:13" x14ac:dyDescent="0.25">
      <c r="A3626" s="2"/>
      <c r="D3626" s="2"/>
      <c r="G3626" s="2"/>
      <c r="J3626" s="2"/>
      <c r="M3626" s="2"/>
    </row>
    <row r="3627" spans="1:13" x14ac:dyDescent="0.25">
      <c r="A3627" s="2"/>
      <c r="D3627" s="2"/>
      <c r="G3627" s="2"/>
      <c r="J3627" s="2"/>
      <c r="M3627" s="2"/>
    </row>
    <row r="3628" spans="1:13" x14ac:dyDescent="0.25">
      <c r="A3628" s="2"/>
      <c r="D3628" s="2"/>
      <c r="G3628" s="2"/>
      <c r="J3628" s="2"/>
      <c r="M3628" s="2"/>
    </row>
    <row r="3629" spans="1:13" x14ac:dyDescent="0.25">
      <c r="A3629" s="2"/>
      <c r="D3629" s="2"/>
      <c r="G3629" s="2"/>
      <c r="J3629" s="2"/>
      <c r="M3629" s="2"/>
    </row>
    <row r="3630" spans="1:13" x14ac:dyDescent="0.25">
      <c r="A3630" s="2"/>
      <c r="D3630" s="2"/>
      <c r="G3630" s="2"/>
      <c r="J3630" s="2"/>
      <c r="M3630" s="2"/>
    </row>
    <row r="3631" spans="1:13" x14ac:dyDescent="0.25">
      <c r="A3631" s="2"/>
      <c r="D3631" s="2"/>
      <c r="G3631" s="2"/>
      <c r="J3631" s="2"/>
      <c r="M3631" s="2"/>
    </row>
    <row r="3632" spans="1:13" x14ac:dyDescent="0.25">
      <c r="A3632" s="2"/>
      <c r="D3632" s="2"/>
      <c r="G3632" s="2"/>
      <c r="J3632" s="2"/>
      <c r="M3632" s="2"/>
    </row>
    <row r="3633" spans="1:13" x14ac:dyDescent="0.25">
      <c r="A3633" s="2"/>
      <c r="D3633" s="2"/>
      <c r="G3633" s="2"/>
      <c r="J3633" s="2"/>
      <c r="M3633" s="2"/>
    </row>
    <row r="3634" spans="1:13" x14ac:dyDescent="0.25">
      <c r="A3634" s="2"/>
      <c r="D3634" s="2"/>
      <c r="G3634" s="2"/>
      <c r="J3634" s="2"/>
      <c r="M3634" s="2"/>
    </row>
    <row r="3635" spans="1:13" x14ac:dyDescent="0.25">
      <c r="A3635" s="2"/>
      <c r="D3635" s="2"/>
      <c r="G3635" s="2"/>
      <c r="J3635" s="2"/>
      <c r="M3635" s="2"/>
    </row>
    <row r="3636" spans="1:13" x14ac:dyDescent="0.25">
      <c r="A3636" s="2"/>
      <c r="D3636" s="2"/>
      <c r="G3636" s="2"/>
      <c r="J3636" s="2"/>
      <c r="M3636" s="2"/>
    </row>
    <row r="3637" spans="1:13" x14ac:dyDescent="0.25">
      <c r="A3637" s="2"/>
      <c r="D3637" s="2"/>
      <c r="G3637" s="2"/>
      <c r="J3637" s="2"/>
      <c r="M3637" s="2"/>
    </row>
    <row r="3638" spans="1:13" x14ac:dyDescent="0.25">
      <c r="A3638" s="2"/>
      <c r="D3638" s="2"/>
      <c r="G3638" s="2"/>
      <c r="J3638" s="2"/>
      <c r="M3638" s="2"/>
    </row>
    <row r="3639" spans="1:13" x14ac:dyDescent="0.25">
      <c r="A3639" s="2"/>
      <c r="D3639" s="2"/>
      <c r="G3639" s="2"/>
      <c r="J3639" s="2"/>
      <c r="M3639" s="2"/>
    </row>
    <row r="3640" spans="1:13" x14ac:dyDescent="0.25">
      <c r="A3640" s="2"/>
      <c r="D3640" s="2"/>
      <c r="G3640" s="2"/>
      <c r="J3640" s="2"/>
      <c r="M3640" s="2"/>
    </row>
    <row r="3641" spans="1:13" x14ac:dyDescent="0.25">
      <c r="A3641" s="2"/>
      <c r="D3641" s="2"/>
      <c r="G3641" s="2"/>
      <c r="J3641" s="2"/>
      <c r="M3641" s="2"/>
    </row>
    <row r="3642" spans="1:13" x14ac:dyDescent="0.25">
      <c r="A3642" s="2"/>
      <c r="D3642" s="2"/>
      <c r="G3642" s="2"/>
      <c r="J3642" s="2"/>
      <c r="M3642" s="2"/>
    </row>
    <row r="3643" spans="1:13" x14ac:dyDescent="0.25">
      <c r="A3643" s="2"/>
      <c r="D3643" s="2"/>
      <c r="G3643" s="2"/>
      <c r="J3643" s="2"/>
      <c r="M3643" s="2"/>
    </row>
    <row r="3644" spans="1:13" x14ac:dyDescent="0.25">
      <c r="A3644" s="2"/>
      <c r="D3644" s="2"/>
      <c r="G3644" s="2"/>
      <c r="J3644" s="2"/>
      <c r="M3644" s="2"/>
    </row>
    <row r="3645" spans="1:13" x14ac:dyDescent="0.25">
      <c r="A3645" s="2"/>
      <c r="D3645" s="2"/>
      <c r="G3645" s="2"/>
      <c r="J3645" s="2"/>
      <c r="M3645" s="2"/>
    </row>
    <row r="3646" spans="1:13" x14ac:dyDescent="0.25">
      <c r="A3646" s="2"/>
      <c r="D3646" s="2"/>
      <c r="G3646" s="2"/>
      <c r="J3646" s="2"/>
      <c r="M3646" s="2"/>
    </row>
    <row r="3647" spans="1:13" x14ac:dyDescent="0.25">
      <c r="A3647" s="2"/>
      <c r="D3647" s="2"/>
      <c r="G3647" s="2"/>
      <c r="J3647" s="2"/>
      <c r="M3647" s="2"/>
    </row>
    <row r="3648" spans="1:13" x14ac:dyDescent="0.25">
      <c r="A3648" s="2"/>
      <c r="D3648" s="2"/>
      <c r="G3648" s="2"/>
      <c r="J3648" s="2"/>
      <c r="M3648" s="2"/>
    </row>
    <row r="3649" spans="1:13" x14ac:dyDescent="0.25">
      <c r="A3649" s="2"/>
      <c r="D3649" s="2"/>
      <c r="G3649" s="2"/>
      <c r="J3649" s="2"/>
      <c r="M3649" s="2"/>
    </row>
    <row r="3650" spans="1:13" x14ac:dyDescent="0.25">
      <c r="A3650" s="2"/>
      <c r="D3650" s="2"/>
      <c r="G3650" s="2"/>
      <c r="J3650" s="2"/>
      <c r="M3650" s="2"/>
    </row>
    <row r="3651" spans="1:13" x14ac:dyDescent="0.25">
      <c r="A3651" s="2"/>
      <c r="D3651" s="2"/>
      <c r="G3651" s="2"/>
      <c r="J3651" s="2"/>
      <c r="M3651" s="2"/>
    </row>
    <row r="3652" spans="1:13" x14ac:dyDescent="0.25">
      <c r="A3652" s="2"/>
      <c r="D3652" s="2"/>
      <c r="G3652" s="2"/>
      <c r="J3652" s="2"/>
      <c r="M3652" s="2"/>
    </row>
    <row r="3653" spans="1:13" x14ac:dyDescent="0.25">
      <c r="A3653" s="2"/>
      <c r="D3653" s="2"/>
      <c r="G3653" s="2"/>
      <c r="J3653" s="2"/>
      <c r="M3653" s="2"/>
    </row>
    <row r="3654" spans="1:13" x14ac:dyDescent="0.25">
      <c r="A3654" s="2"/>
      <c r="D3654" s="2"/>
      <c r="G3654" s="2"/>
      <c r="J3654" s="2"/>
      <c r="M3654" s="2"/>
    </row>
    <row r="3655" spans="1:13" x14ac:dyDescent="0.25">
      <c r="A3655" s="2"/>
      <c r="D3655" s="2"/>
      <c r="G3655" s="2"/>
      <c r="J3655" s="2"/>
      <c r="M3655" s="2"/>
    </row>
    <row r="3656" spans="1:13" x14ac:dyDescent="0.25">
      <c r="A3656" s="2"/>
      <c r="D3656" s="2"/>
      <c r="G3656" s="2"/>
      <c r="J3656" s="2"/>
      <c r="M3656" s="2"/>
    </row>
    <row r="3657" spans="1:13" x14ac:dyDescent="0.25">
      <c r="A3657" s="2"/>
      <c r="D3657" s="2"/>
      <c r="G3657" s="2"/>
      <c r="J3657" s="2"/>
      <c r="M3657" s="2"/>
    </row>
    <row r="3658" spans="1:13" x14ac:dyDescent="0.25">
      <c r="A3658" s="2"/>
      <c r="D3658" s="2"/>
      <c r="G3658" s="2"/>
      <c r="J3658" s="2"/>
      <c r="M3658" s="2"/>
    </row>
    <row r="3659" spans="1:13" x14ac:dyDescent="0.25">
      <c r="A3659" s="2"/>
      <c r="D3659" s="2"/>
      <c r="G3659" s="2"/>
      <c r="J3659" s="2"/>
      <c r="M3659" s="2"/>
    </row>
    <row r="3660" spans="1:13" x14ac:dyDescent="0.25">
      <c r="A3660" s="2"/>
      <c r="D3660" s="2"/>
      <c r="G3660" s="2"/>
      <c r="J3660" s="2"/>
      <c r="M3660" s="2"/>
    </row>
    <row r="3661" spans="1:13" x14ac:dyDescent="0.25">
      <c r="A3661" s="2"/>
      <c r="D3661" s="2"/>
      <c r="G3661" s="2"/>
      <c r="J3661" s="2"/>
      <c r="M3661" s="2"/>
    </row>
    <row r="3662" spans="1:13" x14ac:dyDescent="0.25">
      <c r="A3662" s="2"/>
      <c r="D3662" s="2"/>
      <c r="G3662" s="2"/>
      <c r="J3662" s="2"/>
      <c r="M3662" s="2"/>
    </row>
    <row r="3663" spans="1:13" x14ac:dyDescent="0.25">
      <c r="A3663" s="2"/>
      <c r="D3663" s="2"/>
      <c r="G3663" s="2"/>
      <c r="J3663" s="2"/>
      <c r="M3663" s="2"/>
    </row>
    <row r="3664" spans="1:13" x14ac:dyDescent="0.25">
      <c r="A3664" s="2"/>
      <c r="D3664" s="2"/>
      <c r="G3664" s="2"/>
      <c r="J3664" s="2"/>
      <c r="M3664" s="2"/>
    </row>
    <row r="3665" spans="1:13" x14ac:dyDescent="0.25">
      <c r="A3665" s="2"/>
      <c r="D3665" s="2"/>
      <c r="G3665" s="2"/>
      <c r="J3665" s="2"/>
      <c r="M3665" s="2"/>
    </row>
    <row r="3666" spans="1:13" x14ac:dyDescent="0.25">
      <c r="A3666" s="2"/>
      <c r="D3666" s="2"/>
      <c r="G3666" s="2"/>
      <c r="J3666" s="2"/>
      <c r="M3666" s="2"/>
    </row>
    <row r="3667" spans="1:13" x14ac:dyDescent="0.25">
      <c r="A3667" s="2"/>
      <c r="D3667" s="2"/>
      <c r="G3667" s="2"/>
      <c r="J3667" s="2"/>
      <c r="M3667" s="2"/>
    </row>
    <row r="3668" spans="1:13" x14ac:dyDescent="0.25">
      <c r="A3668" s="2"/>
      <c r="D3668" s="2"/>
      <c r="G3668" s="2"/>
      <c r="J3668" s="2"/>
      <c r="M3668" s="2"/>
    </row>
    <row r="3669" spans="1:13" x14ac:dyDescent="0.25">
      <c r="A3669" s="2"/>
      <c r="D3669" s="2"/>
      <c r="G3669" s="2"/>
      <c r="J3669" s="2"/>
      <c r="M3669" s="2"/>
    </row>
    <row r="3670" spans="1:13" x14ac:dyDescent="0.25">
      <c r="A3670" s="2"/>
      <c r="D3670" s="2"/>
      <c r="G3670" s="2"/>
      <c r="J3670" s="2"/>
      <c r="M3670" s="2"/>
    </row>
    <row r="3671" spans="1:13" x14ac:dyDescent="0.25">
      <c r="A3671" s="2"/>
      <c r="D3671" s="2"/>
      <c r="G3671" s="2"/>
      <c r="J3671" s="2"/>
      <c r="M3671" s="2"/>
    </row>
    <row r="3672" spans="1:13" x14ac:dyDescent="0.25">
      <c r="A3672" s="2"/>
      <c r="D3672" s="2"/>
      <c r="G3672" s="2"/>
      <c r="J3672" s="2"/>
      <c r="M3672" s="2"/>
    </row>
    <row r="3673" spans="1:13" x14ac:dyDescent="0.25">
      <c r="A3673" s="2"/>
      <c r="D3673" s="2"/>
      <c r="G3673" s="2"/>
      <c r="J3673" s="2"/>
      <c r="M3673" s="2"/>
    </row>
    <row r="3674" spans="1:13" x14ac:dyDescent="0.25">
      <c r="A3674" s="2"/>
      <c r="D3674" s="2"/>
      <c r="G3674" s="2"/>
      <c r="J3674" s="2"/>
      <c r="M3674" s="2"/>
    </row>
    <row r="3675" spans="1:13" x14ac:dyDescent="0.25">
      <c r="A3675" s="2"/>
      <c r="D3675" s="2"/>
      <c r="G3675" s="2"/>
      <c r="J3675" s="2"/>
      <c r="M3675" s="2"/>
    </row>
    <row r="3676" spans="1:13" x14ac:dyDescent="0.25">
      <c r="A3676" s="2"/>
      <c r="D3676" s="2"/>
      <c r="G3676" s="2"/>
      <c r="J3676" s="2"/>
      <c r="M3676" s="2"/>
    </row>
    <row r="3677" spans="1:13" x14ac:dyDescent="0.25">
      <c r="A3677" s="2"/>
      <c r="D3677" s="2"/>
      <c r="G3677" s="2"/>
      <c r="J3677" s="2"/>
      <c r="M3677" s="2"/>
    </row>
    <row r="3678" spans="1:13" x14ac:dyDescent="0.25">
      <c r="A3678" s="2"/>
      <c r="D3678" s="2"/>
      <c r="G3678" s="2"/>
      <c r="J3678" s="2"/>
      <c r="M3678" s="2"/>
    </row>
    <row r="3679" spans="1:13" x14ac:dyDescent="0.25">
      <c r="A3679" s="2"/>
      <c r="D3679" s="2"/>
      <c r="G3679" s="2"/>
      <c r="J3679" s="2"/>
      <c r="M3679" s="2"/>
    </row>
    <row r="3680" spans="1:13" x14ac:dyDescent="0.25">
      <c r="A3680" s="2"/>
      <c r="D3680" s="2"/>
      <c r="G3680" s="2"/>
      <c r="J3680" s="2"/>
      <c r="M3680" s="2"/>
    </row>
    <row r="3681" spans="1:13" x14ac:dyDescent="0.25">
      <c r="A3681" s="2"/>
      <c r="D3681" s="2"/>
      <c r="G3681" s="2"/>
      <c r="J3681" s="2"/>
      <c r="M3681" s="2"/>
    </row>
    <row r="3682" spans="1:13" x14ac:dyDescent="0.25">
      <c r="A3682" s="2"/>
      <c r="D3682" s="2"/>
      <c r="G3682" s="2"/>
      <c r="J3682" s="2"/>
      <c r="M3682" s="2"/>
    </row>
    <row r="3683" spans="1:13" x14ac:dyDescent="0.25">
      <c r="A3683" s="2"/>
      <c r="D3683" s="2"/>
      <c r="G3683" s="2"/>
      <c r="J3683" s="2"/>
      <c r="M3683" s="2"/>
    </row>
    <row r="3684" spans="1:13" x14ac:dyDescent="0.25">
      <c r="A3684" s="2"/>
      <c r="D3684" s="2"/>
      <c r="G3684" s="2"/>
      <c r="J3684" s="2"/>
      <c r="M3684" s="2"/>
    </row>
    <row r="3685" spans="1:13" x14ac:dyDescent="0.25">
      <c r="A3685" s="2"/>
      <c r="D3685" s="2"/>
      <c r="G3685" s="2"/>
      <c r="J3685" s="2"/>
      <c r="M3685" s="2"/>
    </row>
    <row r="3686" spans="1:13" x14ac:dyDescent="0.25">
      <c r="A3686" s="2"/>
      <c r="D3686" s="2"/>
      <c r="G3686" s="2"/>
      <c r="J3686" s="2"/>
      <c r="M3686" s="2"/>
    </row>
    <row r="3687" spans="1:13" x14ac:dyDescent="0.25">
      <c r="A3687" s="2"/>
      <c r="D3687" s="2"/>
      <c r="G3687" s="2"/>
      <c r="J3687" s="2"/>
      <c r="M3687" s="2"/>
    </row>
    <row r="3688" spans="1:13" x14ac:dyDescent="0.25">
      <c r="A3688" s="2"/>
      <c r="D3688" s="2"/>
      <c r="G3688" s="2"/>
      <c r="J3688" s="2"/>
      <c r="M3688" s="2"/>
    </row>
    <row r="3689" spans="1:13" x14ac:dyDescent="0.25">
      <c r="A3689" s="2"/>
      <c r="D3689" s="2"/>
      <c r="G3689" s="2"/>
      <c r="J3689" s="2"/>
      <c r="M3689" s="2"/>
    </row>
    <row r="3690" spans="1:13" x14ac:dyDescent="0.25">
      <c r="A3690" s="2"/>
      <c r="D3690" s="2"/>
      <c r="G3690" s="2"/>
      <c r="J3690" s="2"/>
      <c r="M3690" s="2"/>
    </row>
    <row r="3691" spans="1:13" x14ac:dyDescent="0.25">
      <c r="A3691" s="2"/>
      <c r="D3691" s="2"/>
      <c r="G3691" s="2"/>
      <c r="J3691" s="2"/>
      <c r="M3691" s="2"/>
    </row>
    <row r="3692" spans="1:13" x14ac:dyDescent="0.25">
      <c r="A3692" s="2"/>
      <c r="D3692" s="2"/>
      <c r="G3692" s="2"/>
      <c r="J3692" s="2"/>
      <c r="M3692" s="2"/>
    </row>
    <row r="3693" spans="1:13" x14ac:dyDescent="0.25">
      <c r="A3693" s="2"/>
      <c r="D3693" s="2"/>
      <c r="G3693" s="2"/>
      <c r="J3693" s="2"/>
      <c r="M3693" s="2"/>
    </row>
    <row r="3694" spans="1:13" x14ac:dyDescent="0.25">
      <c r="A3694" s="2"/>
      <c r="D3694" s="2"/>
      <c r="G3694" s="2"/>
      <c r="J3694" s="2"/>
      <c r="M3694" s="2"/>
    </row>
    <row r="3695" spans="1:13" x14ac:dyDescent="0.25">
      <c r="A3695" s="2"/>
      <c r="D3695" s="2"/>
      <c r="G3695" s="2"/>
      <c r="J3695" s="2"/>
      <c r="M3695" s="2"/>
    </row>
    <row r="3696" spans="1:13" x14ac:dyDescent="0.25">
      <c r="A3696" s="2"/>
      <c r="D3696" s="2"/>
      <c r="G3696" s="2"/>
      <c r="J3696" s="2"/>
      <c r="M3696" s="2"/>
    </row>
    <row r="3697" spans="1:13" x14ac:dyDescent="0.25">
      <c r="A3697" s="2"/>
      <c r="D3697" s="2"/>
      <c r="G3697" s="2"/>
      <c r="J3697" s="2"/>
      <c r="M3697" s="2"/>
    </row>
    <row r="3698" spans="1:13" x14ac:dyDescent="0.25">
      <c r="A3698" s="2"/>
      <c r="D3698" s="2"/>
      <c r="G3698" s="2"/>
      <c r="J3698" s="2"/>
      <c r="M3698" s="2"/>
    </row>
    <row r="3699" spans="1:13" x14ac:dyDescent="0.25">
      <c r="A3699" s="2"/>
      <c r="D3699" s="2"/>
      <c r="G3699" s="2"/>
      <c r="J3699" s="2"/>
      <c r="M3699" s="2"/>
    </row>
    <row r="3700" spans="1:13" x14ac:dyDescent="0.25">
      <c r="A3700" s="2"/>
      <c r="D3700" s="2"/>
      <c r="G3700" s="2"/>
      <c r="J3700" s="2"/>
      <c r="M3700" s="2"/>
    </row>
    <row r="3701" spans="1:13" x14ac:dyDescent="0.25">
      <c r="A3701" s="2"/>
      <c r="D3701" s="2"/>
      <c r="G3701" s="2"/>
      <c r="J3701" s="2"/>
      <c r="M3701" s="2"/>
    </row>
    <row r="3702" spans="1:13" x14ac:dyDescent="0.25">
      <c r="A3702" s="2"/>
      <c r="D3702" s="2"/>
      <c r="G3702" s="2"/>
      <c r="J3702" s="2"/>
      <c r="M3702" s="2"/>
    </row>
    <row r="3703" spans="1:13" x14ac:dyDescent="0.25">
      <c r="A3703" s="2"/>
      <c r="D3703" s="2"/>
      <c r="G3703" s="2"/>
      <c r="J3703" s="2"/>
      <c r="M3703" s="2"/>
    </row>
    <row r="3704" spans="1:13" x14ac:dyDescent="0.25">
      <c r="A3704" s="2"/>
      <c r="D3704" s="2"/>
      <c r="G3704" s="2"/>
      <c r="J3704" s="2"/>
      <c r="M3704" s="2"/>
    </row>
    <row r="3705" spans="1:13" x14ac:dyDescent="0.25">
      <c r="A3705" s="2"/>
      <c r="D3705" s="2"/>
      <c r="G3705" s="2"/>
      <c r="J3705" s="2"/>
      <c r="M3705" s="2"/>
    </row>
    <row r="3706" spans="1:13" x14ac:dyDescent="0.25">
      <c r="A3706" s="2"/>
      <c r="D3706" s="2"/>
      <c r="G3706" s="2"/>
      <c r="J3706" s="2"/>
      <c r="M3706" s="2"/>
    </row>
    <row r="3707" spans="1:13" x14ac:dyDescent="0.25">
      <c r="A3707" s="2"/>
      <c r="D3707" s="2"/>
      <c r="G3707" s="2"/>
      <c r="J3707" s="2"/>
      <c r="M3707" s="2"/>
    </row>
    <row r="3708" spans="1:13" x14ac:dyDescent="0.25">
      <c r="A3708" s="2"/>
      <c r="D3708" s="2"/>
      <c r="G3708" s="2"/>
      <c r="J3708" s="2"/>
      <c r="M3708" s="2"/>
    </row>
    <row r="3709" spans="1:13" x14ac:dyDescent="0.25">
      <c r="A3709" s="2"/>
      <c r="D3709" s="2"/>
      <c r="G3709" s="2"/>
      <c r="J3709" s="2"/>
      <c r="M3709" s="2"/>
    </row>
    <row r="3710" spans="1:13" x14ac:dyDescent="0.25">
      <c r="A3710" s="2"/>
      <c r="D3710" s="2"/>
      <c r="G3710" s="2"/>
      <c r="J3710" s="2"/>
      <c r="M3710" s="2"/>
    </row>
    <row r="3711" spans="1:13" x14ac:dyDescent="0.25">
      <c r="A3711" s="2"/>
      <c r="D3711" s="2"/>
      <c r="G3711" s="2"/>
      <c r="J3711" s="2"/>
      <c r="M3711" s="2"/>
    </row>
    <row r="3712" spans="1:13" x14ac:dyDescent="0.25">
      <c r="A3712" s="2"/>
      <c r="D3712" s="2"/>
      <c r="G3712" s="2"/>
      <c r="J3712" s="2"/>
      <c r="M3712" s="2"/>
    </row>
    <row r="3713" spans="1:13" x14ac:dyDescent="0.25">
      <c r="A3713" s="2"/>
      <c r="D3713" s="2"/>
      <c r="G3713" s="2"/>
      <c r="J3713" s="2"/>
      <c r="M3713" s="2"/>
    </row>
    <row r="3714" spans="1:13" x14ac:dyDescent="0.25">
      <c r="A3714" s="2"/>
      <c r="D3714" s="2"/>
      <c r="G3714" s="2"/>
      <c r="J3714" s="2"/>
      <c r="M3714" s="2"/>
    </row>
    <row r="3715" spans="1:13" x14ac:dyDescent="0.25">
      <c r="A3715" s="2"/>
      <c r="D3715" s="2"/>
      <c r="G3715" s="2"/>
      <c r="J3715" s="2"/>
      <c r="M3715" s="2"/>
    </row>
    <row r="3716" spans="1:13" x14ac:dyDescent="0.25">
      <c r="A3716" s="2"/>
      <c r="D3716" s="2"/>
      <c r="G3716" s="2"/>
      <c r="J3716" s="2"/>
      <c r="M3716" s="2"/>
    </row>
    <row r="3717" spans="1:13" x14ac:dyDescent="0.25">
      <c r="A3717" s="2"/>
      <c r="D3717" s="2"/>
      <c r="G3717" s="2"/>
      <c r="J3717" s="2"/>
      <c r="M3717" s="2"/>
    </row>
    <row r="3718" spans="1:13" x14ac:dyDescent="0.25">
      <c r="A3718" s="2"/>
      <c r="D3718" s="2"/>
      <c r="G3718" s="2"/>
      <c r="J3718" s="2"/>
      <c r="M3718" s="2"/>
    </row>
    <row r="3719" spans="1:13" x14ac:dyDescent="0.25">
      <c r="A3719" s="2"/>
      <c r="D3719" s="2"/>
      <c r="G3719" s="2"/>
      <c r="J3719" s="2"/>
      <c r="M3719" s="2"/>
    </row>
    <row r="3720" spans="1:13" x14ac:dyDescent="0.25">
      <c r="A3720" s="2"/>
      <c r="D3720" s="2"/>
      <c r="G3720" s="2"/>
      <c r="J3720" s="2"/>
      <c r="M3720" s="2"/>
    </row>
    <row r="3721" spans="1:13" x14ac:dyDescent="0.25">
      <c r="A3721" s="2"/>
      <c r="D3721" s="2"/>
      <c r="G3721" s="2"/>
      <c r="J3721" s="2"/>
      <c r="M3721" s="2"/>
    </row>
    <row r="3722" spans="1:13" x14ac:dyDescent="0.25">
      <c r="A3722" s="2"/>
      <c r="D3722" s="2"/>
      <c r="G3722" s="2"/>
      <c r="J3722" s="2"/>
      <c r="M3722" s="2"/>
    </row>
    <row r="3723" spans="1:13" x14ac:dyDescent="0.25">
      <c r="A3723" s="2"/>
      <c r="D3723" s="2"/>
      <c r="G3723" s="2"/>
      <c r="J3723" s="2"/>
      <c r="M3723" s="2"/>
    </row>
    <row r="3724" spans="1:13" x14ac:dyDescent="0.25">
      <c r="A3724" s="2"/>
      <c r="D3724" s="2"/>
      <c r="G3724" s="2"/>
      <c r="J3724" s="2"/>
      <c r="M3724" s="2"/>
    </row>
    <row r="3725" spans="1:13" x14ac:dyDescent="0.25">
      <c r="A3725" s="2"/>
      <c r="D3725" s="2"/>
      <c r="G3725" s="2"/>
      <c r="J3725" s="2"/>
      <c r="M3725" s="2"/>
    </row>
    <row r="3726" spans="1:13" x14ac:dyDescent="0.25">
      <c r="A3726" s="2"/>
      <c r="D3726" s="2"/>
      <c r="G3726" s="2"/>
      <c r="J3726" s="2"/>
      <c r="M3726" s="2"/>
    </row>
    <row r="3727" spans="1:13" x14ac:dyDescent="0.25">
      <c r="A3727" s="2"/>
      <c r="D3727" s="2"/>
      <c r="G3727" s="2"/>
      <c r="J3727" s="2"/>
      <c r="M3727" s="2"/>
    </row>
    <row r="3728" spans="1:13" x14ac:dyDescent="0.25">
      <c r="A3728" s="2"/>
      <c r="D3728" s="2"/>
      <c r="G3728" s="2"/>
      <c r="J3728" s="2"/>
      <c r="M3728" s="2"/>
    </row>
    <row r="3729" spans="1:13" x14ac:dyDescent="0.25">
      <c r="A3729" s="2"/>
      <c r="D3729" s="2"/>
      <c r="G3729" s="2"/>
      <c r="J3729" s="2"/>
      <c r="M3729" s="2"/>
    </row>
    <row r="3730" spans="1:13" x14ac:dyDescent="0.25">
      <c r="A3730" s="2"/>
      <c r="D3730" s="2"/>
      <c r="G3730" s="2"/>
      <c r="J3730" s="2"/>
      <c r="M3730" s="2"/>
    </row>
    <row r="3731" spans="1:13" x14ac:dyDescent="0.25">
      <c r="A3731" s="2"/>
      <c r="D3731" s="2"/>
      <c r="G3731" s="2"/>
      <c r="J3731" s="2"/>
      <c r="M3731" s="2"/>
    </row>
    <row r="3732" spans="1:13" x14ac:dyDescent="0.25">
      <c r="A3732" s="2"/>
      <c r="D3732" s="2"/>
      <c r="G3732" s="2"/>
      <c r="J3732" s="2"/>
      <c r="M3732" s="2"/>
    </row>
    <row r="3733" spans="1:13" x14ac:dyDescent="0.25">
      <c r="A3733" s="2"/>
      <c r="D3733" s="2"/>
      <c r="G3733" s="2"/>
      <c r="J3733" s="2"/>
      <c r="M3733" s="2"/>
    </row>
    <row r="3734" spans="1:13" x14ac:dyDescent="0.25">
      <c r="A3734" s="2"/>
      <c r="D3734" s="2"/>
      <c r="G3734" s="2"/>
      <c r="J3734" s="2"/>
      <c r="M3734" s="2"/>
    </row>
    <row r="3735" spans="1:13" x14ac:dyDescent="0.25">
      <c r="A3735" s="2"/>
      <c r="D3735" s="2"/>
      <c r="G3735" s="2"/>
      <c r="J3735" s="2"/>
      <c r="M3735" s="2"/>
    </row>
    <row r="3736" spans="1:13" x14ac:dyDescent="0.25">
      <c r="A3736" s="2"/>
      <c r="D3736" s="2"/>
      <c r="G3736" s="2"/>
      <c r="J3736" s="2"/>
      <c r="M3736" s="2"/>
    </row>
    <row r="3737" spans="1:13" x14ac:dyDescent="0.25">
      <c r="A3737" s="2"/>
      <c r="D3737" s="2"/>
      <c r="G3737" s="2"/>
      <c r="J3737" s="2"/>
      <c r="M3737" s="2"/>
    </row>
    <row r="3738" spans="1:13" x14ac:dyDescent="0.25">
      <c r="A3738" s="2"/>
      <c r="D3738" s="2"/>
      <c r="G3738" s="2"/>
      <c r="J3738" s="2"/>
      <c r="M3738" s="2"/>
    </row>
    <row r="3739" spans="1:13" x14ac:dyDescent="0.25">
      <c r="A3739" s="2"/>
      <c r="D3739" s="2"/>
      <c r="G3739" s="2"/>
      <c r="J3739" s="2"/>
      <c r="M3739" s="2"/>
    </row>
    <row r="3740" spans="1:13" x14ac:dyDescent="0.25">
      <c r="A3740" s="2"/>
      <c r="D3740" s="2"/>
      <c r="G3740" s="2"/>
      <c r="J3740" s="2"/>
      <c r="M3740" s="2"/>
    </row>
    <row r="3741" spans="1:13" x14ac:dyDescent="0.25">
      <c r="A3741" s="2"/>
      <c r="D3741" s="2"/>
      <c r="G3741" s="2"/>
      <c r="J3741" s="2"/>
      <c r="M3741" s="2"/>
    </row>
    <row r="3742" spans="1:13" x14ac:dyDescent="0.25">
      <c r="A3742" s="2"/>
      <c r="D3742" s="2"/>
      <c r="G3742" s="2"/>
      <c r="J3742" s="2"/>
      <c r="M3742" s="2"/>
    </row>
    <row r="3743" spans="1:13" x14ac:dyDescent="0.25">
      <c r="A3743" s="2"/>
      <c r="D3743" s="2"/>
      <c r="G3743" s="2"/>
      <c r="J3743" s="2"/>
      <c r="M3743" s="2"/>
    </row>
    <row r="3744" spans="1:13" x14ac:dyDescent="0.25">
      <c r="A3744" s="2"/>
      <c r="D3744" s="2"/>
      <c r="G3744" s="2"/>
      <c r="J3744" s="2"/>
      <c r="M3744" s="2"/>
    </row>
    <row r="3745" spans="1:13" x14ac:dyDescent="0.25">
      <c r="A3745" s="2"/>
      <c r="D3745" s="2"/>
      <c r="G3745" s="2"/>
      <c r="J3745" s="2"/>
      <c r="M3745" s="2"/>
    </row>
    <row r="3746" spans="1:13" x14ac:dyDescent="0.25">
      <c r="A3746" s="2"/>
      <c r="D3746" s="2"/>
      <c r="G3746" s="2"/>
      <c r="J3746" s="2"/>
      <c r="M3746" s="2"/>
    </row>
    <row r="3747" spans="1:13" x14ac:dyDescent="0.25">
      <c r="A3747" s="2"/>
      <c r="D3747" s="2"/>
      <c r="G3747" s="2"/>
      <c r="J3747" s="2"/>
      <c r="M3747" s="2"/>
    </row>
    <row r="3748" spans="1:13" x14ac:dyDescent="0.25">
      <c r="A3748" s="2"/>
      <c r="D3748" s="2"/>
      <c r="G3748" s="2"/>
      <c r="J3748" s="2"/>
      <c r="M3748" s="2"/>
    </row>
    <row r="3749" spans="1:13" x14ac:dyDescent="0.25">
      <c r="A3749" s="2"/>
      <c r="D3749" s="2"/>
      <c r="G3749" s="2"/>
      <c r="J3749" s="2"/>
      <c r="M3749" s="2"/>
    </row>
    <row r="3750" spans="1:13" x14ac:dyDescent="0.25">
      <c r="A3750" s="2"/>
      <c r="D3750" s="2"/>
      <c r="G3750" s="2"/>
      <c r="J3750" s="2"/>
      <c r="M3750" s="2"/>
    </row>
    <row r="3751" spans="1:13" x14ac:dyDescent="0.25">
      <c r="A3751" s="2"/>
      <c r="D3751" s="2"/>
      <c r="G3751" s="2"/>
      <c r="J3751" s="2"/>
      <c r="M3751" s="2"/>
    </row>
    <row r="3752" spans="1:13" x14ac:dyDescent="0.25">
      <c r="A3752" s="2"/>
      <c r="D3752" s="2"/>
      <c r="G3752" s="2"/>
      <c r="J3752" s="2"/>
      <c r="M3752" s="2"/>
    </row>
    <row r="3753" spans="1:13" x14ac:dyDescent="0.25">
      <c r="A3753" s="2"/>
      <c r="D3753" s="2"/>
      <c r="G3753" s="2"/>
      <c r="J3753" s="2"/>
      <c r="M3753" s="2"/>
    </row>
    <row r="3754" spans="1:13" x14ac:dyDescent="0.25">
      <c r="A3754" s="2"/>
      <c r="D3754" s="2"/>
      <c r="G3754" s="2"/>
      <c r="J3754" s="2"/>
      <c r="M3754" s="2"/>
    </row>
    <row r="3755" spans="1:13" x14ac:dyDescent="0.25">
      <c r="A3755" s="2"/>
      <c r="D3755" s="2"/>
      <c r="G3755" s="2"/>
      <c r="J3755" s="2"/>
      <c r="M3755" s="2"/>
    </row>
    <row r="3756" spans="1:13" x14ac:dyDescent="0.25">
      <c r="A3756" s="2"/>
      <c r="D3756" s="2"/>
      <c r="G3756" s="2"/>
      <c r="J3756" s="2"/>
      <c r="M3756" s="2"/>
    </row>
    <row r="3757" spans="1:13" x14ac:dyDescent="0.25">
      <c r="A3757" s="2"/>
      <c r="D3757" s="2"/>
      <c r="G3757" s="2"/>
      <c r="J3757" s="2"/>
      <c r="M3757" s="2"/>
    </row>
    <row r="3758" spans="1:13" x14ac:dyDescent="0.25">
      <c r="A3758" s="2"/>
      <c r="D3758" s="2"/>
      <c r="G3758" s="2"/>
      <c r="J3758" s="2"/>
      <c r="M3758" s="2"/>
    </row>
    <row r="3759" spans="1:13" x14ac:dyDescent="0.25">
      <c r="A3759" s="2"/>
      <c r="D3759" s="2"/>
      <c r="G3759" s="2"/>
      <c r="J3759" s="2"/>
      <c r="M3759" s="2"/>
    </row>
    <row r="3760" spans="1:13" x14ac:dyDescent="0.25">
      <c r="A3760" s="2"/>
      <c r="D3760" s="2"/>
      <c r="G3760" s="2"/>
      <c r="J3760" s="2"/>
      <c r="M3760" s="2"/>
    </row>
    <row r="3761" spans="1:13" x14ac:dyDescent="0.25">
      <c r="A3761" s="2"/>
      <c r="D3761" s="2"/>
      <c r="G3761" s="2"/>
      <c r="J3761" s="2"/>
      <c r="M3761" s="2"/>
    </row>
    <row r="3762" spans="1:13" x14ac:dyDescent="0.25">
      <c r="A3762" s="2"/>
      <c r="D3762" s="2"/>
      <c r="G3762" s="2"/>
      <c r="J3762" s="2"/>
      <c r="M3762" s="2"/>
    </row>
    <row r="3763" spans="1:13" x14ac:dyDescent="0.25">
      <c r="A3763" s="2"/>
      <c r="D3763" s="2"/>
      <c r="G3763" s="2"/>
      <c r="J3763" s="2"/>
      <c r="M3763" s="2"/>
    </row>
    <row r="3764" spans="1:13" x14ac:dyDescent="0.25">
      <c r="A3764" s="2"/>
      <c r="D3764" s="2"/>
      <c r="G3764" s="2"/>
      <c r="J3764" s="2"/>
      <c r="M3764" s="2"/>
    </row>
    <row r="3765" spans="1:13" x14ac:dyDescent="0.25">
      <c r="A3765" s="2"/>
      <c r="D3765" s="2"/>
      <c r="G3765" s="2"/>
      <c r="J3765" s="2"/>
      <c r="M3765" s="2"/>
    </row>
    <row r="3766" spans="1:13" x14ac:dyDescent="0.25">
      <c r="A3766" s="2"/>
      <c r="D3766" s="2"/>
      <c r="G3766" s="2"/>
      <c r="J3766" s="2"/>
      <c r="M3766" s="2"/>
    </row>
    <row r="3767" spans="1:13" x14ac:dyDescent="0.25">
      <c r="A3767" s="2"/>
      <c r="D3767" s="2"/>
      <c r="G3767" s="2"/>
      <c r="J3767" s="2"/>
      <c r="M3767" s="2"/>
    </row>
    <row r="3768" spans="1:13" x14ac:dyDescent="0.25">
      <c r="A3768" s="2"/>
      <c r="D3768" s="2"/>
      <c r="G3768" s="2"/>
      <c r="J3768" s="2"/>
      <c r="M3768" s="2"/>
    </row>
    <row r="3769" spans="1:13" x14ac:dyDescent="0.25">
      <c r="A3769" s="2"/>
      <c r="D3769" s="2"/>
      <c r="G3769" s="2"/>
      <c r="J3769" s="2"/>
      <c r="M3769" s="2"/>
    </row>
    <row r="3770" spans="1:13" x14ac:dyDescent="0.25">
      <c r="A3770" s="2"/>
      <c r="D3770" s="2"/>
      <c r="G3770" s="2"/>
      <c r="J3770" s="2"/>
      <c r="M3770" s="2"/>
    </row>
    <row r="3771" spans="1:13" x14ac:dyDescent="0.25">
      <c r="A3771" s="2"/>
      <c r="D3771" s="2"/>
      <c r="G3771" s="2"/>
      <c r="J3771" s="2"/>
      <c r="M3771" s="2"/>
    </row>
    <row r="3772" spans="1:13" x14ac:dyDescent="0.25">
      <c r="A3772" s="2"/>
      <c r="D3772" s="2"/>
      <c r="G3772" s="2"/>
      <c r="J3772" s="2"/>
      <c r="M3772" s="2"/>
    </row>
    <row r="3773" spans="1:13" x14ac:dyDescent="0.25">
      <c r="A3773" s="2"/>
      <c r="D3773" s="2"/>
      <c r="G3773" s="2"/>
      <c r="J3773" s="2"/>
      <c r="M3773" s="2"/>
    </row>
    <row r="3774" spans="1:13" x14ac:dyDescent="0.25">
      <c r="A3774" s="2"/>
      <c r="D3774" s="2"/>
      <c r="G3774" s="2"/>
      <c r="J3774" s="2"/>
      <c r="M3774" s="2"/>
    </row>
    <row r="3775" spans="1:13" x14ac:dyDescent="0.25">
      <c r="A3775" s="2"/>
      <c r="D3775" s="2"/>
      <c r="G3775" s="2"/>
      <c r="J3775" s="2"/>
      <c r="M3775" s="2"/>
    </row>
    <row r="3776" spans="1:13" x14ac:dyDescent="0.25">
      <c r="A3776" s="2"/>
      <c r="D3776" s="2"/>
      <c r="G3776" s="2"/>
      <c r="J3776" s="2"/>
      <c r="M3776" s="2"/>
    </row>
    <row r="3777" spans="1:13" x14ac:dyDescent="0.25">
      <c r="A3777" s="2"/>
      <c r="D3777" s="2"/>
      <c r="G3777" s="2"/>
      <c r="J3777" s="2"/>
      <c r="M3777" s="2"/>
    </row>
    <row r="3778" spans="1:13" x14ac:dyDescent="0.25">
      <c r="A3778" s="2"/>
      <c r="D3778" s="2"/>
      <c r="G3778" s="2"/>
      <c r="J3778" s="2"/>
      <c r="M3778" s="2"/>
    </row>
    <row r="3779" spans="1:13" x14ac:dyDescent="0.25">
      <c r="A3779" s="2"/>
      <c r="D3779" s="2"/>
      <c r="G3779" s="2"/>
      <c r="J3779" s="2"/>
      <c r="M3779" s="2"/>
    </row>
    <row r="3780" spans="1:13" x14ac:dyDescent="0.25">
      <c r="A3780" s="2"/>
      <c r="D3780" s="2"/>
      <c r="G3780" s="2"/>
      <c r="J3780" s="2"/>
      <c r="M3780" s="2"/>
    </row>
    <row r="3781" spans="1:13" x14ac:dyDescent="0.25">
      <c r="A3781" s="2"/>
      <c r="D3781" s="2"/>
      <c r="G3781" s="2"/>
      <c r="J3781" s="2"/>
      <c r="M3781" s="2"/>
    </row>
    <row r="3782" spans="1:13" x14ac:dyDescent="0.25">
      <c r="A3782" s="2"/>
      <c r="D3782" s="2"/>
      <c r="G3782" s="2"/>
      <c r="J3782" s="2"/>
      <c r="M3782" s="2"/>
    </row>
    <row r="3783" spans="1:13" x14ac:dyDescent="0.25">
      <c r="A3783" s="2"/>
      <c r="D3783" s="2"/>
      <c r="G3783" s="2"/>
      <c r="J3783" s="2"/>
      <c r="M3783" s="2"/>
    </row>
    <row r="3784" spans="1:13" x14ac:dyDescent="0.25">
      <c r="A3784" s="2"/>
      <c r="D3784" s="2"/>
      <c r="G3784" s="2"/>
      <c r="J3784" s="2"/>
      <c r="M3784" s="2"/>
    </row>
    <row r="3785" spans="1:13" x14ac:dyDescent="0.25">
      <c r="A3785" s="2"/>
      <c r="D3785" s="2"/>
      <c r="G3785" s="2"/>
      <c r="J3785" s="2"/>
      <c r="M3785" s="2"/>
    </row>
    <row r="3786" spans="1:13" x14ac:dyDescent="0.25">
      <c r="A3786" s="2"/>
      <c r="D3786" s="2"/>
      <c r="G3786" s="2"/>
      <c r="J3786" s="2"/>
      <c r="M3786" s="2"/>
    </row>
    <row r="3787" spans="1:13" x14ac:dyDescent="0.25">
      <c r="A3787" s="2"/>
      <c r="D3787" s="2"/>
      <c r="G3787" s="2"/>
      <c r="J3787" s="2"/>
      <c r="M3787" s="2"/>
    </row>
    <row r="3788" spans="1:13" x14ac:dyDescent="0.25">
      <c r="A3788" s="2"/>
      <c r="D3788" s="2"/>
      <c r="G3788" s="2"/>
      <c r="J3788" s="2"/>
      <c r="M3788" s="2"/>
    </row>
    <row r="3789" spans="1:13" x14ac:dyDescent="0.25">
      <c r="A3789" s="2"/>
      <c r="D3789" s="2"/>
      <c r="G3789" s="2"/>
      <c r="J3789" s="2"/>
      <c r="M3789" s="2"/>
    </row>
    <row r="3790" spans="1:13" x14ac:dyDescent="0.25">
      <c r="A3790" s="2"/>
      <c r="D3790" s="2"/>
      <c r="G3790" s="2"/>
      <c r="J3790" s="2"/>
      <c r="M3790" s="2"/>
    </row>
    <row r="3791" spans="1:13" x14ac:dyDescent="0.25">
      <c r="A3791" s="2"/>
      <c r="D3791" s="2"/>
      <c r="G3791" s="2"/>
      <c r="J3791" s="2"/>
      <c r="M3791" s="2"/>
    </row>
    <row r="3792" spans="1:13" x14ac:dyDescent="0.25">
      <c r="A3792" s="2"/>
      <c r="D3792" s="2"/>
      <c r="G3792" s="2"/>
      <c r="J3792" s="2"/>
      <c r="M3792" s="2"/>
    </row>
    <row r="3793" spans="1:13" x14ac:dyDescent="0.25">
      <c r="A3793" s="2"/>
      <c r="D3793" s="2"/>
      <c r="G3793" s="2"/>
      <c r="J3793" s="2"/>
      <c r="M3793" s="2"/>
    </row>
    <row r="3794" spans="1:13" x14ac:dyDescent="0.25">
      <c r="A3794" s="2"/>
      <c r="D3794" s="2"/>
      <c r="G3794" s="2"/>
      <c r="J3794" s="2"/>
      <c r="M3794" s="2"/>
    </row>
    <row r="3795" spans="1:13" x14ac:dyDescent="0.25">
      <c r="A3795" s="2"/>
      <c r="D3795" s="2"/>
      <c r="G3795" s="2"/>
      <c r="J3795" s="2"/>
      <c r="M3795" s="2"/>
    </row>
    <row r="3796" spans="1:13" x14ac:dyDescent="0.25">
      <c r="A3796" s="2"/>
      <c r="D3796" s="2"/>
      <c r="G3796" s="2"/>
      <c r="J3796" s="2"/>
      <c r="M3796" s="2"/>
    </row>
    <row r="3797" spans="1:13" x14ac:dyDescent="0.25">
      <c r="A3797" s="2"/>
      <c r="D3797" s="2"/>
      <c r="G3797" s="2"/>
      <c r="J3797" s="2"/>
      <c r="M3797" s="2"/>
    </row>
    <row r="3798" spans="1:13" x14ac:dyDescent="0.25">
      <c r="A3798" s="2"/>
      <c r="D3798" s="2"/>
      <c r="G3798" s="2"/>
      <c r="J3798" s="2"/>
      <c r="M3798" s="2"/>
    </row>
    <row r="3799" spans="1:13" x14ac:dyDescent="0.25">
      <c r="A3799" s="2"/>
      <c r="D3799" s="2"/>
      <c r="G3799" s="2"/>
      <c r="J3799" s="2"/>
      <c r="M3799" s="2"/>
    </row>
    <row r="3800" spans="1:13" x14ac:dyDescent="0.25">
      <c r="A3800" s="2"/>
      <c r="D3800" s="2"/>
      <c r="G3800" s="2"/>
      <c r="J3800" s="2"/>
      <c r="M3800" s="2"/>
    </row>
    <row r="3801" spans="1:13" x14ac:dyDescent="0.25">
      <c r="A3801" s="2"/>
      <c r="D3801" s="2"/>
      <c r="G3801" s="2"/>
      <c r="J3801" s="2"/>
      <c r="M3801" s="2"/>
    </row>
    <row r="3802" spans="1:13" x14ac:dyDescent="0.25">
      <c r="A3802" s="2"/>
      <c r="D3802" s="2"/>
      <c r="G3802" s="2"/>
      <c r="J3802" s="2"/>
      <c r="M3802" s="2"/>
    </row>
    <row r="3803" spans="1:13" x14ac:dyDescent="0.25">
      <c r="A3803" s="2"/>
      <c r="D3803" s="2"/>
      <c r="G3803" s="2"/>
      <c r="J3803" s="2"/>
      <c r="M3803" s="2"/>
    </row>
    <row r="3804" spans="1:13" x14ac:dyDescent="0.25">
      <c r="A3804" s="2"/>
      <c r="D3804" s="2"/>
      <c r="G3804" s="2"/>
      <c r="J3804" s="2"/>
      <c r="M3804" s="2"/>
    </row>
    <row r="3805" spans="1:13" x14ac:dyDescent="0.25">
      <c r="A3805" s="2"/>
      <c r="D3805" s="2"/>
      <c r="G3805" s="2"/>
      <c r="J3805" s="2"/>
      <c r="M3805" s="2"/>
    </row>
    <row r="3806" spans="1:13" x14ac:dyDescent="0.25">
      <c r="A3806" s="2"/>
      <c r="D3806" s="2"/>
      <c r="G3806" s="2"/>
      <c r="J3806" s="2"/>
      <c r="M3806" s="2"/>
    </row>
    <row r="3807" spans="1:13" x14ac:dyDescent="0.25">
      <c r="A3807" s="2"/>
      <c r="D3807" s="2"/>
      <c r="G3807" s="2"/>
      <c r="J3807" s="2"/>
      <c r="M3807" s="2"/>
    </row>
    <row r="3808" spans="1:13" x14ac:dyDescent="0.25">
      <c r="A3808" s="2"/>
      <c r="D3808" s="2"/>
      <c r="G3808" s="2"/>
      <c r="J3808" s="2"/>
      <c r="M3808" s="2"/>
    </row>
    <row r="3809" spans="1:13" x14ac:dyDescent="0.25">
      <c r="A3809" s="2"/>
      <c r="D3809" s="2"/>
      <c r="G3809" s="2"/>
      <c r="J3809" s="2"/>
      <c r="M3809" s="2"/>
    </row>
    <row r="3810" spans="1:13" x14ac:dyDescent="0.25">
      <c r="A3810" s="2"/>
      <c r="D3810" s="2"/>
      <c r="G3810" s="2"/>
      <c r="J3810" s="2"/>
      <c r="M3810" s="2"/>
    </row>
    <row r="3811" spans="1:13" x14ac:dyDescent="0.25">
      <c r="A3811" s="2"/>
      <c r="D3811" s="2"/>
      <c r="G3811" s="2"/>
      <c r="J3811" s="2"/>
      <c r="M3811" s="2"/>
    </row>
    <row r="3812" spans="1:13" x14ac:dyDescent="0.25">
      <c r="A3812" s="2"/>
      <c r="D3812" s="2"/>
      <c r="G3812" s="2"/>
      <c r="J3812" s="2"/>
      <c r="M3812" s="2"/>
    </row>
    <row r="3813" spans="1:13" x14ac:dyDescent="0.25">
      <c r="A3813" s="2"/>
      <c r="D3813" s="2"/>
      <c r="G3813" s="2"/>
      <c r="J3813" s="2"/>
      <c r="M3813" s="2"/>
    </row>
    <row r="3814" spans="1:13" x14ac:dyDescent="0.25">
      <c r="A3814" s="2"/>
      <c r="D3814" s="2"/>
      <c r="G3814" s="2"/>
      <c r="J3814" s="2"/>
      <c r="M3814" s="2"/>
    </row>
    <row r="3815" spans="1:13" x14ac:dyDescent="0.25">
      <c r="A3815" s="2"/>
      <c r="D3815" s="2"/>
      <c r="G3815" s="2"/>
      <c r="J3815" s="2"/>
      <c r="M3815" s="2"/>
    </row>
    <row r="3816" spans="1:13" x14ac:dyDescent="0.25">
      <c r="A3816" s="2"/>
      <c r="D3816" s="2"/>
      <c r="G3816" s="2"/>
      <c r="J3816" s="2"/>
      <c r="M3816" s="2"/>
    </row>
    <row r="3817" spans="1:13" x14ac:dyDescent="0.25">
      <c r="A3817" s="2"/>
      <c r="D3817" s="2"/>
      <c r="G3817" s="2"/>
      <c r="J3817" s="2"/>
      <c r="M3817" s="2"/>
    </row>
    <row r="3818" spans="1:13" x14ac:dyDescent="0.25">
      <c r="A3818" s="2"/>
      <c r="D3818" s="2"/>
      <c r="G3818" s="2"/>
      <c r="J3818" s="2"/>
      <c r="M3818" s="2"/>
    </row>
    <row r="3819" spans="1:13" x14ac:dyDescent="0.25">
      <c r="A3819" s="2"/>
      <c r="D3819" s="2"/>
      <c r="G3819" s="2"/>
      <c r="J3819" s="2"/>
      <c r="M3819" s="2"/>
    </row>
    <row r="3820" spans="1:13" x14ac:dyDescent="0.25">
      <c r="A3820" s="2"/>
      <c r="D3820" s="2"/>
      <c r="G3820" s="2"/>
      <c r="J3820" s="2"/>
      <c r="M3820" s="2"/>
    </row>
    <row r="3821" spans="1:13" x14ac:dyDescent="0.25">
      <c r="A3821" s="2"/>
      <c r="D3821" s="2"/>
      <c r="G3821" s="2"/>
      <c r="J3821" s="2"/>
      <c r="M3821" s="2"/>
    </row>
    <row r="3822" spans="1:13" x14ac:dyDescent="0.25">
      <c r="A3822" s="2"/>
      <c r="D3822" s="2"/>
      <c r="G3822" s="2"/>
      <c r="J3822" s="2"/>
      <c r="M3822" s="2"/>
    </row>
    <row r="3823" spans="1:13" x14ac:dyDescent="0.25">
      <c r="A3823" s="2"/>
      <c r="D3823" s="2"/>
      <c r="G3823" s="2"/>
      <c r="J3823" s="2"/>
      <c r="M3823" s="2"/>
    </row>
    <row r="3824" spans="1:13" x14ac:dyDescent="0.25">
      <c r="A3824" s="2"/>
      <c r="D3824" s="2"/>
      <c r="G3824" s="2"/>
      <c r="J3824" s="2"/>
      <c r="M3824" s="2"/>
    </row>
    <row r="3825" spans="1:13" x14ac:dyDescent="0.25">
      <c r="A3825" s="2"/>
      <c r="D3825" s="2"/>
      <c r="G3825" s="2"/>
      <c r="J3825" s="2"/>
      <c r="M3825" s="2"/>
    </row>
    <row r="3826" spans="1:13" x14ac:dyDescent="0.25">
      <c r="A3826" s="2"/>
      <c r="D3826" s="2"/>
      <c r="G3826" s="2"/>
      <c r="J3826" s="2"/>
      <c r="M3826" s="2"/>
    </row>
    <row r="3827" spans="1:13" x14ac:dyDescent="0.25">
      <c r="A3827" s="2"/>
      <c r="D3827" s="2"/>
      <c r="G3827" s="2"/>
      <c r="J3827" s="2"/>
      <c r="M3827" s="2"/>
    </row>
    <row r="3828" spans="1:13" x14ac:dyDescent="0.25">
      <c r="A3828" s="2"/>
      <c r="D3828" s="2"/>
      <c r="G3828" s="2"/>
      <c r="J3828" s="2"/>
      <c r="M3828" s="2"/>
    </row>
    <row r="3829" spans="1:13" x14ac:dyDescent="0.25">
      <c r="A3829" s="2"/>
      <c r="D3829" s="2"/>
      <c r="G3829" s="2"/>
      <c r="J3829" s="2"/>
      <c r="M3829" s="2"/>
    </row>
    <row r="3830" spans="1:13" x14ac:dyDescent="0.25">
      <c r="A3830" s="2"/>
      <c r="D3830" s="2"/>
      <c r="G3830" s="2"/>
      <c r="J3830" s="2"/>
      <c r="M3830" s="2"/>
    </row>
    <row r="3831" spans="1:13" x14ac:dyDescent="0.25">
      <c r="A3831" s="2"/>
      <c r="D3831" s="2"/>
      <c r="G3831" s="2"/>
      <c r="J3831" s="2"/>
      <c r="M3831" s="2"/>
    </row>
    <row r="3832" spans="1:13" x14ac:dyDescent="0.25">
      <c r="A3832" s="2"/>
      <c r="D3832" s="2"/>
      <c r="G3832" s="2"/>
      <c r="J3832" s="2"/>
      <c r="M3832" s="2"/>
    </row>
    <row r="3833" spans="1:13" x14ac:dyDescent="0.25">
      <c r="A3833" s="2"/>
      <c r="D3833" s="2"/>
      <c r="G3833" s="2"/>
      <c r="J3833" s="2"/>
      <c r="M3833" s="2"/>
    </row>
    <row r="3834" spans="1:13" x14ac:dyDescent="0.25">
      <c r="A3834" s="2"/>
      <c r="D3834" s="2"/>
      <c r="G3834" s="2"/>
      <c r="J3834" s="2"/>
      <c r="M3834" s="2"/>
    </row>
    <row r="3835" spans="1:13" x14ac:dyDescent="0.25">
      <c r="A3835" s="2"/>
      <c r="D3835" s="2"/>
      <c r="G3835" s="2"/>
      <c r="J3835" s="2"/>
      <c r="M3835" s="2"/>
    </row>
    <row r="3836" spans="1:13" x14ac:dyDescent="0.25">
      <c r="A3836" s="2"/>
      <c r="D3836" s="2"/>
      <c r="G3836" s="2"/>
      <c r="J3836" s="2"/>
      <c r="M3836" s="2"/>
    </row>
    <row r="3837" spans="1:13" x14ac:dyDescent="0.25">
      <c r="A3837" s="2"/>
      <c r="D3837" s="2"/>
      <c r="G3837" s="2"/>
      <c r="J3837" s="2"/>
      <c r="M3837" s="2"/>
    </row>
    <row r="3838" spans="1:13" x14ac:dyDescent="0.25">
      <c r="A3838" s="2"/>
      <c r="D3838" s="2"/>
      <c r="G3838" s="2"/>
      <c r="J3838" s="2"/>
      <c r="M3838" s="2"/>
    </row>
    <row r="3839" spans="1:13" x14ac:dyDescent="0.25">
      <c r="A3839" s="2"/>
      <c r="D3839" s="2"/>
      <c r="G3839" s="2"/>
      <c r="J3839" s="2"/>
      <c r="M3839" s="2"/>
    </row>
    <row r="3840" spans="1:13" x14ac:dyDescent="0.25">
      <c r="A3840" s="2"/>
      <c r="D3840" s="2"/>
      <c r="G3840" s="2"/>
      <c r="J3840" s="2"/>
      <c r="M3840" s="2"/>
    </row>
    <row r="3841" spans="1:13" x14ac:dyDescent="0.25">
      <c r="A3841" s="2"/>
      <c r="D3841" s="2"/>
      <c r="G3841" s="2"/>
      <c r="J3841" s="2"/>
      <c r="M3841" s="2"/>
    </row>
    <row r="3842" spans="1:13" x14ac:dyDescent="0.25">
      <c r="A3842" s="2"/>
      <c r="D3842" s="2"/>
      <c r="G3842" s="2"/>
      <c r="J3842" s="2"/>
      <c r="M3842" s="2"/>
    </row>
    <row r="3843" spans="1:13" x14ac:dyDescent="0.25">
      <c r="A3843" s="2"/>
      <c r="D3843" s="2"/>
      <c r="G3843" s="2"/>
      <c r="J3843" s="2"/>
      <c r="M3843" s="2"/>
    </row>
    <row r="3844" spans="1:13" x14ac:dyDescent="0.25">
      <c r="A3844" s="2"/>
      <c r="D3844" s="2"/>
      <c r="G3844" s="2"/>
      <c r="J3844" s="2"/>
      <c r="M3844" s="2"/>
    </row>
    <row r="3845" spans="1:13" x14ac:dyDescent="0.25">
      <c r="A3845" s="2"/>
      <c r="D3845" s="2"/>
      <c r="G3845" s="2"/>
      <c r="J3845" s="2"/>
      <c r="M3845" s="2"/>
    </row>
    <row r="3846" spans="1:13" x14ac:dyDescent="0.25">
      <c r="A3846" s="2"/>
      <c r="D3846" s="2"/>
      <c r="G3846" s="2"/>
      <c r="J3846" s="2"/>
      <c r="M3846" s="2"/>
    </row>
    <row r="3847" spans="1:13" x14ac:dyDescent="0.25">
      <c r="A3847" s="2"/>
      <c r="D3847" s="2"/>
      <c r="G3847" s="2"/>
      <c r="J3847" s="2"/>
      <c r="M3847" s="2"/>
    </row>
    <row r="3848" spans="1:13" x14ac:dyDescent="0.25">
      <c r="A3848" s="2"/>
      <c r="D3848" s="2"/>
      <c r="G3848" s="2"/>
      <c r="J3848" s="2"/>
      <c r="M3848" s="2"/>
    </row>
    <row r="3849" spans="1:13" x14ac:dyDescent="0.25">
      <c r="A3849" s="2"/>
      <c r="D3849" s="2"/>
      <c r="G3849" s="2"/>
      <c r="J3849" s="2"/>
      <c r="M3849" s="2"/>
    </row>
    <row r="3850" spans="1:13" x14ac:dyDescent="0.25">
      <c r="A3850" s="2"/>
      <c r="D3850" s="2"/>
      <c r="G3850" s="2"/>
      <c r="J3850" s="2"/>
      <c r="M3850" s="2"/>
    </row>
    <row r="3851" spans="1:13" x14ac:dyDescent="0.25">
      <c r="A3851" s="2"/>
      <c r="D3851" s="2"/>
      <c r="G3851" s="2"/>
      <c r="J3851" s="2"/>
      <c r="M3851" s="2"/>
    </row>
    <row r="3852" spans="1:13" x14ac:dyDescent="0.25">
      <c r="A3852" s="2"/>
      <c r="D3852" s="2"/>
      <c r="G3852" s="2"/>
      <c r="J3852" s="2"/>
      <c r="M3852" s="2"/>
    </row>
    <row r="3853" spans="1:13" x14ac:dyDescent="0.25">
      <c r="A3853" s="2"/>
      <c r="D3853" s="2"/>
      <c r="G3853" s="2"/>
      <c r="J3853" s="2"/>
      <c r="M3853" s="2"/>
    </row>
    <row r="3854" spans="1:13" x14ac:dyDescent="0.25">
      <c r="A3854" s="2"/>
      <c r="D3854" s="2"/>
      <c r="G3854" s="2"/>
      <c r="J3854" s="2"/>
      <c r="M3854" s="2"/>
    </row>
    <row r="3855" spans="1:13" x14ac:dyDescent="0.25">
      <c r="A3855" s="2"/>
      <c r="D3855" s="2"/>
      <c r="G3855" s="2"/>
      <c r="J3855" s="2"/>
      <c r="M3855" s="2"/>
    </row>
    <row r="3856" spans="1:13" x14ac:dyDescent="0.25">
      <c r="A3856" s="2"/>
      <c r="D3856" s="2"/>
      <c r="G3856" s="2"/>
      <c r="J3856" s="2"/>
      <c r="M3856" s="2"/>
    </row>
    <row r="3857" spans="1:13" x14ac:dyDescent="0.25">
      <c r="A3857" s="2"/>
      <c r="D3857" s="2"/>
      <c r="G3857" s="2"/>
      <c r="J3857" s="2"/>
      <c r="M3857" s="2"/>
    </row>
    <row r="3858" spans="1:13" x14ac:dyDescent="0.25">
      <c r="A3858" s="2"/>
      <c r="D3858" s="2"/>
      <c r="G3858" s="2"/>
      <c r="J3858" s="2"/>
      <c r="M3858" s="2"/>
    </row>
    <row r="3859" spans="1:13" x14ac:dyDescent="0.25">
      <c r="A3859" s="2"/>
      <c r="D3859" s="2"/>
      <c r="G3859" s="2"/>
      <c r="J3859" s="2"/>
      <c r="M3859" s="2"/>
    </row>
    <row r="3860" spans="1:13" x14ac:dyDescent="0.25">
      <c r="A3860" s="2"/>
      <c r="D3860" s="2"/>
      <c r="G3860" s="2"/>
      <c r="J3860" s="2"/>
      <c r="M3860" s="2"/>
    </row>
    <row r="3861" spans="1:13" x14ac:dyDescent="0.25">
      <c r="A3861" s="2"/>
      <c r="D3861" s="2"/>
      <c r="G3861" s="2"/>
      <c r="J3861" s="2"/>
      <c r="M3861" s="2"/>
    </row>
    <row r="3862" spans="1:13" x14ac:dyDescent="0.25">
      <c r="A3862" s="2"/>
      <c r="D3862" s="2"/>
      <c r="G3862" s="2"/>
      <c r="J3862" s="2"/>
      <c r="M3862" s="2"/>
    </row>
    <row r="3863" spans="1:13" x14ac:dyDescent="0.25">
      <c r="A3863" s="2"/>
      <c r="D3863" s="2"/>
      <c r="G3863" s="2"/>
      <c r="J3863" s="2"/>
      <c r="M3863" s="2"/>
    </row>
    <row r="3864" spans="1:13" x14ac:dyDescent="0.25">
      <c r="A3864" s="2"/>
      <c r="D3864" s="2"/>
      <c r="G3864" s="2"/>
      <c r="J3864" s="2"/>
      <c r="M3864" s="2"/>
    </row>
    <row r="3865" spans="1:13" x14ac:dyDescent="0.25">
      <c r="A3865" s="2"/>
      <c r="D3865" s="2"/>
      <c r="G3865" s="2"/>
      <c r="J3865" s="2"/>
      <c r="M3865" s="2"/>
    </row>
    <row r="3866" spans="1:13" x14ac:dyDescent="0.25">
      <c r="A3866" s="2"/>
      <c r="D3866" s="2"/>
      <c r="G3866" s="2"/>
      <c r="J3866" s="2"/>
      <c r="M3866" s="2"/>
    </row>
    <row r="3867" spans="1:13" x14ac:dyDescent="0.25">
      <c r="A3867" s="2"/>
      <c r="D3867" s="2"/>
      <c r="G3867" s="2"/>
      <c r="J3867" s="2"/>
      <c r="M3867" s="2"/>
    </row>
    <row r="3868" spans="1:13" x14ac:dyDescent="0.25">
      <c r="A3868" s="2"/>
      <c r="D3868" s="2"/>
      <c r="G3868" s="2"/>
      <c r="J3868" s="2"/>
      <c r="M3868" s="2"/>
    </row>
    <row r="3869" spans="1:13" x14ac:dyDescent="0.25">
      <c r="A3869" s="2"/>
      <c r="D3869" s="2"/>
      <c r="G3869" s="2"/>
      <c r="J3869" s="2"/>
      <c r="M3869" s="2"/>
    </row>
    <row r="3870" spans="1:13" x14ac:dyDescent="0.25">
      <c r="A3870" s="2"/>
      <c r="D3870" s="2"/>
      <c r="G3870" s="2"/>
      <c r="J3870" s="2"/>
      <c r="M3870" s="2"/>
    </row>
    <row r="3871" spans="1:13" x14ac:dyDescent="0.25">
      <c r="A3871" s="2"/>
      <c r="D3871" s="2"/>
      <c r="G3871" s="2"/>
      <c r="J3871" s="2"/>
      <c r="M3871" s="2"/>
    </row>
    <row r="3872" spans="1:13" x14ac:dyDescent="0.25">
      <c r="A3872" s="2"/>
      <c r="D3872" s="2"/>
      <c r="G3872" s="2"/>
      <c r="J3872" s="2"/>
      <c r="M3872" s="2"/>
    </row>
    <row r="3873" spans="1:13" x14ac:dyDescent="0.25">
      <c r="A3873" s="2"/>
      <c r="D3873" s="2"/>
      <c r="G3873" s="2"/>
      <c r="J3873" s="2"/>
      <c r="M3873" s="2"/>
    </row>
    <row r="3874" spans="1:13" x14ac:dyDescent="0.25">
      <c r="A3874" s="2"/>
      <c r="D3874" s="2"/>
      <c r="G3874" s="2"/>
      <c r="J3874" s="2"/>
      <c r="M3874" s="2"/>
    </row>
    <row r="3875" spans="1:13" x14ac:dyDescent="0.25">
      <c r="A3875" s="2"/>
      <c r="D3875" s="2"/>
      <c r="G3875" s="2"/>
      <c r="J3875" s="2"/>
      <c r="M3875" s="2"/>
    </row>
    <row r="3876" spans="1:13" x14ac:dyDescent="0.25">
      <c r="A3876" s="2"/>
      <c r="D3876" s="2"/>
      <c r="G3876" s="2"/>
      <c r="J3876" s="2"/>
      <c r="M3876" s="2"/>
    </row>
    <row r="3877" spans="1:13" x14ac:dyDescent="0.25">
      <c r="A3877" s="2"/>
      <c r="D3877" s="2"/>
      <c r="G3877" s="2"/>
      <c r="J3877" s="2"/>
      <c r="M3877" s="2"/>
    </row>
    <row r="3878" spans="1:13" x14ac:dyDescent="0.25">
      <c r="A3878" s="2"/>
      <c r="D3878" s="2"/>
      <c r="G3878" s="2"/>
      <c r="J3878" s="2"/>
      <c r="M3878" s="2"/>
    </row>
    <row r="3879" spans="1:13" x14ac:dyDescent="0.25">
      <c r="A3879" s="2"/>
      <c r="D3879" s="2"/>
      <c r="G3879" s="2"/>
      <c r="J3879" s="2"/>
      <c r="M3879" s="2"/>
    </row>
    <row r="3880" spans="1:13" x14ac:dyDescent="0.25">
      <c r="A3880" s="2"/>
      <c r="D3880" s="2"/>
      <c r="G3880" s="2"/>
      <c r="J3880" s="2"/>
      <c r="M3880" s="2"/>
    </row>
    <row r="3881" spans="1:13" x14ac:dyDescent="0.25">
      <c r="A3881" s="2"/>
      <c r="D3881" s="2"/>
      <c r="G3881" s="2"/>
      <c r="J3881" s="2"/>
      <c r="M3881" s="2"/>
    </row>
    <row r="3882" spans="1:13" x14ac:dyDescent="0.25">
      <c r="A3882" s="2"/>
      <c r="D3882" s="2"/>
      <c r="G3882" s="2"/>
      <c r="J3882" s="2"/>
      <c r="M3882" s="2"/>
    </row>
    <row r="3883" spans="1:13" x14ac:dyDescent="0.25">
      <c r="A3883" s="2"/>
      <c r="D3883" s="2"/>
      <c r="G3883" s="2"/>
      <c r="J3883" s="2"/>
      <c r="M3883" s="2"/>
    </row>
    <row r="3884" spans="1:13" x14ac:dyDescent="0.25">
      <c r="A3884" s="2"/>
      <c r="D3884" s="2"/>
      <c r="G3884" s="2"/>
      <c r="J3884" s="2"/>
      <c r="M3884" s="2"/>
    </row>
    <row r="3885" spans="1:13" x14ac:dyDescent="0.25">
      <c r="A3885" s="2"/>
      <c r="D3885" s="2"/>
      <c r="G3885" s="2"/>
      <c r="J3885" s="2"/>
      <c r="M3885" s="2"/>
    </row>
    <row r="3886" spans="1:13" x14ac:dyDescent="0.25">
      <c r="A3886" s="2"/>
      <c r="D3886" s="2"/>
      <c r="G3886" s="2"/>
      <c r="J3886" s="2"/>
      <c r="M3886" s="2"/>
    </row>
    <row r="3887" spans="1:13" x14ac:dyDescent="0.25">
      <c r="A3887" s="2"/>
      <c r="D3887" s="2"/>
      <c r="G3887" s="2"/>
      <c r="J3887" s="2"/>
      <c r="M3887" s="2"/>
    </row>
    <row r="3888" spans="1:13" x14ac:dyDescent="0.25">
      <c r="A3888" s="2"/>
      <c r="D3888" s="2"/>
      <c r="G3888" s="2"/>
      <c r="J3888" s="2"/>
      <c r="M3888" s="2"/>
    </row>
    <row r="3889" spans="1:13" x14ac:dyDescent="0.25">
      <c r="A3889" s="2"/>
      <c r="D3889" s="2"/>
      <c r="G3889" s="2"/>
      <c r="J3889" s="2"/>
      <c r="M3889" s="2"/>
    </row>
    <row r="3890" spans="1:13" x14ac:dyDescent="0.25">
      <c r="A3890" s="2"/>
      <c r="D3890" s="2"/>
      <c r="G3890" s="2"/>
      <c r="J3890" s="2"/>
      <c r="M3890" s="2"/>
    </row>
    <row r="3891" spans="1:13" x14ac:dyDescent="0.25">
      <c r="A3891" s="2"/>
      <c r="D3891" s="2"/>
      <c r="G3891" s="2"/>
      <c r="J3891" s="2"/>
      <c r="M3891" s="2"/>
    </row>
    <row r="3892" spans="1:13" x14ac:dyDescent="0.25">
      <c r="A3892" s="2"/>
      <c r="D3892" s="2"/>
      <c r="G3892" s="2"/>
      <c r="J3892" s="2"/>
      <c r="M3892" s="2"/>
    </row>
    <row r="3893" spans="1:13" x14ac:dyDescent="0.25">
      <c r="A3893" s="2"/>
      <c r="D3893" s="2"/>
      <c r="G3893" s="2"/>
      <c r="J3893" s="2"/>
      <c r="M3893" s="2"/>
    </row>
    <row r="3894" spans="1:13" x14ac:dyDescent="0.25">
      <c r="A3894" s="2"/>
      <c r="D3894" s="2"/>
      <c r="G3894" s="2"/>
      <c r="J3894" s="2"/>
      <c r="M3894" s="2"/>
    </row>
    <row r="3895" spans="1:13" x14ac:dyDescent="0.25">
      <c r="A3895" s="2"/>
      <c r="D3895" s="2"/>
      <c r="G3895" s="2"/>
      <c r="J3895" s="2"/>
      <c r="M3895" s="2"/>
    </row>
    <row r="3896" spans="1:13" x14ac:dyDescent="0.25">
      <c r="A3896" s="2"/>
      <c r="D3896" s="2"/>
      <c r="G3896" s="2"/>
      <c r="J3896" s="2"/>
      <c r="M3896" s="2"/>
    </row>
    <row r="3897" spans="1:13" x14ac:dyDescent="0.25">
      <c r="A3897" s="2"/>
      <c r="D3897" s="2"/>
      <c r="G3897" s="2"/>
      <c r="J3897" s="2"/>
      <c r="M3897" s="2"/>
    </row>
    <row r="3898" spans="1:13" x14ac:dyDescent="0.25">
      <c r="A3898" s="2"/>
      <c r="D3898" s="2"/>
      <c r="G3898" s="2"/>
      <c r="J3898" s="2"/>
      <c r="M3898" s="2"/>
    </row>
    <row r="3899" spans="1:13" x14ac:dyDescent="0.25">
      <c r="A3899" s="2"/>
      <c r="D3899" s="2"/>
      <c r="G3899" s="2"/>
      <c r="J3899" s="2"/>
      <c r="M3899" s="2"/>
    </row>
    <row r="3900" spans="1:13" x14ac:dyDescent="0.25">
      <c r="A3900" s="2"/>
      <c r="D3900" s="2"/>
      <c r="G3900" s="2"/>
      <c r="J3900" s="2"/>
      <c r="M3900" s="2"/>
    </row>
    <row r="3901" spans="1:13" x14ac:dyDescent="0.25">
      <c r="A3901" s="2"/>
      <c r="D3901" s="2"/>
      <c r="G3901" s="2"/>
      <c r="J3901" s="2"/>
      <c r="M3901" s="2"/>
    </row>
    <row r="3902" spans="1:13" x14ac:dyDescent="0.25">
      <c r="A3902" s="2"/>
      <c r="D3902" s="2"/>
      <c r="G3902" s="2"/>
      <c r="J3902" s="2"/>
      <c r="M3902" s="2"/>
    </row>
    <row r="3903" spans="1:13" x14ac:dyDescent="0.25">
      <c r="A3903" s="2"/>
      <c r="D3903" s="2"/>
      <c r="G3903" s="2"/>
      <c r="J3903" s="2"/>
      <c r="M3903" s="2"/>
    </row>
    <row r="3904" spans="1:13" x14ac:dyDescent="0.25">
      <c r="A3904" s="2"/>
      <c r="D3904" s="2"/>
      <c r="G3904" s="2"/>
      <c r="J3904" s="2"/>
      <c r="M3904" s="2"/>
    </row>
    <row r="3905" spans="1:13" x14ac:dyDescent="0.25">
      <c r="A3905" s="2"/>
      <c r="D3905" s="2"/>
      <c r="G3905" s="2"/>
      <c r="J3905" s="2"/>
      <c r="M3905" s="2"/>
    </row>
    <row r="3906" spans="1:13" x14ac:dyDescent="0.25">
      <c r="A3906" s="2"/>
      <c r="D3906" s="2"/>
      <c r="G3906" s="2"/>
      <c r="J3906" s="2"/>
      <c r="M3906" s="2"/>
    </row>
    <row r="3907" spans="1:13" x14ac:dyDescent="0.25">
      <c r="A3907" s="2"/>
      <c r="D3907" s="2"/>
      <c r="G3907" s="2"/>
      <c r="J3907" s="2"/>
      <c r="M3907" s="2"/>
    </row>
    <row r="3908" spans="1:13" x14ac:dyDescent="0.25">
      <c r="A3908" s="2"/>
      <c r="D3908" s="2"/>
      <c r="G3908" s="2"/>
      <c r="J3908" s="2"/>
      <c r="M3908" s="2"/>
    </row>
    <row r="3909" spans="1:13" x14ac:dyDescent="0.25">
      <c r="A3909" s="2"/>
      <c r="D3909" s="2"/>
      <c r="G3909" s="2"/>
      <c r="J3909" s="2"/>
      <c r="M3909" s="2"/>
    </row>
    <row r="3910" spans="1:13" x14ac:dyDescent="0.25">
      <c r="A3910" s="2"/>
      <c r="D3910" s="2"/>
      <c r="G3910" s="2"/>
      <c r="J3910" s="2"/>
      <c r="M3910" s="2"/>
    </row>
    <row r="3911" spans="1:13" x14ac:dyDescent="0.25">
      <c r="A3911" s="2"/>
      <c r="D3911" s="2"/>
      <c r="G3911" s="2"/>
      <c r="J3911" s="2"/>
      <c r="M3911" s="2"/>
    </row>
    <row r="3912" spans="1:13" x14ac:dyDescent="0.25">
      <c r="A3912" s="2"/>
      <c r="D3912" s="2"/>
      <c r="G3912" s="2"/>
      <c r="J3912" s="2"/>
      <c r="M3912" s="2"/>
    </row>
    <row r="3913" spans="1:13" x14ac:dyDescent="0.25">
      <c r="A3913" s="2"/>
      <c r="D3913" s="2"/>
      <c r="G3913" s="2"/>
      <c r="J3913" s="2"/>
      <c r="M3913" s="2"/>
    </row>
    <row r="3914" spans="1:13" x14ac:dyDescent="0.25">
      <c r="A3914" s="2"/>
      <c r="D3914" s="2"/>
      <c r="G3914" s="2"/>
      <c r="J3914" s="2"/>
      <c r="M3914" s="2"/>
    </row>
    <row r="3915" spans="1:13" x14ac:dyDescent="0.25">
      <c r="A3915" s="2"/>
      <c r="D3915" s="2"/>
      <c r="G3915" s="2"/>
      <c r="J3915" s="2"/>
      <c r="M3915" s="2"/>
    </row>
    <row r="3916" spans="1:13" x14ac:dyDescent="0.25">
      <c r="A3916" s="2"/>
      <c r="D3916" s="2"/>
      <c r="G3916" s="2"/>
      <c r="J3916" s="2"/>
      <c r="M3916" s="2"/>
    </row>
    <row r="3917" spans="1:13" x14ac:dyDescent="0.25">
      <c r="A3917" s="2"/>
      <c r="D3917" s="2"/>
      <c r="G3917" s="2"/>
      <c r="J3917" s="2"/>
      <c r="M3917" s="2"/>
    </row>
    <row r="3918" spans="1:13" x14ac:dyDescent="0.25">
      <c r="A3918" s="2"/>
      <c r="D3918" s="2"/>
      <c r="G3918" s="2"/>
      <c r="J3918" s="2"/>
      <c r="M3918" s="2"/>
    </row>
    <row r="3919" spans="1:13" x14ac:dyDescent="0.25">
      <c r="A3919" s="2"/>
      <c r="D3919" s="2"/>
      <c r="G3919" s="2"/>
      <c r="J3919" s="2"/>
      <c r="M3919" s="2"/>
    </row>
    <row r="3920" spans="1:13" x14ac:dyDescent="0.25">
      <c r="A3920" s="2"/>
      <c r="D3920" s="2"/>
      <c r="G3920" s="2"/>
      <c r="J3920" s="2"/>
      <c r="M3920" s="2"/>
    </row>
    <row r="3921" spans="1:13" x14ac:dyDescent="0.25">
      <c r="A3921" s="2"/>
      <c r="D3921" s="2"/>
      <c r="G3921" s="2"/>
      <c r="J3921" s="2"/>
      <c r="M3921" s="2"/>
    </row>
    <row r="3922" spans="1:13" x14ac:dyDescent="0.25">
      <c r="A3922" s="2"/>
      <c r="D3922" s="2"/>
      <c r="G3922" s="2"/>
      <c r="J3922" s="2"/>
      <c r="M3922" s="2"/>
    </row>
    <row r="3923" spans="1:13" x14ac:dyDescent="0.25">
      <c r="A3923" s="2"/>
      <c r="D3923" s="2"/>
      <c r="G3923" s="2"/>
      <c r="J3923" s="2"/>
      <c r="M3923" s="2"/>
    </row>
    <row r="3924" spans="1:13" x14ac:dyDescent="0.25">
      <c r="A3924" s="2"/>
      <c r="D3924" s="2"/>
      <c r="G3924" s="2"/>
      <c r="J3924" s="2"/>
      <c r="M3924" s="2"/>
    </row>
    <row r="3925" spans="1:13" x14ac:dyDescent="0.25">
      <c r="A3925" s="2"/>
      <c r="D3925" s="2"/>
      <c r="G3925" s="2"/>
      <c r="J3925" s="2"/>
      <c r="M3925" s="2"/>
    </row>
    <row r="3926" spans="1:13" x14ac:dyDescent="0.25">
      <c r="A3926" s="2"/>
      <c r="D3926" s="2"/>
      <c r="G3926" s="2"/>
      <c r="J3926" s="2"/>
      <c r="M3926" s="2"/>
    </row>
    <row r="3927" spans="1:13" x14ac:dyDescent="0.25">
      <c r="A3927" s="2"/>
      <c r="D3927" s="2"/>
      <c r="G3927" s="2"/>
      <c r="J3927" s="2"/>
      <c r="M3927" s="2"/>
    </row>
    <row r="3928" spans="1:13" x14ac:dyDescent="0.25">
      <c r="A3928" s="2"/>
      <c r="D3928" s="2"/>
      <c r="G3928" s="2"/>
      <c r="J3928" s="2"/>
      <c r="M3928" s="2"/>
    </row>
    <row r="3929" spans="1:13" x14ac:dyDescent="0.25">
      <c r="A3929" s="2"/>
      <c r="D3929" s="2"/>
      <c r="G3929" s="2"/>
      <c r="J3929" s="2"/>
      <c r="M3929" s="2"/>
    </row>
    <row r="3930" spans="1:13" x14ac:dyDescent="0.25">
      <c r="A3930" s="2"/>
      <c r="D3930" s="2"/>
      <c r="G3930" s="2"/>
      <c r="J3930" s="2"/>
      <c r="M3930" s="2"/>
    </row>
    <row r="3931" spans="1:13" x14ac:dyDescent="0.25">
      <c r="A3931" s="2"/>
      <c r="D3931" s="2"/>
      <c r="G3931" s="2"/>
      <c r="J3931" s="2"/>
      <c r="M3931" s="2"/>
    </row>
    <row r="3932" spans="1:13" x14ac:dyDescent="0.25">
      <c r="A3932" s="2"/>
      <c r="D3932" s="2"/>
      <c r="G3932" s="2"/>
      <c r="J3932" s="2"/>
      <c r="M3932" s="2"/>
    </row>
    <row r="3933" spans="1:13" x14ac:dyDescent="0.25">
      <c r="A3933" s="2"/>
      <c r="D3933" s="2"/>
      <c r="G3933" s="2"/>
      <c r="J3933" s="2"/>
      <c r="M3933" s="2"/>
    </row>
    <row r="3934" spans="1:13" x14ac:dyDescent="0.25">
      <c r="A3934" s="2"/>
      <c r="D3934" s="2"/>
      <c r="G3934" s="2"/>
      <c r="J3934" s="2"/>
      <c r="M3934" s="2"/>
    </row>
    <row r="3935" spans="1:13" x14ac:dyDescent="0.25">
      <c r="A3935" s="2"/>
      <c r="D3935" s="2"/>
      <c r="G3935" s="2"/>
      <c r="J3935" s="2"/>
      <c r="M3935" s="2"/>
    </row>
    <row r="3936" spans="1:13" x14ac:dyDescent="0.25">
      <c r="A3936" s="2"/>
      <c r="D3936" s="2"/>
      <c r="G3936" s="2"/>
      <c r="J3936" s="2"/>
      <c r="M3936" s="2"/>
    </row>
    <row r="3937" spans="1:13" x14ac:dyDescent="0.25">
      <c r="A3937" s="2"/>
      <c r="D3937" s="2"/>
      <c r="G3937" s="2"/>
      <c r="J3937" s="2"/>
      <c r="M3937" s="2"/>
    </row>
    <row r="3938" spans="1:13" x14ac:dyDescent="0.25">
      <c r="A3938" s="2"/>
      <c r="D3938" s="2"/>
      <c r="G3938" s="2"/>
      <c r="J3938" s="2"/>
      <c r="M3938" s="2"/>
    </row>
    <row r="3939" spans="1:13" x14ac:dyDescent="0.25">
      <c r="A3939" s="2"/>
      <c r="D3939" s="2"/>
      <c r="G3939" s="2"/>
      <c r="J3939" s="2"/>
      <c r="M3939" s="2"/>
    </row>
    <row r="3940" spans="1:13" x14ac:dyDescent="0.25">
      <c r="A3940" s="2"/>
      <c r="D3940" s="2"/>
      <c r="G3940" s="2"/>
      <c r="J3940" s="2"/>
      <c r="M3940" s="2"/>
    </row>
    <row r="3941" spans="1:13" x14ac:dyDescent="0.25">
      <c r="A3941" s="2"/>
      <c r="D3941" s="2"/>
      <c r="G3941" s="2"/>
      <c r="J3941" s="2"/>
      <c r="M3941" s="2"/>
    </row>
    <row r="3942" spans="1:13" x14ac:dyDescent="0.25">
      <c r="A3942" s="2"/>
      <c r="D3942" s="2"/>
      <c r="G3942" s="2"/>
      <c r="J3942" s="2"/>
      <c r="M3942" s="2"/>
    </row>
    <row r="3943" spans="1:13" x14ac:dyDescent="0.25">
      <c r="A3943" s="2"/>
      <c r="D3943" s="2"/>
      <c r="G3943" s="2"/>
      <c r="J3943" s="2"/>
      <c r="M3943" s="2"/>
    </row>
    <row r="3944" spans="1:13" x14ac:dyDescent="0.25">
      <c r="A3944" s="2"/>
      <c r="D3944" s="2"/>
      <c r="G3944" s="2"/>
      <c r="J3944" s="2"/>
      <c r="M3944" s="2"/>
    </row>
    <row r="3945" spans="1:13" x14ac:dyDescent="0.25">
      <c r="A3945" s="2"/>
      <c r="D3945" s="2"/>
      <c r="G3945" s="2"/>
      <c r="J3945" s="2"/>
      <c r="M3945" s="2"/>
    </row>
    <row r="3946" spans="1:13" x14ac:dyDescent="0.25">
      <c r="A3946" s="2"/>
      <c r="D3946" s="2"/>
      <c r="G3946" s="2"/>
      <c r="J3946" s="2"/>
      <c r="M3946" s="2"/>
    </row>
    <row r="3947" spans="1:13" x14ac:dyDescent="0.25">
      <c r="A3947" s="2"/>
      <c r="D3947" s="2"/>
      <c r="G3947" s="2"/>
      <c r="J3947" s="2"/>
      <c r="M3947" s="2"/>
    </row>
    <row r="3948" spans="1:13" x14ac:dyDescent="0.25">
      <c r="A3948" s="2"/>
      <c r="D3948" s="2"/>
      <c r="G3948" s="2"/>
      <c r="J3948" s="2"/>
      <c r="M3948" s="2"/>
    </row>
    <row r="3949" spans="1:13" x14ac:dyDescent="0.25">
      <c r="A3949" s="2"/>
      <c r="D3949" s="2"/>
      <c r="G3949" s="2"/>
      <c r="J3949" s="2"/>
      <c r="M3949" s="2"/>
    </row>
    <row r="3950" spans="1:13" x14ac:dyDescent="0.25">
      <c r="A3950" s="2"/>
      <c r="D3950" s="2"/>
      <c r="G3950" s="2"/>
      <c r="J3950" s="2"/>
      <c r="M3950" s="2"/>
    </row>
    <row r="3951" spans="1:13" x14ac:dyDescent="0.25">
      <c r="A3951" s="2"/>
      <c r="D3951" s="2"/>
      <c r="G3951" s="2"/>
      <c r="J3951" s="2"/>
      <c r="M3951" s="2"/>
    </row>
    <row r="3952" spans="1:13" x14ac:dyDescent="0.25">
      <c r="A3952" s="2"/>
      <c r="D3952" s="2"/>
      <c r="G3952" s="2"/>
      <c r="J3952" s="2"/>
      <c r="M3952" s="2"/>
    </row>
    <row r="3953" spans="1:13" x14ac:dyDescent="0.25">
      <c r="A3953" s="2"/>
      <c r="D3953" s="2"/>
      <c r="G3953" s="2"/>
      <c r="J3953" s="2"/>
      <c r="M3953" s="2"/>
    </row>
    <row r="3954" spans="1:13" x14ac:dyDescent="0.25">
      <c r="A3954" s="2"/>
      <c r="D3954" s="2"/>
      <c r="G3954" s="2"/>
      <c r="J3954" s="2"/>
      <c r="M3954" s="2"/>
    </row>
    <row r="3955" spans="1:13" x14ac:dyDescent="0.25">
      <c r="A3955" s="2"/>
      <c r="D3955" s="2"/>
      <c r="G3955" s="2"/>
      <c r="J3955" s="2"/>
      <c r="M3955" s="2"/>
    </row>
    <row r="3956" spans="1:13" x14ac:dyDescent="0.25">
      <c r="A3956" s="2"/>
      <c r="D3956" s="2"/>
      <c r="G3956" s="2"/>
      <c r="J3956" s="2"/>
      <c r="M3956" s="2"/>
    </row>
    <row r="3957" spans="1:13" x14ac:dyDescent="0.25">
      <c r="A3957" s="2"/>
      <c r="D3957" s="2"/>
      <c r="G3957" s="2"/>
      <c r="J3957" s="2"/>
      <c r="M3957" s="2"/>
    </row>
    <row r="3958" spans="1:13" x14ac:dyDescent="0.25">
      <c r="A3958" s="2"/>
      <c r="D3958" s="2"/>
      <c r="G3958" s="2"/>
      <c r="J3958" s="2"/>
      <c r="M3958" s="2"/>
    </row>
    <row r="3959" spans="1:13" x14ac:dyDescent="0.25">
      <c r="A3959" s="2"/>
      <c r="D3959" s="2"/>
      <c r="G3959" s="2"/>
      <c r="J3959" s="2"/>
      <c r="M3959" s="2"/>
    </row>
    <row r="3960" spans="1:13" x14ac:dyDescent="0.25">
      <c r="A3960" s="2"/>
      <c r="D3960" s="2"/>
      <c r="G3960" s="2"/>
      <c r="J3960" s="2"/>
      <c r="M3960" s="2"/>
    </row>
    <row r="3961" spans="1:13" x14ac:dyDescent="0.25">
      <c r="A3961" s="2"/>
      <c r="D3961" s="2"/>
      <c r="G3961" s="2"/>
      <c r="J3961" s="2"/>
      <c r="M3961" s="2"/>
    </row>
    <row r="3962" spans="1:13" x14ac:dyDescent="0.25">
      <c r="A3962" s="2"/>
      <c r="D3962" s="2"/>
      <c r="G3962" s="2"/>
      <c r="J3962" s="2"/>
      <c r="M3962" s="2"/>
    </row>
    <row r="3963" spans="1:13" x14ac:dyDescent="0.25">
      <c r="A3963" s="2"/>
      <c r="D3963" s="2"/>
      <c r="G3963" s="2"/>
      <c r="J3963" s="2"/>
      <c r="M3963" s="2"/>
    </row>
    <row r="3964" spans="1:13" x14ac:dyDescent="0.25">
      <c r="A3964" s="2"/>
      <c r="D3964" s="2"/>
      <c r="G3964" s="2"/>
      <c r="J3964" s="2"/>
      <c r="M3964" s="2"/>
    </row>
    <row r="3965" spans="1:13" x14ac:dyDescent="0.25">
      <c r="A3965" s="2"/>
      <c r="D3965" s="2"/>
      <c r="G3965" s="2"/>
      <c r="J3965" s="2"/>
      <c r="M3965" s="2"/>
    </row>
    <row r="3966" spans="1:13" x14ac:dyDescent="0.25">
      <c r="A3966" s="2"/>
      <c r="D3966" s="2"/>
      <c r="G3966" s="2"/>
      <c r="J3966" s="2"/>
      <c r="M3966" s="2"/>
    </row>
    <row r="3967" spans="1:13" x14ac:dyDescent="0.25">
      <c r="A3967" s="2"/>
      <c r="D3967" s="2"/>
      <c r="G3967" s="2"/>
      <c r="J3967" s="2"/>
      <c r="M3967" s="2"/>
    </row>
    <row r="3968" spans="1:13" x14ac:dyDescent="0.25">
      <c r="A3968" s="2"/>
      <c r="D3968" s="2"/>
      <c r="G3968" s="2"/>
      <c r="J3968" s="2"/>
      <c r="M3968" s="2"/>
    </row>
    <row r="3969" spans="1:13" x14ac:dyDescent="0.25">
      <c r="A3969" s="2"/>
      <c r="D3969" s="2"/>
      <c r="G3969" s="2"/>
      <c r="J3969" s="2"/>
      <c r="M3969" s="2"/>
    </row>
    <row r="3970" spans="1:13" x14ac:dyDescent="0.25">
      <c r="A3970" s="2"/>
      <c r="D3970" s="2"/>
      <c r="G3970" s="2"/>
      <c r="J3970" s="2"/>
      <c r="M3970" s="2"/>
    </row>
    <row r="3971" spans="1:13" x14ac:dyDescent="0.25">
      <c r="A3971" s="2"/>
      <c r="D3971" s="2"/>
      <c r="G3971" s="2"/>
      <c r="J3971" s="2"/>
      <c r="M3971" s="2"/>
    </row>
    <row r="3972" spans="1:13" x14ac:dyDescent="0.25">
      <c r="A3972" s="2"/>
      <c r="D3972" s="2"/>
      <c r="G3972" s="2"/>
      <c r="J3972" s="2"/>
      <c r="M3972" s="2"/>
    </row>
    <row r="3973" spans="1:13" x14ac:dyDescent="0.25">
      <c r="A3973" s="2"/>
      <c r="D3973" s="2"/>
      <c r="G3973" s="2"/>
      <c r="J3973" s="2"/>
      <c r="M3973" s="2"/>
    </row>
    <row r="3974" spans="1:13" x14ac:dyDescent="0.25">
      <c r="A3974" s="2"/>
      <c r="D3974" s="2"/>
      <c r="G3974" s="2"/>
      <c r="J3974" s="2"/>
      <c r="M3974" s="2"/>
    </row>
    <row r="3975" spans="1:13" x14ac:dyDescent="0.25">
      <c r="A3975" s="2"/>
      <c r="D3975" s="2"/>
      <c r="G3975" s="2"/>
      <c r="J3975" s="2"/>
      <c r="M3975" s="2"/>
    </row>
    <row r="3976" spans="1:13" x14ac:dyDescent="0.25">
      <c r="A3976" s="2"/>
      <c r="D3976" s="2"/>
      <c r="G3976" s="2"/>
      <c r="J3976" s="2"/>
      <c r="M3976" s="2"/>
    </row>
    <row r="3977" spans="1:13" x14ac:dyDescent="0.25">
      <c r="A3977" s="2"/>
      <c r="D3977" s="2"/>
      <c r="G3977" s="2"/>
      <c r="J3977" s="2"/>
      <c r="M3977" s="2"/>
    </row>
    <row r="3978" spans="1:13" x14ac:dyDescent="0.25">
      <c r="A3978" s="2"/>
      <c r="D3978" s="2"/>
      <c r="G3978" s="2"/>
      <c r="J3978" s="2"/>
      <c r="M3978" s="2"/>
    </row>
    <row r="3979" spans="1:13" x14ac:dyDescent="0.25">
      <c r="A3979" s="2"/>
      <c r="D3979" s="2"/>
      <c r="G3979" s="2"/>
      <c r="J3979" s="2"/>
      <c r="M3979" s="2"/>
    </row>
    <row r="3980" spans="1:13" x14ac:dyDescent="0.25">
      <c r="A3980" s="2"/>
      <c r="D3980" s="2"/>
      <c r="G3980" s="2"/>
      <c r="J3980" s="2"/>
      <c r="M3980" s="2"/>
    </row>
    <row r="3981" spans="1:13" x14ac:dyDescent="0.25">
      <c r="A3981" s="2"/>
      <c r="D3981" s="2"/>
      <c r="G3981" s="2"/>
      <c r="J3981" s="2"/>
      <c r="M3981" s="2"/>
    </row>
    <row r="3982" spans="1:13" x14ac:dyDescent="0.25">
      <c r="A3982" s="2"/>
      <c r="D3982" s="2"/>
      <c r="G3982" s="2"/>
      <c r="J3982" s="2"/>
      <c r="M3982" s="2"/>
    </row>
    <row r="3983" spans="1:13" x14ac:dyDescent="0.25">
      <c r="A3983" s="2"/>
      <c r="D3983" s="2"/>
      <c r="G3983" s="2"/>
      <c r="J3983" s="2"/>
      <c r="M3983" s="2"/>
    </row>
    <row r="3984" spans="1:13" x14ac:dyDescent="0.25">
      <c r="A3984" s="2"/>
      <c r="D3984" s="2"/>
      <c r="G3984" s="2"/>
      <c r="J3984" s="2"/>
      <c r="M3984" s="2"/>
    </row>
    <row r="3985" spans="1:13" x14ac:dyDescent="0.25">
      <c r="A3985" s="2"/>
      <c r="D3985" s="2"/>
      <c r="G3985" s="2"/>
      <c r="J3985" s="2"/>
      <c r="M3985" s="2"/>
    </row>
    <row r="3986" spans="1:13" x14ac:dyDescent="0.25">
      <c r="A3986" s="2"/>
      <c r="D3986" s="2"/>
      <c r="G3986" s="2"/>
      <c r="J3986" s="2"/>
      <c r="M3986" s="2"/>
    </row>
    <row r="3987" spans="1:13" x14ac:dyDescent="0.25">
      <c r="A3987" s="2"/>
      <c r="D3987" s="2"/>
      <c r="G3987" s="2"/>
      <c r="J3987" s="2"/>
      <c r="M3987" s="2"/>
    </row>
    <row r="3988" spans="1:13" x14ac:dyDescent="0.25">
      <c r="A3988" s="2"/>
      <c r="D3988" s="2"/>
      <c r="G3988" s="2"/>
      <c r="J3988" s="2"/>
      <c r="M3988" s="2"/>
    </row>
    <row r="3989" spans="1:13" x14ac:dyDescent="0.25">
      <c r="A3989" s="2"/>
      <c r="D3989" s="2"/>
      <c r="G3989" s="2"/>
      <c r="J3989" s="2"/>
      <c r="M3989" s="2"/>
    </row>
    <row r="3990" spans="1:13" x14ac:dyDescent="0.25">
      <c r="A3990" s="2"/>
      <c r="D3990" s="2"/>
      <c r="G3990" s="2"/>
      <c r="J3990" s="2"/>
      <c r="M3990" s="2"/>
    </row>
    <row r="3991" spans="1:13" x14ac:dyDescent="0.25">
      <c r="A3991" s="2"/>
      <c r="D3991" s="2"/>
      <c r="G3991" s="2"/>
      <c r="J3991" s="2"/>
      <c r="M3991" s="2"/>
    </row>
    <row r="3992" spans="1:13" x14ac:dyDescent="0.25">
      <c r="A3992" s="2"/>
      <c r="D3992" s="2"/>
      <c r="G3992" s="2"/>
      <c r="J3992" s="2"/>
      <c r="M3992" s="2"/>
    </row>
    <row r="3993" spans="1:13" x14ac:dyDescent="0.25">
      <c r="A3993" s="2"/>
      <c r="D3993" s="2"/>
      <c r="G3993" s="2"/>
      <c r="J3993" s="2"/>
      <c r="M3993" s="2"/>
    </row>
    <row r="3994" spans="1:13" x14ac:dyDescent="0.25">
      <c r="A3994" s="2"/>
      <c r="D3994" s="2"/>
      <c r="G3994" s="2"/>
      <c r="J3994" s="2"/>
      <c r="M3994" s="2"/>
    </row>
    <row r="3995" spans="1:13" x14ac:dyDescent="0.25">
      <c r="A3995" s="2"/>
      <c r="D3995" s="2"/>
      <c r="G3995" s="2"/>
      <c r="J3995" s="2"/>
      <c r="M3995" s="2"/>
    </row>
    <row r="3996" spans="1:13" x14ac:dyDescent="0.25">
      <c r="A3996" s="2"/>
      <c r="D3996" s="2"/>
      <c r="G3996" s="2"/>
      <c r="J3996" s="2"/>
      <c r="M3996" s="2"/>
    </row>
    <row r="3997" spans="1:13" x14ac:dyDescent="0.25">
      <c r="A3997" s="2"/>
      <c r="D3997" s="2"/>
      <c r="G3997" s="2"/>
      <c r="J3997" s="2"/>
      <c r="M3997" s="2"/>
    </row>
    <row r="3998" spans="1:13" x14ac:dyDescent="0.25">
      <c r="A3998" s="2"/>
      <c r="D3998" s="2"/>
      <c r="G3998" s="2"/>
      <c r="J3998" s="2"/>
      <c r="M3998" s="2"/>
    </row>
    <row r="3999" spans="1:13" x14ac:dyDescent="0.25">
      <c r="A3999" s="2"/>
      <c r="D3999" s="2"/>
      <c r="G3999" s="2"/>
      <c r="J3999" s="2"/>
      <c r="M3999" s="2"/>
    </row>
    <row r="4000" spans="1:13" x14ac:dyDescent="0.25">
      <c r="A4000" s="2"/>
      <c r="D4000" s="2"/>
      <c r="G4000" s="2"/>
      <c r="J4000" s="2"/>
      <c r="M4000" s="2"/>
    </row>
    <row r="4001" spans="1:13" x14ac:dyDescent="0.25">
      <c r="A4001" s="2"/>
      <c r="D4001" s="2"/>
      <c r="G4001" s="2"/>
      <c r="J4001" s="2"/>
      <c r="M4001" s="2"/>
    </row>
    <row r="4002" spans="1:13" x14ac:dyDescent="0.25">
      <c r="A4002" s="2"/>
      <c r="D4002" s="2"/>
      <c r="G4002" s="2"/>
      <c r="J4002" s="2"/>
      <c r="M4002" s="2"/>
    </row>
    <row r="4003" spans="1:13" x14ac:dyDescent="0.25">
      <c r="A4003" s="2"/>
      <c r="D4003" s="2"/>
      <c r="G4003" s="2"/>
      <c r="J4003" s="2"/>
      <c r="M4003" s="2"/>
    </row>
    <row r="4004" spans="1:13" x14ac:dyDescent="0.25">
      <c r="A4004" s="2"/>
      <c r="D4004" s="2"/>
      <c r="G4004" s="2"/>
      <c r="J4004" s="2"/>
      <c r="M4004" s="2"/>
    </row>
    <row r="4005" spans="1:13" x14ac:dyDescent="0.25">
      <c r="A4005" s="2"/>
      <c r="D4005" s="2"/>
      <c r="G4005" s="2"/>
      <c r="J4005" s="2"/>
      <c r="M4005" s="2"/>
    </row>
    <row r="4006" spans="1:13" x14ac:dyDescent="0.25">
      <c r="A4006" s="2"/>
      <c r="D4006" s="2"/>
      <c r="G4006" s="2"/>
      <c r="J4006" s="2"/>
      <c r="M4006" s="2"/>
    </row>
    <row r="4007" spans="1:13" x14ac:dyDescent="0.25">
      <c r="A4007" s="2"/>
      <c r="D4007" s="2"/>
      <c r="G4007" s="2"/>
      <c r="J4007" s="2"/>
      <c r="M4007" s="2"/>
    </row>
    <row r="4008" spans="1:13" x14ac:dyDescent="0.25">
      <c r="A4008" s="2"/>
      <c r="D4008" s="2"/>
      <c r="G4008" s="2"/>
      <c r="J4008" s="2"/>
      <c r="M4008" s="2"/>
    </row>
    <row r="4009" spans="1:13" x14ac:dyDescent="0.25">
      <c r="A4009" s="2"/>
      <c r="D4009" s="2"/>
      <c r="G4009" s="2"/>
      <c r="J4009" s="2"/>
      <c r="M4009" s="2"/>
    </row>
    <row r="4010" spans="1:13" x14ac:dyDescent="0.25">
      <c r="A4010" s="2"/>
      <c r="D4010" s="2"/>
      <c r="G4010" s="2"/>
      <c r="J4010" s="2"/>
      <c r="M4010" s="2"/>
    </row>
    <row r="4011" spans="1:13" x14ac:dyDescent="0.25">
      <c r="A4011" s="2"/>
      <c r="D4011" s="2"/>
      <c r="G4011" s="2"/>
      <c r="J4011" s="2"/>
      <c r="M4011" s="2"/>
    </row>
    <row r="4012" spans="1:13" x14ac:dyDescent="0.25">
      <c r="A4012" s="2"/>
      <c r="D4012" s="2"/>
      <c r="G4012" s="2"/>
      <c r="J4012" s="2"/>
      <c r="M4012" s="2"/>
    </row>
    <row r="4013" spans="1:13" x14ac:dyDescent="0.25">
      <c r="A4013" s="2"/>
      <c r="D4013" s="2"/>
      <c r="G4013" s="2"/>
      <c r="J4013" s="2"/>
      <c r="M4013" s="2"/>
    </row>
    <row r="4014" spans="1:13" x14ac:dyDescent="0.25">
      <c r="A4014" s="2"/>
      <c r="D4014" s="2"/>
      <c r="G4014" s="2"/>
      <c r="J4014" s="2"/>
      <c r="M4014" s="2"/>
    </row>
    <row r="4015" spans="1:13" x14ac:dyDescent="0.25">
      <c r="A4015" s="2"/>
      <c r="D4015" s="2"/>
      <c r="G4015" s="2"/>
      <c r="J4015" s="2"/>
      <c r="M4015" s="2"/>
    </row>
    <row r="4016" spans="1:13" x14ac:dyDescent="0.25">
      <c r="A4016" s="2"/>
      <c r="D4016" s="2"/>
      <c r="G4016" s="2"/>
      <c r="J4016" s="2"/>
      <c r="M4016" s="2"/>
    </row>
    <row r="4017" spans="1:13" x14ac:dyDescent="0.25">
      <c r="A4017" s="2"/>
      <c r="D4017" s="2"/>
      <c r="G4017" s="2"/>
      <c r="J4017" s="2"/>
      <c r="M4017" s="2"/>
    </row>
    <row r="4018" spans="1:13" x14ac:dyDescent="0.25">
      <c r="A4018" s="2"/>
      <c r="D4018" s="2"/>
      <c r="G4018" s="2"/>
      <c r="J4018" s="2"/>
      <c r="M4018" s="2"/>
    </row>
    <row r="4019" spans="1:13" x14ac:dyDescent="0.25">
      <c r="A4019" s="2"/>
      <c r="D4019" s="2"/>
      <c r="G4019" s="2"/>
      <c r="J4019" s="2"/>
      <c r="M4019" s="2"/>
    </row>
    <row r="4020" spans="1:13" x14ac:dyDescent="0.25">
      <c r="A4020" s="2"/>
      <c r="D4020" s="2"/>
      <c r="G4020" s="2"/>
      <c r="J4020" s="2"/>
      <c r="M4020" s="2"/>
    </row>
    <row r="4021" spans="1:13" x14ac:dyDescent="0.25">
      <c r="A4021" s="2"/>
      <c r="D4021" s="2"/>
      <c r="G4021" s="2"/>
      <c r="J4021" s="2"/>
      <c r="M4021" s="2"/>
    </row>
    <row r="4022" spans="1:13" x14ac:dyDescent="0.25">
      <c r="A4022" s="2"/>
      <c r="D4022" s="2"/>
      <c r="G4022" s="2"/>
      <c r="J4022" s="2"/>
      <c r="M4022" s="2"/>
    </row>
    <row r="4023" spans="1:13" x14ac:dyDescent="0.25">
      <c r="A4023" s="2"/>
      <c r="D4023" s="2"/>
      <c r="G4023" s="2"/>
      <c r="J4023" s="2"/>
      <c r="M4023" s="2"/>
    </row>
    <row r="4024" spans="1:13" x14ac:dyDescent="0.25">
      <c r="A4024" s="2"/>
      <c r="D4024" s="2"/>
      <c r="G4024" s="2"/>
      <c r="J4024" s="2"/>
      <c r="M4024" s="2"/>
    </row>
    <row r="4025" spans="1:13" x14ac:dyDescent="0.25">
      <c r="A4025" s="2"/>
      <c r="D4025" s="2"/>
      <c r="G4025" s="2"/>
      <c r="J4025" s="2"/>
      <c r="M4025" s="2"/>
    </row>
    <row r="4026" spans="1:13" x14ac:dyDescent="0.25">
      <c r="A4026" s="2"/>
      <c r="D4026" s="2"/>
      <c r="G4026" s="2"/>
      <c r="J4026" s="2"/>
      <c r="M4026" s="2"/>
    </row>
    <row r="4027" spans="1:13" x14ac:dyDescent="0.25">
      <c r="A4027" s="2"/>
      <c r="D4027" s="2"/>
      <c r="G4027" s="2"/>
      <c r="J4027" s="2"/>
      <c r="M4027" s="2"/>
    </row>
    <row r="4028" spans="1:13" x14ac:dyDescent="0.25">
      <c r="A4028" s="2"/>
      <c r="D4028" s="2"/>
      <c r="G4028" s="2"/>
      <c r="J4028" s="2"/>
      <c r="M4028" s="2"/>
    </row>
    <row r="4029" spans="1:13" x14ac:dyDescent="0.25">
      <c r="A4029" s="2"/>
      <c r="D4029" s="2"/>
      <c r="G4029" s="2"/>
      <c r="J4029" s="2"/>
      <c r="M4029" s="2"/>
    </row>
    <row r="4030" spans="1:13" x14ac:dyDescent="0.25">
      <c r="A4030" s="2"/>
      <c r="D4030" s="2"/>
      <c r="G4030" s="2"/>
      <c r="J4030" s="2"/>
      <c r="M4030" s="2"/>
    </row>
    <row r="4031" spans="1:13" x14ac:dyDescent="0.25">
      <c r="A4031" s="2"/>
      <c r="D4031" s="2"/>
      <c r="G4031" s="2"/>
      <c r="J4031" s="2"/>
      <c r="M4031" s="2"/>
    </row>
    <row r="4032" spans="1:13" x14ac:dyDescent="0.25">
      <c r="A4032" s="2"/>
      <c r="D4032" s="2"/>
      <c r="G4032" s="2"/>
      <c r="J4032" s="2"/>
      <c r="M4032" s="2"/>
    </row>
    <row r="4033" spans="1:13" x14ac:dyDescent="0.25">
      <c r="A4033" s="2"/>
      <c r="D4033" s="2"/>
      <c r="G4033" s="2"/>
      <c r="J4033" s="2"/>
      <c r="M4033" s="2"/>
    </row>
    <row r="4034" spans="1:13" x14ac:dyDescent="0.25">
      <c r="A4034" s="2"/>
      <c r="D4034" s="2"/>
      <c r="G4034" s="2"/>
      <c r="J4034" s="2"/>
      <c r="M4034" s="2"/>
    </row>
    <row r="4035" spans="1:13" x14ac:dyDescent="0.25">
      <c r="A4035" s="2"/>
      <c r="D4035" s="2"/>
      <c r="G4035" s="2"/>
      <c r="J4035" s="2"/>
      <c r="M4035" s="2"/>
    </row>
    <row r="4036" spans="1:13" x14ac:dyDescent="0.25">
      <c r="A4036" s="2"/>
      <c r="D4036" s="2"/>
      <c r="G4036" s="2"/>
      <c r="J4036" s="2"/>
      <c r="M4036" s="2"/>
    </row>
    <row r="4037" spans="1:13" x14ac:dyDescent="0.25">
      <c r="A4037" s="2"/>
      <c r="D4037" s="2"/>
      <c r="G4037" s="2"/>
      <c r="J4037" s="2"/>
      <c r="M4037" s="2"/>
    </row>
    <row r="4038" spans="1:13" x14ac:dyDescent="0.25">
      <c r="A4038" s="2"/>
      <c r="D4038" s="2"/>
      <c r="G4038" s="2"/>
      <c r="J4038" s="2"/>
      <c r="M4038" s="2"/>
    </row>
    <row r="4039" spans="1:13" x14ac:dyDescent="0.25">
      <c r="A4039" s="2"/>
      <c r="D4039" s="2"/>
      <c r="G4039" s="2"/>
      <c r="J4039" s="2"/>
      <c r="M4039" s="2"/>
    </row>
    <row r="4040" spans="1:13" x14ac:dyDescent="0.25">
      <c r="A4040" s="2"/>
      <c r="D4040" s="2"/>
      <c r="G4040" s="2"/>
      <c r="J4040" s="2"/>
      <c r="M4040" s="2"/>
    </row>
    <row r="4041" spans="1:13" x14ac:dyDescent="0.25">
      <c r="A4041" s="2"/>
      <c r="D4041" s="2"/>
      <c r="G4041" s="2"/>
      <c r="J4041" s="2"/>
      <c r="M4041" s="2"/>
    </row>
    <row r="4042" spans="1:13" x14ac:dyDescent="0.25">
      <c r="A4042" s="2"/>
      <c r="D4042" s="2"/>
      <c r="G4042" s="2"/>
      <c r="J4042" s="2"/>
      <c r="M4042" s="2"/>
    </row>
    <row r="4043" spans="1:13" x14ac:dyDescent="0.25">
      <c r="A4043" s="2"/>
      <c r="D4043" s="2"/>
      <c r="G4043" s="2"/>
      <c r="J4043" s="2"/>
      <c r="M4043" s="2"/>
    </row>
    <row r="4044" spans="1:13" x14ac:dyDescent="0.25">
      <c r="A4044" s="2"/>
      <c r="D4044" s="2"/>
      <c r="G4044" s="2"/>
      <c r="J4044" s="2"/>
      <c r="M4044" s="2"/>
    </row>
    <row r="4045" spans="1:13" x14ac:dyDescent="0.25">
      <c r="A4045" s="2"/>
      <c r="D4045" s="2"/>
      <c r="G4045" s="2"/>
      <c r="J4045" s="2"/>
      <c r="M4045" s="2"/>
    </row>
    <row r="4046" spans="1:13" x14ac:dyDescent="0.25">
      <c r="A4046" s="2"/>
      <c r="D4046" s="2"/>
      <c r="G4046" s="2"/>
      <c r="J4046" s="2"/>
      <c r="M4046" s="2"/>
    </row>
    <row r="4047" spans="1:13" x14ac:dyDescent="0.25">
      <c r="A4047" s="2"/>
      <c r="D4047" s="2"/>
      <c r="G4047" s="2"/>
      <c r="J4047" s="2"/>
      <c r="M4047" s="2"/>
    </row>
    <row r="4048" spans="1:13" x14ac:dyDescent="0.25">
      <c r="A4048" s="2"/>
      <c r="D4048" s="2"/>
      <c r="G4048" s="2"/>
      <c r="J4048" s="2"/>
      <c r="M4048" s="2"/>
    </row>
    <row r="4049" spans="1:13" x14ac:dyDescent="0.25">
      <c r="A4049" s="2"/>
      <c r="D4049" s="2"/>
      <c r="G4049" s="2"/>
      <c r="J4049" s="2"/>
      <c r="M4049" s="2"/>
    </row>
    <row r="4050" spans="1:13" x14ac:dyDescent="0.25">
      <c r="A4050" s="2"/>
      <c r="D4050" s="2"/>
      <c r="G4050" s="2"/>
      <c r="J4050" s="2"/>
      <c r="M4050" s="2"/>
    </row>
    <row r="4051" spans="1:13" x14ac:dyDescent="0.25">
      <c r="A4051" s="2"/>
      <c r="D4051" s="2"/>
      <c r="G4051" s="2"/>
      <c r="J4051" s="2"/>
      <c r="M4051" s="2"/>
    </row>
    <row r="4052" spans="1:13" x14ac:dyDescent="0.25">
      <c r="A4052" s="2"/>
      <c r="D4052" s="2"/>
      <c r="G4052" s="2"/>
      <c r="J4052" s="2"/>
      <c r="M4052" s="2"/>
    </row>
    <row r="4053" spans="1:13" x14ac:dyDescent="0.25">
      <c r="A4053" s="2"/>
      <c r="D4053" s="2"/>
      <c r="G4053" s="2"/>
      <c r="J4053" s="2"/>
      <c r="M4053" s="2"/>
    </row>
    <row r="4054" spans="1:13" x14ac:dyDescent="0.25">
      <c r="A4054" s="2"/>
      <c r="D4054" s="2"/>
      <c r="G4054" s="2"/>
      <c r="J4054" s="2"/>
      <c r="M4054" s="2"/>
    </row>
    <row r="4055" spans="1:13" x14ac:dyDescent="0.25">
      <c r="A4055" s="2"/>
      <c r="D4055" s="2"/>
      <c r="G4055" s="2"/>
      <c r="J4055" s="2"/>
      <c r="M4055" s="2"/>
    </row>
    <row r="4056" spans="1:13" x14ac:dyDescent="0.25">
      <c r="A4056" s="2"/>
      <c r="D4056" s="2"/>
      <c r="G4056" s="2"/>
      <c r="J4056" s="2"/>
      <c r="M4056" s="2"/>
    </row>
    <row r="4057" spans="1:13" x14ac:dyDescent="0.25">
      <c r="A4057" s="2"/>
      <c r="D4057" s="2"/>
      <c r="G4057" s="2"/>
      <c r="J4057" s="2"/>
      <c r="M4057" s="2"/>
    </row>
    <row r="4058" spans="1:13" x14ac:dyDescent="0.25">
      <c r="A4058" s="2"/>
      <c r="D4058" s="2"/>
      <c r="G4058" s="2"/>
      <c r="J4058" s="2"/>
      <c r="M4058" s="2"/>
    </row>
    <row r="4059" spans="1:13" x14ac:dyDescent="0.25">
      <c r="A4059" s="2"/>
      <c r="D4059" s="2"/>
      <c r="G4059" s="2"/>
      <c r="J4059" s="2"/>
      <c r="M4059" s="2"/>
    </row>
    <row r="4060" spans="1:13" x14ac:dyDescent="0.25">
      <c r="A4060" s="2"/>
      <c r="D4060" s="2"/>
      <c r="G4060" s="2"/>
      <c r="J4060" s="2"/>
      <c r="M4060" s="2"/>
    </row>
    <row r="4061" spans="1:13" x14ac:dyDescent="0.25">
      <c r="A4061" s="2"/>
      <c r="D4061" s="2"/>
      <c r="G4061" s="2"/>
      <c r="J4061" s="2"/>
      <c r="M4061" s="2"/>
    </row>
    <row r="4062" spans="1:13" x14ac:dyDescent="0.25">
      <c r="A4062" s="2"/>
      <c r="D4062" s="2"/>
      <c r="G4062" s="2"/>
      <c r="J4062" s="2"/>
      <c r="M4062" s="2"/>
    </row>
    <row r="4063" spans="1:13" x14ac:dyDescent="0.25">
      <c r="A4063" s="2"/>
      <c r="D4063" s="2"/>
      <c r="G4063" s="2"/>
      <c r="J4063" s="2"/>
      <c r="M4063" s="2"/>
    </row>
    <row r="4064" spans="1:13" x14ac:dyDescent="0.25">
      <c r="A4064" s="2"/>
      <c r="D4064" s="2"/>
      <c r="G4064" s="2"/>
      <c r="J4064" s="2"/>
      <c r="M4064" s="2"/>
    </row>
    <row r="4065" spans="1:13" x14ac:dyDescent="0.25">
      <c r="A4065" s="2"/>
      <c r="D4065" s="2"/>
      <c r="G4065" s="2"/>
      <c r="J4065" s="2"/>
      <c r="M4065" s="2"/>
    </row>
    <row r="4066" spans="1:13" x14ac:dyDescent="0.25">
      <c r="A4066" s="2"/>
      <c r="D4066" s="2"/>
      <c r="G4066" s="2"/>
      <c r="J4066" s="2"/>
      <c r="M4066" s="2"/>
    </row>
    <row r="4067" spans="1:13" x14ac:dyDescent="0.25">
      <c r="A4067" s="2"/>
      <c r="D4067" s="2"/>
      <c r="G4067" s="2"/>
      <c r="J4067" s="2"/>
      <c r="M4067" s="2"/>
    </row>
    <row r="4068" spans="1:13" x14ac:dyDescent="0.25">
      <c r="A4068" s="2"/>
      <c r="D4068" s="2"/>
      <c r="G4068" s="2"/>
      <c r="J4068" s="2"/>
      <c r="M4068" s="2"/>
    </row>
    <row r="4069" spans="1:13" x14ac:dyDescent="0.25">
      <c r="A4069" s="2"/>
      <c r="D4069" s="2"/>
      <c r="G4069" s="2"/>
      <c r="J4069" s="2"/>
      <c r="M4069" s="2"/>
    </row>
    <row r="4070" spans="1:13" x14ac:dyDescent="0.25">
      <c r="A4070" s="2"/>
      <c r="D4070" s="2"/>
      <c r="G4070" s="2"/>
      <c r="J4070" s="2"/>
      <c r="M4070" s="2"/>
    </row>
    <row r="4071" spans="1:13" x14ac:dyDescent="0.25">
      <c r="A4071" s="2"/>
      <c r="D4071" s="2"/>
      <c r="G4071" s="2"/>
      <c r="J4071" s="2"/>
      <c r="M4071" s="2"/>
    </row>
    <row r="4072" spans="1:13" x14ac:dyDescent="0.25">
      <c r="A4072" s="2"/>
      <c r="D4072" s="2"/>
      <c r="G4072" s="2"/>
      <c r="J4072" s="2"/>
      <c r="M4072" s="2"/>
    </row>
    <row r="4073" spans="1:13" x14ac:dyDescent="0.25">
      <c r="A4073" s="2"/>
      <c r="D4073" s="2"/>
      <c r="G4073" s="2"/>
      <c r="J4073" s="2"/>
      <c r="M4073" s="2"/>
    </row>
    <row r="4074" spans="1:13" x14ac:dyDescent="0.25">
      <c r="A4074" s="2"/>
      <c r="D4074" s="2"/>
      <c r="G4074" s="2"/>
      <c r="J4074" s="2"/>
      <c r="M4074" s="2"/>
    </row>
    <row r="4075" spans="1:13" x14ac:dyDescent="0.25">
      <c r="A4075" s="2"/>
      <c r="D4075" s="2"/>
      <c r="G4075" s="2"/>
      <c r="J4075" s="2"/>
      <c r="M4075" s="2"/>
    </row>
    <row r="4076" spans="1:13" x14ac:dyDescent="0.25">
      <c r="A4076" s="2"/>
      <c r="D4076" s="2"/>
      <c r="G4076" s="2"/>
      <c r="J4076" s="2"/>
      <c r="M4076" s="2"/>
    </row>
    <row r="4077" spans="1:13" x14ac:dyDescent="0.25">
      <c r="A4077" s="2"/>
      <c r="D4077" s="2"/>
      <c r="G4077" s="2"/>
      <c r="J4077" s="2"/>
      <c r="M4077" s="2"/>
    </row>
    <row r="4078" spans="1:13" x14ac:dyDescent="0.25">
      <c r="A4078" s="2"/>
      <c r="D4078" s="2"/>
      <c r="G4078" s="2"/>
      <c r="J4078" s="2"/>
      <c r="M4078" s="2"/>
    </row>
    <row r="4079" spans="1:13" x14ac:dyDescent="0.25">
      <c r="A4079" s="2"/>
      <c r="D4079" s="2"/>
      <c r="G4079" s="2"/>
      <c r="J4079" s="2"/>
      <c r="M4079" s="2"/>
    </row>
    <row r="4080" spans="1:13" x14ac:dyDescent="0.25">
      <c r="A4080" s="2"/>
      <c r="D4080" s="2"/>
      <c r="G4080" s="2"/>
      <c r="J4080" s="2"/>
      <c r="M4080" s="2"/>
    </row>
    <row r="4081" spans="1:13" x14ac:dyDescent="0.25">
      <c r="A4081" s="2"/>
      <c r="D4081" s="2"/>
      <c r="G4081" s="2"/>
      <c r="J4081" s="2"/>
      <c r="M4081" s="2"/>
    </row>
    <row r="4082" spans="1:13" x14ac:dyDescent="0.25">
      <c r="A4082" s="2"/>
      <c r="D4082" s="2"/>
      <c r="G4082" s="2"/>
      <c r="J4082" s="2"/>
      <c r="M4082" s="2"/>
    </row>
    <row r="4083" spans="1:13" x14ac:dyDescent="0.25">
      <c r="A4083" s="2"/>
      <c r="D4083" s="2"/>
      <c r="G4083" s="2"/>
      <c r="J4083" s="2"/>
      <c r="M4083" s="2"/>
    </row>
    <row r="4084" spans="1:13" x14ac:dyDescent="0.25">
      <c r="A4084" s="2"/>
      <c r="D4084" s="2"/>
      <c r="G4084" s="2"/>
      <c r="J4084" s="2"/>
      <c r="M4084" s="2"/>
    </row>
    <row r="4085" spans="1:13" x14ac:dyDescent="0.25">
      <c r="A4085" s="2"/>
      <c r="D4085" s="2"/>
      <c r="G4085" s="2"/>
      <c r="J4085" s="2"/>
      <c r="M4085" s="2"/>
    </row>
    <row r="4086" spans="1:13" x14ac:dyDescent="0.25">
      <c r="A4086" s="2"/>
      <c r="D4086" s="2"/>
      <c r="G4086" s="2"/>
      <c r="J4086" s="2"/>
      <c r="M4086" s="2"/>
    </row>
    <row r="4087" spans="1:13" x14ac:dyDescent="0.25">
      <c r="A4087" s="2"/>
      <c r="D4087" s="2"/>
      <c r="G4087" s="2"/>
      <c r="J4087" s="2"/>
      <c r="M4087" s="2"/>
    </row>
    <row r="4088" spans="1:13" x14ac:dyDescent="0.25">
      <c r="A4088" s="2"/>
      <c r="D4088" s="2"/>
      <c r="G4088" s="2"/>
      <c r="J4088" s="2"/>
      <c r="M4088" s="2"/>
    </row>
    <row r="4089" spans="1:13" x14ac:dyDescent="0.25">
      <c r="A4089" s="2"/>
      <c r="D4089" s="2"/>
      <c r="G4089" s="2"/>
      <c r="J4089" s="2"/>
      <c r="M4089" s="2"/>
    </row>
    <row r="4090" spans="1:13" x14ac:dyDescent="0.25">
      <c r="A4090" s="2"/>
      <c r="D4090" s="2"/>
      <c r="G4090" s="2"/>
      <c r="J4090" s="2"/>
      <c r="M4090" s="2"/>
    </row>
    <row r="4091" spans="1:13" x14ac:dyDescent="0.25">
      <c r="A4091" s="2"/>
      <c r="D4091" s="2"/>
      <c r="G4091" s="2"/>
      <c r="J4091" s="2"/>
      <c r="M4091" s="2"/>
    </row>
    <row r="4092" spans="1:13" x14ac:dyDescent="0.25">
      <c r="A4092" s="2"/>
      <c r="D4092" s="2"/>
      <c r="G4092" s="2"/>
      <c r="J4092" s="2"/>
      <c r="M4092" s="2"/>
    </row>
    <row r="4093" spans="1:13" x14ac:dyDescent="0.25">
      <c r="A4093" s="2"/>
      <c r="D4093" s="2"/>
      <c r="G4093" s="2"/>
      <c r="J4093" s="2"/>
      <c r="M4093" s="2"/>
    </row>
    <row r="4094" spans="1:13" x14ac:dyDescent="0.25">
      <c r="A4094" s="2"/>
      <c r="D4094" s="2"/>
      <c r="G4094" s="2"/>
      <c r="J4094" s="2"/>
      <c r="M4094" s="2"/>
    </row>
    <row r="4095" spans="1:13" x14ac:dyDescent="0.25">
      <c r="A4095" s="2"/>
      <c r="D4095" s="2"/>
      <c r="G4095" s="2"/>
      <c r="J4095" s="2"/>
      <c r="M4095" s="2"/>
    </row>
    <row r="4096" spans="1:13" x14ac:dyDescent="0.25">
      <c r="A4096" s="2"/>
      <c r="D4096" s="2"/>
      <c r="G4096" s="2"/>
      <c r="J4096" s="2"/>
      <c r="M4096" s="2"/>
    </row>
    <row r="4097" spans="1:13" x14ac:dyDescent="0.25">
      <c r="A4097" s="2"/>
      <c r="D4097" s="2"/>
      <c r="G4097" s="2"/>
      <c r="J4097" s="2"/>
      <c r="M4097" s="2"/>
    </row>
    <row r="4098" spans="1:13" x14ac:dyDescent="0.25">
      <c r="A4098" s="2"/>
      <c r="D4098" s="2"/>
      <c r="G4098" s="2"/>
      <c r="J4098" s="2"/>
      <c r="M4098" s="2"/>
    </row>
    <row r="4099" spans="1:13" x14ac:dyDescent="0.25">
      <c r="A4099" s="2"/>
      <c r="D4099" s="2"/>
      <c r="G4099" s="2"/>
      <c r="J4099" s="2"/>
      <c r="M4099" s="2"/>
    </row>
    <row r="4100" spans="1:13" x14ac:dyDescent="0.25">
      <c r="A4100" s="2"/>
      <c r="D4100" s="2"/>
      <c r="G4100" s="2"/>
      <c r="J4100" s="2"/>
      <c r="M4100" s="2"/>
    </row>
    <row r="4101" spans="1:13" x14ac:dyDescent="0.25">
      <c r="A4101" s="2"/>
      <c r="D4101" s="2"/>
      <c r="G4101" s="2"/>
      <c r="J4101" s="2"/>
      <c r="M4101" s="2"/>
    </row>
    <row r="4102" spans="1:13" x14ac:dyDescent="0.25">
      <c r="A4102" s="2"/>
      <c r="D4102" s="2"/>
      <c r="G4102" s="2"/>
      <c r="J4102" s="2"/>
      <c r="M4102" s="2"/>
    </row>
    <row r="4103" spans="1:13" x14ac:dyDescent="0.25">
      <c r="A4103" s="2"/>
      <c r="D4103" s="2"/>
      <c r="G4103" s="2"/>
      <c r="J4103" s="2"/>
      <c r="M4103" s="2"/>
    </row>
    <row r="4104" spans="1:13" x14ac:dyDescent="0.25">
      <c r="A4104" s="2"/>
      <c r="D4104" s="2"/>
      <c r="G4104" s="2"/>
      <c r="J4104" s="2"/>
      <c r="M4104" s="2"/>
    </row>
    <row r="4105" spans="1:13" x14ac:dyDescent="0.25">
      <c r="A4105" s="2"/>
      <c r="D4105" s="2"/>
      <c r="G4105" s="2"/>
      <c r="J4105" s="2"/>
      <c r="M4105" s="2"/>
    </row>
    <row r="4106" spans="1:13" x14ac:dyDescent="0.25">
      <c r="A4106" s="2"/>
      <c r="D4106" s="2"/>
      <c r="G4106" s="2"/>
      <c r="J4106" s="2"/>
      <c r="M4106" s="2"/>
    </row>
    <row r="4107" spans="1:13" x14ac:dyDescent="0.25">
      <c r="A4107" s="2"/>
      <c r="D4107" s="2"/>
      <c r="G4107" s="2"/>
      <c r="J4107" s="2"/>
      <c r="M4107" s="2"/>
    </row>
    <row r="4108" spans="1:13" x14ac:dyDescent="0.25">
      <c r="A4108" s="2"/>
      <c r="D4108" s="2"/>
      <c r="G4108" s="2"/>
      <c r="J4108" s="2"/>
      <c r="M4108" s="2"/>
    </row>
    <row r="4109" spans="1:13" x14ac:dyDescent="0.25">
      <c r="A4109" s="2"/>
      <c r="D4109" s="2"/>
      <c r="G4109" s="2"/>
      <c r="J4109" s="2"/>
      <c r="M4109" s="2"/>
    </row>
    <row r="4110" spans="1:13" x14ac:dyDescent="0.25">
      <c r="A4110" s="2"/>
      <c r="D4110" s="2"/>
      <c r="G4110" s="2"/>
      <c r="J4110" s="2"/>
      <c r="M4110" s="2"/>
    </row>
    <row r="4111" spans="1:13" x14ac:dyDescent="0.25">
      <c r="A4111" s="2"/>
      <c r="D4111" s="2"/>
      <c r="G4111" s="2"/>
      <c r="J4111" s="2"/>
      <c r="M4111" s="2"/>
    </row>
    <row r="4112" spans="1:13" x14ac:dyDescent="0.25">
      <c r="A4112" s="2"/>
      <c r="D4112" s="2"/>
      <c r="G4112" s="2"/>
      <c r="J4112" s="2"/>
      <c r="M4112" s="2"/>
    </row>
    <row r="4113" spans="1:13" x14ac:dyDescent="0.25">
      <c r="A4113" s="2"/>
      <c r="D4113" s="2"/>
      <c r="G4113" s="2"/>
      <c r="J4113" s="2"/>
      <c r="M4113" s="2"/>
    </row>
    <row r="4114" spans="1:13" x14ac:dyDescent="0.25">
      <c r="A4114" s="2"/>
      <c r="D4114" s="2"/>
      <c r="G4114" s="2"/>
      <c r="J4114" s="2"/>
      <c r="M4114" s="2"/>
    </row>
    <row r="4115" spans="1:13" x14ac:dyDescent="0.25">
      <c r="A4115" s="2"/>
      <c r="D4115" s="2"/>
      <c r="G4115" s="2"/>
      <c r="J4115" s="2"/>
      <c r="M4115" s="2"/>
    </row>
    <row r="4116" spans="1:13" x14ac:dyDescent="0.25">
      <c r="A4116" s="2"/>
      <c r="D4116" s="2"/>
      <c r="G4116" s="2"/>
      <c r="J4116" s="2"/>
      <c r="M4116" s="2"/>
    </row>
    <row r="4117" spans="1:13" x14ac:dyDescent="0.25">
      <c r="A4117" s="2"/>
      <c r="D4117" s="2"/>
      <c r="G4117" s="2"/>
      <c r="J4117" s="2"/>
      <c r="M4117" s="2"/>
    </row>
    <row r="4118" spans="1:13" x14ac:dyDescent="0.25">
      <c r="A4118" s="2"/>
      <c r="D4118" s="2"/>
      <c r="G4118" s="2"/>
      <c r="J4118" s="2"/>
      <c r="M4118" s="2"/>
    </row>
    <row r="4119" spans="1:13" x14ac:dyDescent="0.25">
      <c r="A4119" s="2"/>
      <c r="D4119" s="2"/>
      <c r="G4119" s="2"/>
      <c r="J4119" s="2"/>
      <c r="M4119" s="2"/>
    </row>
    <row r="4120" spans="1:13" x14ac:dyDescent="0.25">
      <c r="A4120" s="2"/>
      <c r="D4120" s="2"/>
      <c r="G4120" s="2"/>
      <c r="J4120" s="2"/>
      <c r="M4120" s="2"/>
    </row>
    <row r="4121" spans="1:13" x14ac:dyDescent="0.25">
      <c r="A4121" s="2"/>
      <c r="D4121" s="2"/>
      <c r="G4121" s="2"/>
      <c r="J4121" s="2"/>
      <c r="M4121" s="2"/>
    </row>
    <row r="4122" spans="1:13" x14ac:dyDescent="0.25">
      <c r="A4122" s="2"/>
      <c r="D4122" s="2"/>
      <c r="G4122" s="2"/>
      <c r="J4122" s="2"/>
      <c r="M4122" s="2"/>
    </row>
    <row r="4123" spans="1:13" x14ac:dyDescent="0.25">
      <c r="A4123" s="2"/>
      <c r="D4123" s="2"/>
      <c r="G4123" s="2"/>
      <c r="J4123" s="2"/>
      <c r="M4123" s="2"/>
    </row>
    <row r="4124" spans="1:13" x14ac:dyDescent="0.25">
      <c r="A4124" s="2"/>
      <c r="D4124" s="2"/>
      <c r="G4124" s="2"/>
      <c r="J4124" s="2"/>
      <c r="M4124" s="2"/>
    </row>
    <row r="4125" spans="1:13" x14ac:dyDescent="0.25">
      <c r="A4125" s="2"/>
      <c r="D4125" s="2"/>
      <c r="G4125" s="2"/>
      <c r="J4125" s="2"/>
      <c r="M4125" s="2"/>
    </row>
    <row r="4126" spans="1:13" x14ac:dyDescent="0.25">
      <c r="A4126" s="2"/>
      <c r="D4126" s="2"/>
      <c r="G4126" s="2"/>
      <c r="J4126" s="2"/>
      <c r="M4126" s="2"/>
    </row>
    <row r="4127" spans="1:13" x14ac:dyDescent="0.25">
      <c r="A4127" s="2"/>
      <c r="D4127" s="2"/>
      <c r="G4127" s="2"/>
      <c r="J4127" s="2"/>
      <c r="M4127" s="2"/>
    </row>
    <row r="4128" spans="1:13" x14ac:dyDescent="0.25">
      <c r="A4128" s="2"/>
      <c r="D4128" s="2"/>
      <c r="G4128" s="2"/>
      <c r="J4128" s="2"/>
      <c r="M4128" s="2"/>
    </row>
    <row r="4129" spans="1:13" x14ac:dyDescent="0.25">
      <c r="A4129" s="2"/>
      <c r="D4129" s="2"/>
      <c r="G4129" s="2"/>
      <c r="J4129" s="2"/>
      <c r="M4129" s="2"/>
    </row>
    <row r="4130" spans="1:13" x14ac:dyDescent="0.25">
      <c r="A4130" s="2"/>
      <c r="D4130" s="2"/>
      <c r="G4130" s="2"/>
      <c r="J4130" s="2"/>
      <c r="M4130" s="2"/>
    </row>
    <row r="4131" spans="1:13" x14ac:dyDescent="0.25">
      <c r="A4131" s="2"/>
      <c r="D4131" s="2"/>
      <c r="G4131" s="2"/>
      <c r="J4131" s="2"/>
      <c r="M4131" s="2"/>
    </row>
    <row r="4132" spans="1:13" x14ac:dyDescent="0.25">
      <c r="A4132" s="2"/>
      <c r="D4132" s="2"/>
      <c r="G4132" s="2"/>
      <c r="J4132" s="2"/>
      <c r="M4132" s="2"/>
    </row>
    <row r="4133" spans="1:13" x14ac:dyDescent="0.25">
      <c r="A4133" s="2"/>
      <c r="D4133" s="2"/>
      <c r="G4133" s="2"/>
      <c r="J4133" s="2"/>
      <c r="M4133" s="2"/>
    </row>
    <row r="4134" spans="1:13" x14ac:dyDescent="0.25">
      <c r="A4134" s="2"/>
      <c r="D4134" s="2"/>
      <c r="G4134" s="2"/>
      <c r="J4134" s="2"/>
      <c r="M4134" s="2"/>
    </row>
    <row r="4135" spans="1:13" x14ac:dyDescent="0.25">
      <c r="A4135" s="2"/>
      <c r="D4135" s="2"/>
      <c r="G4135" s="2"/>
      <c r="J4135" s="2"/>
      <c r="M4135" s="2"/>
    </row>
    <row r="4136" spans="1:13" x14ac:dyDescent="0.25">
      <c r="A4136" s="2"/>
      <c r="D4136" s="2"/>
      <c r="G4136" s="2"/>
      <c r="J4136" s="2"/>
      <c r="M4136" s="2"/>
    </row>
    <row r="4137" spans="1:13" x14ac:dyDescent="0.25">
      <c r="A4137" s="2"/>
      <c r="D4137" s="2"/>
      <c r="G4137" s="2"/>
      <c r="J4137" s="2"/>
      <c r="M4137" s="2"/>
    </row>
    <row r="4138" spans="1:13" x14ac:dyDescent="0.25">
      <c r="A4138" s="2"/>
      <c r="D4138" s="2"/>
      <c r="G4138" s="2"/>
      <c r="J4138" s="2"/>
      <c r="M4138" s="2"/>
    </row>
    <row r="4139" spans="1:13" x14ac:dyDescent="0.25">
      <c r="A4139" s="2"/>
      <c r="D4139" s="2"/>
      <c r="G4139" s="2"/>
      <c r="J4139" s="2"/>
      <c r="M4139" s="2"/>
    </row>
    <row r="4140" spans="1:13" x14ac:dyDescent="0.25">
      <c r="A4140" s="2"/>
      <c r="D4140" s="2"/>
      <c r="G4140" s="2"/>
      <c r="J4140" s="2"/>
      <c r="M4140" s="2"/>
    </row>
    <row r="4141" spans="1:13" x14ac:dyDescent="0.25">
      <c r="A4141" s="2"/>
      <c r="D4141" s="2"/>
      <c r="G4141" s="2"/>
      <c r="J4141" s="2"/>
      <c r="M4141" s="2"/>
    </row>
    <row r="4142" spans="1:13" x14ac:dyDescent="0.25">
      <c r="A4142" s="2"/>
      <c r="D4142" s="2"/>
      <c r="G4142" s="2"/>
      <c r="J4142" s="2"/>
      <c r="M4142" s="2"/>
    </row>
    <row r="4143" spans="1:13" x14ac:dyDescent="0.25">
      <c r="A4143" s="2"/>
      <c r="D4143" s="2"/>
      <c r="G4143" s="2"/>
      <c r="J4143" s="2"/>
      <c r="M4143" s="2"/>
    </row>
    <row r="4144" spans="1:13" x14ac:dyDescent="0.25">
      <c r="A4144" s="2"/>
      <c r="D4144" s="2"/>
      <c r="G4144" s="2"/>
      <c r="J4144" s="2"/>
      <c r="M4144" s="2"/>
    </row>
    <row r="4145" spans="1:13" x14ac:dyDescent="0.25">
      <c r="A4145" s="2"/>
      <c r="D4145" s="2"/>
      <c r="G4145" s="2"/>
      <c r="J4145" s="2"/>
      <c r="M4145" s="2"/>
    </row>
    <row r="4146" spans="1:13" x14ac:dyDescent="0.25">
      <c r="A4146" s="2"/>
      <c r="D4146" s="2"/>
      <c r="G4146" s="2"/>
      <c r="J4146" s="2"/>
      <c r="M4146" s="2"/>
    </row>
    <row r="4147" spans="1:13" x14ac:dyDescent="0.25">
      <c r="A4147" s="2"/>
      <c r="D4147" s="2"/>
      <c r="G4147" s="2"/>
      <c r="J4147" s="2"/>
      <c r="M4147" s="2"/>
    </row>
    <row r="4148" spans="1:13" x14ac:dyDescent="0.25">
      <c r="A4148" s="2"/>
      <c r="D4148" s="2"/>
      <c r="G4148" s="2"/>
      <c r="J4148" s="2"/>
      <c r="M4148" s="2"/>
    </row>
    <row r="4149" spans="1:13" x14ac:dyDescent="0.25">
      <c r="A4149" s="2"/>
      <c r="D4149" s="2"/>
      <c r="G4149" s="2"/>
      <c r="J4149" s="2"/>
      <c r="M4149" s="2"/>
    </row>
    <row r="4150" spans="1:13" x14ac:dyDescent="0.25">
      <c r="A4150" s="2"/>
      <c r="D4150" s="2"/>
      <c r="G4150" s="2"/>
      <c r="J4150" s="2"/>
      <c r="M4150" s="2"/>
    </row>
    <row r="4151" spans="1:13" x14ac:dyDescent="0.25">
      <c r="A4151" s="2"/>
      <c r="D4151" s="2"/>
      <c r="G4151" s="2"/>
      <c r="J4151" s="2"/>
      <c r="M4151" s="2"/>
    </row>
    <row r="4152" spans="1:13" x14ac:dyDescent="0.25">
      <c r="A4152" s="2"/>
      <c r="D4152" s="2"/>
      <c r="G4152" s="2"/>
      <c r="J4152" s="2"/>
      <c r="M4152" s="2"/>
    </row>
    <row r="4153" spans="1:13" x14ac:dyDescent="0.25">
      <c r="A4153" s="2"/>
      <c r="D4153" s="2"/>
      <c r="G4153" s="2"/>
      <c r="J4153" s="2"/>
      <c r="M4153" s="2"/>
    </row>
    <row r="4154" spans="1:13" x14ac:dyDescent="0.25">
      <c r="A4154" s="2"/>
      <c r="D4154" s="2"/>
      <c r="G4154" s="2"/>
      <c r="J4154" s="2"/>
      <c r="M4154" s="2"/>
    </row>
    <row r="4155" spans="1:13" x14ac:dyDescent="0.25">
      <c r="A4155" s="2"/>
      <c r="D4155" s="2"/>
      <c r="G4155" s="2"/>
      <c r="J4155" s="2"/>
      <c r="M4155" s="2"/>
    </row>
    <row r="4156" spans="1:13" x14ac:dyDescent="0.25">
      <c r="A4156" s="2"/>
      <c r="D4156" s="2"/>
      <c r="G4156" s="2"/>
      <c r="J4156" s="2"/>
      <c r="M4156" s="2"/>
    </row>
    <row r="4157" spans="1:13" x14ac:dyDescent="0.25">
      <c r="A4157" s="2"/>
      <c r="D4157" s="2"/>
      <c r="G4157" s="2"/>
      <c r="J4157" s="2"/>
      <c r="M4157" s="2"/>
    </row>
    <row r="4158" spans="1:13" x14ac:dyDescent="0.25">
      <c r="A4158" s="2"/>
      <c r="D4158" s="2"/>
      <c r="G4158" s="2"/>
      <c r="J4158" s="2"/>
      <c r="M4158" s="2"/>
    </row>
    <row r="4159" spans="1:13" x14ac:dyDescent="0.25">
      <c r="A4159" s="2"/>
      <c r="D4159" s="2"/>
      <c r="G4159" s="2"/>
      <c r="J4159" s="2"/>
      <c r="M4159" s="2"/>
    </row>
    <row r="4160" spans="1:13" x14ac:dyDescent="0.25">
      <c r="A4160" s="2"/>
      <c r="D4160" s="2"/>
      <c r="G4160" s="2"/>
      <c r="J4160" s="2"/>
      <c r="M4160" s="2"/>
    </row>
    <row r="4161" spans="1:13" x14ac:dyDescent="0.25">
      <c r="A4161" s="2"/>
      <c r="D4161" s="2"/>
      <c r="G4161" s="2"/>
      <c r="J4161" s="2"/>
      <c r="M4161" s="2"/>
    </row>
    <row r="4162" spans="1:13" x14ac:dyDescent="0.25">
      <c r="A4162" s="2"/>
      <c r="D4162" s="2"/>
      <c r="G4162" s="2"/>
      <c r="J4162" s="2"/>
      <c r="M4162" s="2"/>
    </row>
    <row r="4163" spans="1:13" x14ac:dyDescent="0.25">
      <c r="A4163" s="2"/>
      <c r="D4163" s="2"/>
      <c r="G4163" s="2"/>
      <c r="J4163" s="2"/>
      <c r="M4163" s="2"/>
    </row>
    <row r="4164" spans="1:13" x14ac:dyDescent="0.25">
      <c r="A4164" s="2"/>
      <c r="D4164" s="2"/>
      <c r="G4164" s="2"/>
      <c r="J4164" s="2"/>
      <c r="M4164" s="2"/>
    </row>
    <row r="4165" spans="1:13" x14ac:dyDescent="0.25">
      <c r="A4165" s="2"/>
      <c r="D4165" s="2"/>
      <c r="G4165" s="2"/>
      <c r="J4165" s="2"/>
      <c r="M4165" s="2"/>
    </row>
    <row r="4166" spans="1:13" x14ac:dyDescent="0.25">
      <c r="A4166" s="2"/>
      <c r="D4166" s="2"/>
      <c r="G4166" s="2"/>
      <c r="J4166" s="2"/>
      <c r="M4166" s="2"/>
    </row>
    <row r="4167" spans="1:13" x14ac:dyDescent="0.25">
      <c r="A4167" s="2"/>
      <c r="D4167" s="2"/>
      <c r="G4167" s="2"/>
      <c r="J4167" s="2"/>
      <c r="M4167" s="2"/>
    </row>
    <row r="4168" spans="1:13" x14ac:dyDescent="0.25">
      <c r="A4168" s="2"/>
      <c r="D4168" s="2"/>
      <c r="G4168" s="2"/>
      <c r="J4168" s="2"/>
      <c r="M4168" s="2"/>
    </row>
    <row r="4169" spans="1:13" x14ac:dyDescent="0.25">
      <c r="A4169" s="2"/>
      <c r="D4169" s="2"/>
      <c r="G4169" s="2"/>
      <c r="J4169" s="2"/>
      <c r="M4169" s="2"/>
    </row>
    <row r="4170" spans="1:13" x14ac:dyDescent="0.25">
      <c r="A4170" s="2"/>
      <c r="D4170" s="2"/>
      <c r="G4170" s="2"/>
      <c r="J4170" s="2"/>
      <c r="M4170" s="2"/>
    </row>
    <row r="4171" spans="1:13" x14ac:dyDescent="0.25">
      <c r="A4171" s="2"/>
      <c r="D4171" s="2"/>
      <c r="G4171" s="2"/>
      <c r="J4171" s="2"/>
      <c r="M4171" s="2"/>
    </row>
    <row r="4172" spans="1:13" x14ac:dyDescent="0.25">
      <c r="A4172" s="2"/>
      <c r="D4172" s="2"/>
      <c r="G4172" s="2"/>
      <c r="J4172" s="2"/>
      <c r="M4172" s="2"/>
    </row>
    <row r="4173" spans="1:13" x14ac:dyDescent="0.25">
      <c r="A4173" s="2"/>
      <c r="D4173" s="2"/>
      <c r="G4173" s="2"/>
      <c r="J4173" s="2"/>
      <c r="M4173" s="2"/>
    </row>
    <row r="4174" spans="1:13" x14ac:dyDescent="0.25">
      <c r="A4174" s="2"/>
      <c r="D4174" s="2"/>
      <c r="G4174" s="2"/>
      <c r="J4174" s="2"/>
      <c r="M4174" s="2"/>
    </row>
    <row r="4175" spans="1:13" x14ac:dyDescent="0.25">
      <c r="A4175" s="2"/>
      <c r="D4175" s="2"/>
      <c r="G4175" s="2"/>
      <c r="J4175" s="2"/>
      <c r="M4175" s="2"/>
    </row>
    <row r="4176" spans="1:13" x14ac:dyDescent="0.25">
      <c r="A4176" s="2"/>
      <c r="D4176" s="2"/>
      <c r="G4176" s="2"/>
      <c r="J4176" s="2"/>
      <c r="M4176" s="2"/>
    </row>
    <row r="4177" spans="1:13" x14ac:dyDescent="0.25">
      <c r="A4177" s="2"/>
      <c r="D4177" s="2"/>
      <c r="G4177" s="2"/>
      <c r="J4177" s="2"/>
      <c r="M4177" s="2"/>
    </row>
    <row r="4178" spans="1:13" x14ac:dyDescent="0.25">
      <c r="A4178" s="2"/>
      <c r="D4178" s="2"/>
      <c r="G4178" s="2"/>
      <c r="J4178" s="2"/>
      <c r="M4178" s="2"/>
    </row>
    <row r="4179" spans="1:13" x14ac:dyDescent="0.25">
      <c r="A4179" s="2"/>
      <c r="D4179" s="2"/>
      <c r="G4179" s="2"/>
      <c r="J4179" s="2"/>
      <c r="M4179" s="2"/>
    </row>
    <row r="4180" spans="1:13" x14ac:dyDescent="0.25">
      <c r="A4180" s="2"/>
      <c r="D4180" s="2"/>
      <c r="G4180" s="2"/>
      <c r="J4180" s="2"/>
      <c r="M4180" s="2"/>
    </row>
    <row r="4181" spans="1:13" x14ac:dyDescent="0.25">
      <c r="A4181" s="2"/>
      <c r="D4181" s="2"/>
      <c r="G4181" s="2"/>
      <c r="J4181" s="2"/>
      <c r="M4181" s="2"/>
    </row>
    <row r="4182" spans="1:13" x14ac:dyDescent="0.25">
      <c r="A4182" s="2"/>
      <c r="D4182" s="2"/>
      <c r="G4182" s="2"/>
      <c r="J4182" s="2"/>
      <c r="M4182" s="2"/>
    </row>
    <row r="4183" spans="1:13" x14ac:dyDescent="0.25">
      <c r="A4183" s="2"/>
      <c r="D4183" s="2"/>
      <c r="G4183" s="2"/>
      <c r="J4183" s="2"/>
      <c r="M4183" s="2"/>
    </row>
    <row r="4184" spans="1:13" x14ac:dyDescent="0.25">
      <c r="A4184" s="2"/>
      <c r="D4184" s="2"/>
      <c r="G4184" s="2"/>
      <c r="J4184" s="2"/>
      <c r="M4184" s="2"/>
    </row>
    <row r="4185" spans="1:13" x14ac:dyDescent="0.25">
      <c r="A4185" s="2"/>
      <c r="D4185" s="2"/>
      <c r="G4185" s="2"/>
      <c r="J4185" s="2"/>
      <c r="M4185" s="2"/>
    </row>
    <row r="4186" spans="1:13" x14ac:dyDescent="0.25">
      <c r="A4186" s="2"/>
      <c r="D4186" s="2"/>
      <c r="G4186" s="2"/>
      <c r="J4186" s="2"/>
      <c r="M4186" s="2"/>
    </row>
    <row r="4187" spans="1:13" x14ac:dyDescent="0.25">
      <c r="A4187" s="2"/>
      <c r="D4187" s="2"/>
      <c r="G4187" s="2"/>
      <c r="J4187" s="2"/>
      <c r="M4187" s="2"/>
    </row>
    <row r="4188" spans="1:13" x14ac:dyDescent="0.25">
      <c r="A4188" s="2"/>
      <c r="D4188" s="2"/>
      <c r="G4188" s="2"/>
      <c r="J4188" s="2"/>
      <c r="M4188" s="2"/>
    </row>
    <row r="4189" spans="1:13" x14ac:dyDescent="0.25">
      <c r="A4189" s="2"/>
      <c r="D4189" s="2"/>
      <c r="G4189" s="2"/>
      <c r="J4189" s="2"/>
      <c r="M4189" s="2"/>
    </row>
    <row r="4190" spans="1:13" x14ac:dyDescent="0.25">
      <c r="A4190" s="2"/>
      <c r="D4190" s="2"/>
      <c r="G4190" s="2"/>
      <c r="J4190" s="2"/>
      <c r="M4190" s="2"/>
    </row>
    <row r="4191" spans="1:13" x14ac:dyDescent="0.25">
      <c r="A4191" s="2"/>
      <c r="D4191" s="2"/>
      <c r="G4191" s="2"/>
      <c r="J4191" s="2"/>
      <c r="M4191" s="2"/>
    </row>
    <row r="4192" spans="1:13" x14ac:dyDescent="0.25">
      <c r="A4192" s="2"/>
      <c r="D4192" s="2"/>
      <c r="G4192" s="2"/>
      <c r="J4192" s="2"/>
      <c r="M4192" s="2"/>
    </row>
    <row r="4193" spans="1:13" x14ac:dyDescent="0.25">
      <c r="A4193" s="2"/>
      <c r="D4193" s="2"/>
      <c r="G4193" s="2"/>
      <c r="J4193" s="2"/>
      <c r="M4193" s="2"/>
    </row>
    <row r="4194" spans="1:13" x14ac:dyDescent="0.25">
      <c r="A4194" s="2"/>
      <c r="D4194" s="2"/>
      <c r="G4194" s="2"/>
      <c r="J4194" s="2"/>
      <c r="M4194" s="2"/>
    </row>
    <row r="4195" spans="1:13" x14ac:dyDescent="0.25">
      <c r="A4195" s="2"/>
      <c r="D4195" s="2"/>
      <c r="G4195" s="2"/>
      <c r="J4195" s="2"/>
      <c r="M4195" s="2"/>
    </row>
    <row r="4196" spans="1:13" x14ac:dyDescent="0.25">
      <c r="A4196" s="2"/>
      <c r="D4196" s="2"/>
      <c r="G4196" s="2"/>
      <c r="J4196" s="2"/>
      <c r="M4196" s="2"/>
    </row>
    <row r="4197" spans="1:13" x14ac:dyDescent="0.25">
      <c r="A4197" s="2"/>
      <c r="D4197" s="2"/>
      <c r="G4197" s="2"/>
      <c r="J4197" s="2"/>
      <c r="M4197" s="2"/>
    </row>
    <row r="4198" spans="1:13" x14ac:dyDescent="0.25">
      <c r="A4198" s="2"/>
      <c r="D4198" s="2"/>
      <c r="G4198" s="2"/>
      <c r="J4198" s="2"/>
      <c r="M4198" s="2"/>
    </row>
    <row r="4199" spans="1:13" x14ac:dyDescent="0.25">
      <c r="A4199" s="2"/>
      <c r="D4199" s="2"/>
      <c r="G4199" s="2"/>
      <c r="J4199" s="2"/>
      <c r="M4199" s="2"/>
    </row>
    <row r="4200" spans="1:13" x14ac:dyDescent="0.25">
      <c r="A4200" s="2"/>
      <c r="D4200" s="2"/>
      <c r="G4200" s="2"/>
      <c r="J4200" s="2"/>
      <c r="M4200" s="2"/>
    </row>
    <row r="4201" spans="1:13" x14ac:dyDescent="0.25">
      <c r="A4201" s="2"/>
      <c r="D4201" s="2"/>
      <c r="G4201" s="2"/>
      <c r="J4201" s="2"/>
      <c r="M4201" s="2"/>
    </row>
    <row r="4202" spans="1:13" x14ac:dyDescent="0.25">
      <c r="A4202" s="2"/>
      <c r="D4202" s="2"/>
      <c r="G4202" s="2"/>
      <c r="J4202" s="2"/>
      <c r="M4202" s="2"/>
    </row>
    <row r="4203" spans="1:13" x14ac:dyDescent="0.25">
      <c r="A4203" s="2"/>
      <c r="D4203" s="2"/>
      <c r="G4203" s="2"/>
      <c r="J4203" s="2"/>
      <c r="M4203" s="2"/>
    </row>
    <row r="4204" spans="1:13" x14ac:dyDescent="0.25">
      <c r="A4204" s="2"/>
      <c r="D4204" s="2"/>
      <c r="G4204" s="2"/>
      <c r="J4204" s="2"/>
      <c r="M4204" s="2"/>
    </row>
    <row r="4205" spans="1:13" x14ac:dyDescent="0.25">
      <c r="A4205" s="2"/>
      <c r="D4205" s="2"/>
      <c r="G4205" s="2"/>
      <c r="J4205" s="2"/>
      <c r="M4205" s="2"/>
    </row>
    <row r="4206" spans="1:13" x14ac:dyDescent="0.25">
      <c r="A4206" s="2"/>
      <c r="D4206" s="2"/>
      <c r="G4206" s="2"/>
      <c r="J4206" s="2"/>
      <c r="M4206" s="2"/>
    </row>
    <row r="4207" spans="1:13" x14ac:dyDescent="0.25">
      <c r="A4207" s="2"/>
      <c r="D4207" s="2"/>
      <c r="G4207" s="2"/>
      <c r="J4207" s="2"/>
      <c r="M4207" s="2"/>
    </row>
    <row r="4208" spans="1:13" x14ac:dyDescent="0.25">
      <c r="A4208" s="2"/>
      <c r="D4208" s="2"/>
      <c r="G4208" s="2"/>
      <c r="J4208" s="2"/>
      <c r="M4208" s="2"/>
    </row>
    <row r="4209" spans="1:13" x14ac:dyDescent="0.25">
      <c r="A4209" s="2"/>
      <c r="D4209" s="2"/>
      <c r="G4209" s="2"/>
      <c r="J4209" s="2"/>
      <c r="M4209" s="2"/>
    </row>
    <row r="4210" spans="1:13" x14ac:dyDescent="0.25">
      <c r="A4210" s="2"/>
      <c r="D4210" s="2"/>
      <c r="G4210" s="2"/>
      <c r="J4210" s="2"/>
      <c r="M4210" s="2"/>
    </row>
    <row r="4211" spans="1:13" x14ac:dyDescent="0.25">
      <c r="A4211" s="2"/>
      <c r="D4211" s="2"/>
      <c r="G4211" s="2"/>
      <c r="J4211" s="2"/>
      <c r="M4211" s="2"/>
    </row>
    <row r="4212" spans="1:13" x14ac:dyDescent="0.25">
      <c r="A4212" s="2"/>
      <c r="D4212" s="2"/>
      <c r="G4212" s="2"/>
      <c r="J4212" s="2"/>
      <c r="M4212" s="2"/>
    </row>
    <row r="4213" spans="1:13" x14ac:dyDescent="0.25">
      <c r="A4213" s="2"/>
      <c r="D4213" s="2"/>
      <c r="G4213" s="2"/>
      <c r="J4213" s="2"/>
      <c r="M4213" s="2"/>
    </row>
    <row r="4214" spans="1:13" x14ac:dyDescent="0.25">
      <c r="A4214" s="2"/>
      <c r="D4214" s="2"/>
      <c r="G4214" s="2"/>
      <c r="J4214" s="2"/>
      <c r="M4214" s="2"/>
    </row>
    <row r="4215" spans="1:13" x14ac:dyDescent="0.25">
      <c r="A4215" s="2"/>
      <c r="D4215" s="2"/>
      <c r="G4215" s="2"/>
      <c r="J4215" s="2"/>
      <c r="M4215" s="2"/>
    </row>
    <row r="4216" spans="1:13" x14ac:dyDescent="0.25">
      <c r="A4216" s="2"/>
      <c r="D4216" s="2"/>
      <c r="G4216" s="2"/>
      <c r="J4216" s="2"/>
      <c r="M4216" s="2"/>
    </row>
    <row r="4217" spans="1:13" x14ac:dyDescent="0.25">
      <c r="A4217" s="2"/>
      <c r="D4217" s="2"/>
      <c r="G4217" s="2"/>
      <c r="J4217" s="2"/>
      <c r="M4217" s="2"/>
    </row>
    <row r="4218" spans="1:13" x14ac:dyDescent="0.25">
      <c r="A4218" s="2"/>
      <c r="D4218" s="2"/>
      <c r="G4218" s="2"/>
      <c r="J4218" s="2"/>
      <c r="M4218" s="2"/>
    </row>
    <row r="4219" spans="1:13" x14ac:dyDescent="0.25">
      <c r="A4219" s="2"/>
      <c r="D4219" s="2"/>
      <c r="G4219" s="2"/>
      <c r="J4219" s="2"/>
      <c r="M4219" s="2"/>
    </row>
    <row r="4220" spans="1:13" x14ac:dyDescent="0.25">
      <c r="A4220" s="2"/>
      <c r="D4220" s="2"/>
      <c r="G4220" s="2"/>
      <c r="J4220" s="2"/>
      <c r="M4220" s="2"/>
    </row>
    <row r="4221" spans="1:13" x14ac:dyDescent="0.25">
      <c r="A4221" s="2"/>
      <c r="D4221" s="2"/>
      <c r="G4221" s="2"/>
      <c r="J4221" s="2"/>
      <c r="M4221" s="2"/>
    </row>
    <row r="4222" spans="1:13" x14ac:dyDescent="0.25">
      <c r="A4222" s="2"/>
      <c r="D4222" s="2"/>
      <c r="G4222" s="2"/>
      <c r="J4222" s="2"/>
      <c r="M4222" s="2"/>
    </row>
    <row r="4223" spans="1:13" x14ac:dyDescent="0.25">
      <c r="A4223" s="2"/>
      <c r="D4223" s="2"/>
      <c r="G4223" s="2"/>
      <c r="J4223" s="2"/>
      <c r="M4223" s="2"/>
    </row>
    <row r="4224" spans="1:13" x14ac:dyDescent="0.25">
      <c r="A4224" s="2"/>
      <c r="D4224" s="2"/>
      <c r="G4224" s="2"/>
      <c r="J4224" s="2"/>
      <c r="M4224" s="2"/>
    </row>
    <row r="4225" spans="1:13" x14ac:dyDescent="0.25">
      <c r="A4225" s="2"/>
      <c r="D4225" s="2"/>
      <c r="G4225" s="2"/>
      <c r="J4225" s="2"/>
      <c r="M4225" s="2"/>
    </row>
    <row r="4226" spans="1:13" x14ac:dyDescent="0.25">
      <c r="A4226" s="2"/>
      <c r="D4226" s="2"/>
      <c r="G4226" s="2"/>
      <c r="J4226" s="2"/>
      <c r="M4226" s="2"/>
    </row>
    <row r="4227" spans="1:13" x14ac:dyDescent="0.25">
      <c r="A4227" s="2"/>
      <c r="D4227" s="2"/>
      <c r="G4227" s="2"/>
      <c r="J4227" s="2"/>
      <c r="M4227" s="2"/>
    </row>
    <row r="4228" spans="1:13" x14ac:dyDescent="0.25">
      <c r="A4228" s="2"/>
      <c r="D4228" s="2"/>
      <c r="G4228" s="2"/>
      <c r="J4228" s="2"/>
      <c r="M4228" s="2"/>
    </row>
    <row r="4229" spans="1:13" x14ac:dyDescent="0.25">
      <c r="A4229" s="2"/>
      <c r="D4229" s="2"/>
      <c r="G4229" s="2"/>
      <c r="J4229" s="2"/>
      <c r="M4229" s="2"/>
    </row>
    <row r="4230" spans="1:13" x14ac:dyDescent="0.25">
      <c r="A4230" s="2"/>
      <c r="D4230" s="2"/>
      <c r="G4230" s="2"/>
      <c r="J4230" s="2"/>
      <c r="M4230" s="2"/>
    </row>
    <row r="4231" spans="1:13" x14ac:dyDescent="0.25">
      <c r="A4231" s="2"/>
      <c r="D4231" s="2"/>
      <c r="G4231" s="2"/>
      <c r="J4231" s="2"/>
      <c r="M4231" s="2"/>
    </row>
    <row r="4232" spans="1:13" x14ac:dyDescent="0.25">
      <c r="A4232" s="2"/>
      <c r="D4232" s="2"/>
      <c r="G4232" s="2"/>
      <c r="J4232" s="2"/>
      <c r="M4232" s="2"/>
    </row>
    <row r="4233" spans="1:13" x14ac:dyDescent="0.25">
      <c r="A4233" s="2"/>
      <c r="D4233" s="2"/>
      <c r="G4233" s="2"/>
      <c r="J4233" s="2"/>
      <c r="M4233" s="2"/>
    </row>
    <row r="4234" spans="1:13" x14ac:dyDescent="0.25">
      <c r="A4234" s="2"/>
      <c r="D4234" s="2"/>
      <c r="G4234" s="2"/>
      <c r="J4234" s="2"/>
      <c r="M4234" s="2"/>
    </row>
    <row r="4235" spans="1:13" x14ac:dyDescent="0.25">
      <c r="A4235" s="2"/>
      <c r="D4235" s="2"/>
      <c r="G4235" s="2"/>
      <c r="J4235" s="2"/>
      <c r="M4235" s="2"/>
    </row>
    <row r="4236" spans="1:13" x14ac:dyDescent="0.25">
      <c r="A4236" s="2"/>
      <c r="D4236" s="2"/>
      <c r="G4236" s="2"/>
      <c r="J4236" s="2"/>
      <c r="M4236" s="2"/>
    </row>
    <row r="4237" spans="1:13" x14ac:dyDescent="0.25">
      <c r="A4237" s="2"/>
      <c r="D4237" s="2"/>
      <c r="G4237" s="2"/>
      <c r="J4237" s="2"/>
      <c r="M4237" s="2"/>
    </row>
    <row r="4238" spans="1:13" x14ac:dyDescent="0.25">
      <c r="A4238" s="2"/>
      <c r="D4238" s="2"/>
      <c r="G4238" s="2"/>
      <c r="J4238" s="2"/>
      <c r="M4238" s="2"/>
    </row>
    <row r="4239" spans="1:13" x14ac:dyDescent="0.25">
      <c r="A4239" s="2"/>
      <c r="D4239" s="2"/>
      <c r="G4239" s="2"/>
      <c r="J4239" s="2"/>
      <c r="M4239" s="2"/>
    </row>
    <row r="4240" spans="1:13" x14ac:dyDescent="0.25">
      <c r="A4240" s="2"/>
      <c r="D4240" s="2"/>
      <c r="G4240" s="2"/>
      <c r="J4240" s="2"/>
      <c r="M4240" s="2"/>
    </row>
    <row r="4241" spans="1:13" x14ac:dyDescent="0.25">
      <c r="A4241" s="2"/>
      <c r="D4241" s="2"/>
      <c r="G4241" s="2"/>
      <c r="J4241" s="2"/>
      <c r="M4241" s="2"/>
    </row>
    <row r="4242" spans="1:13" x14ac:dyDescent="0.25">
      <c r="A4242" s="2"/>
      <c r="D4242" s="2"/>
      <c r="G4242" s="2"/>
      <c r="J4242" s="2"/>
      <c r="M4242" s="2"/>
    </row>
    <row r="4243" spans="1:13" x14ac:dyDescent="0.25">
      <c r="A4243" s="2"/>
      <c r="D4243" s="2"/>
      <c r="G4243" s="2"/>
      <c r="J4243" s="2"/>
      <c r="M4243" s="2"/>
    </row>
    <row r="4244" spans="1:13" x14ac:dyDescent="0.25">
      <c r="A4244" s="2"/>
      <c r="D4244" s="2"/>
      <c r="G4244" s="2"/>
      <c r="J4244" s="2"/>
      <c r="M4244" s="2"/>
    </row>
    <row r="4245" spans="1:13" x14ac:dyDescent="0.25">
      <c r="A4245" s="2"/>
      <c r="D4245" s="2"/>
      <c r="G4245" s="2"/>
      <c r="J4245" s="2"/>
      <c r="M4245" s="2"/>
    </row>
    <row r="4246" spans="1:13" x14ac:dyDescent="0.25">
      <c r="A4246" s="2"/>
      <c r="D4246" s="2"/>
      <c r="G4246" s="2"/>
      <c r="J4246" s="2"/>
      <c r="M4246" s="2"/>
    </row>
    <row r="4247" spans="1:13" x14ac:dyDescent="0.25">
      <c r="A4247" s="2"/>
      <c r="D4247" s="2"/>
      <c r="G4247" s="2"/>
      <c r="J4247" s="2"/>
      <c r="M4247" s="2"/>
    </row>
    <row r="4248" spans="1:13" x14ac:dyDescent="0.25">
      <c r="A4248" s="2"/>
      <c r="D4248" s="2"/>
      <c r="G4248" s="2"/>
      <c r="J4248" s="2"/>
      <c r="M4248" s="2"/>
    </row>
    <row r="4249" spans="1:13" x14ac:dyDescent="0.25">
      <c r="A4249" s="2"/>
      <c r="D4249" s="2"/>
      <c r="G4249" s="2"/>
      <c r="J4249" s="2"/>
      <c r="M4249" s="2"/>
    </row>
    <row r="4250" spans="1:13" x14ac:dyDescent="0.25">
      <c r="A4250" s="2"/>
      <c r="D4250" s="2"/>
      <c r="G4250" s="2"/>
      <c r="J4250" s="2"/>
      <c r="M4250" s="2"/>
    </row>
    <row r="4251" spans="1:13" x14ac:dyDescent="0.25">
      <c r="A4251" s="2"/>
      <c r="D4251" s="2"/>
      <c r="G4251" s="2"/>
      <c r="J4251" s="2"/>
      <c r="M4251" s="2"/>
    </row>
    <row r="4252" spans="1:13" x14ac:dyDescent="0.25">
      <c r="A4252" s="2"/>
      <c r="D4252" s="2"/>
      <c r="G4252" s="2"/>
      <c r="J4252" s="2"/>
      <c r="M4252" s="2"/>
    </row>
    <row r="4253" spans="1:13" x14ac:dyDescent="0.25">
      <c r="A4253" s="2"/>
      <c r="D4253" s="2"/>
      <c r="G4253" s="2"/>
      <c r="J4253" s="2"/>
      <c r="M4253" s="2"/>
    </row>
    <row r="4254" spans="1:13" x14ac:dyDescent="0.25">
      <c r="A4254" s="2"/>
      <c r="D4254" s="2"/>
      <c r="G4254" s="2"/>
      <c r="J4254" s="2"/>
      <c r="M4254" s="2"/>
    </row>
    <row r="4255" spans="1:13" x14ac:dyDescent="0.25">
      <c r="A4255" s="2"/>
      <c r="D4255" s="2"/>
      <c r="G4255" s="2"/>
      <c r="J4255" s="2"/>
      <c r="M4255" s="2"/>
    </row>
    <row r="4256" spans="1:13" x14ac:dyDescent="0.25">
      <c r="A4256" s="2"/>
      <c r="D4256" s="2"/>
      <c r="G4256" s="2"/>
      <c r="J4256" s="2"/>
      <c r="M4256" s="2"/>
    </row>
    <row r="4257" spans="1:13" x14ac:dyDescent="0.25">
      <c r="A4257" s="2"/>
      <c r="D4257" s="2"/>
      <c r="G4257" s="2"/>
      <c r="J4257" s="2"/>
      <c r="M4257" s="2"/>
    </row>
    <row r="4258" spans="1:13" x14ac:dyDescent="0.25">
      <c r="A4258" s="2"/>
      <c r="D4258" s="2"/>
      <c r="G4258" s="2"/>
      <c r="J4258" s="2"/>
      <c r="M4258" s="2"/>
    </row>
    <row r="4259" spans="1:13" x14ac:dyDescent="0.25">
      <c r="A4259" s="2"/>
      <c r="D4259" s="2"/>
      <c r="G4259" s="2"/>
      <c r="J4259" s="2"/>
      <c r="M4259" s="2"/>
    </row>
    <row r="4260" spans="1:13" x14ac:dyDescent="0.25">
      <c r="A4260" s="2"/>
      <c r="D4260" s="2"/>
      <c r="G4260" s="2"/>
      <c r="J4260" s="2"/>
      <c r="M4260" s="2"/>
    </row>
    <row r="4261" spans="1:13" x14ac:dyDescent="0.25">
      <c r="A4261" s="2"/>
      <c r="D4261" s="2"/>
      <c r="G4261" s="2"/>
      <c r="J4261" s="2"/>
      <c r="M4261" s="2"/>
    </row>
    <row r="4262" spans="1:13" x14ac:dyDescent="0.25">
      <c r="A4262" s="2"/>
      <c r="D4262" s="2"/>
      <c r="G4262" s="2"/>
      <c r="J4262" s="2"/>
      <c r="M4262" s="2"/>
    </row>
    <row r="4263" spans="1:13" x14ac:dyDescent="0.25">
      <c r="A4263" s="2"/>
      <c r="D4263" s="2"/>
      <c r="G4263" s="2"/>
      <c r="J4263" s="2"/>
      <c r="M4263" s="2"/>
    </row>
    <row r="4264" spans="1:13" x14ac:dyDescent="0.25">
      <c r="A4264" s="2"/>
      <c r="D4264" s="2"/>
      <c r="G4264" s="2"/>
      <c r="J4264" s="2"/>
      <c r="M4264" s="2"/>
    </row>
    <row r="4265" spans="1:13" x14ac:dyDescent="0.25">
      <c r="A4265" s="2"/>
      <c r="D4265" s="2"/>
      <c r="G4265" s="2"/>
      <c r="J4265" s="2"/>
      <c r="M4265" s="2"/>
    </row>
    <row r="4266" spans="1:13" x14ac:dyDescent="0.25">
      <c r="A4266" s="2"/>
      <c r="D4266" s="2"/>
      <c r="G4266" s="2"/>
      <c r="J4266" s="2"/>
      <c r="M4266" s="2"/>
    </row>
    <row r="4267" spans="1:13" x14ac:dyDescent="0.25">
      <c r="A4267" s="2"/>
      <c r="D4267" s="2"/>
      <c r="G4267" s="2"/>
      <c r="J4267" s="2"/>
      <c r="M4267" s="2"/>
    </row>
    <row r="4268" spans="1:13" x14ac:dyDescent="0.25">
      <c r="A4268" s="2"/>
      <c r="D4268" s="2"/>
      <c r="G4268" s="2"/>
      <c r="J4268" s="2"/>
      <c r="M4268" s="2"/>
    </row>
    <row r="4269" spans="1:13" x14ac:dyDescent="0.25">
      <c r="A4269" s="2"/>
      <c r="D4269" s="2"/>
      <c r="G4269" s="2"/>
      <c r="J4269" s="2"/>
      <c r="M4269" s="2"/>
    </row>
    <row r="4270" spans="1:13" x14ac:dyDescent="0.25">
      <c r="A4270" s="2"/>
      <c r="D4270" s="2"/>
      <c r="G4270" s="2"/>
      <c r="J4270" s="2"/>
      <c r="M4270" s="2"/>
    </row>
    <row r="4271" spans="1:13" x14ac:dyDescent="0.25">
      <c r="A4271" s="2"/>
      <c r="D4271" s="2"/>
      <c r="G4271" s="2"/>
      <c r="J4271" s="2"/>
      <c r="M4271" s="2"/>
    </row>
    <row r="4272" spans="1:13" x14ac:dyDescent="0.25">
      <c r="A4272" s="2"/>
      <c r="D4272" s="2"/>
      <c r="G4272" s="2"/>
      <c r="J4272" s="2"/>
      <c r="M4272" s="2"/>
    </row>
    <row r="4273" spans="1:13" x14ac:dyDescent="0.25">
      <c r="A4273" s="2"/>
      <c r="D4273" s="2"/>
      <c r="G4273" s="2"/>
      <c r="J4273" s="2"/>
      <c r="M4273" s="2"/>
    </row>
    <row r="4274" spans="1:13" x14ac:dyDescent="0.25">
      <c r="A4274" s="2"/>
      <c r="D4274" s="2"/>
      <c r="G4274" s="2"/>
      <c r="J4274" s="2"/>
      <c r="M4274" s="2"/>
    </row>
    <row r="4275" spans="1:13" x14ac:dyDescent="0.25">
      <c r="A4275" s="2"/>
      <c r="D4275" s="2"/>
      <c r="G4275" s="2"/>
      <c r="J4275" s="2"/>
      <c r="M4275" s="2"/>
    </row>
    <row r="4276" spans="1:13" x14ac:dyDescent="0.25">
      <c r="A4276" s="2"/>
      <c r="D4276" s="2"/>
      <c r="G4276" s="2"/>
      <c r="J4276" s="2"/>
      <c r="M4276" s="2"/>
    </row>
    <row r="4277" spans="1:13" x14ac:dyDescent="0.25">
      <c r="A4277" s="2"/>
      <c r="D4277" s="2"/>
      <c r="G4277" s="2"/>
      <c r="J4277" s="2"/>
      <c r="M4277" s="2"/>
    </row>
    <row r="4278" spans="1:13" x14ac:dyDescent="0.25">
      <c r="A4278" s="2"/>
      <c r="D4278" s="2"/>
      <c r="G4278" s="2"/>
      <c r="J4278" s="2"/>
      <c r="M4278" s="2"/>
    </row>
    <row r="4279" spans="1:13" x14ac:dyDescent="0.25">
      <c r="A4279" s="2"/>
      <c r="D4279" s="2"/>
      <c r="G4279" s="2"/>
      <c r="J4279" s="2"/>
      <c r="M4279" s="2"/>
    </row>
    <row r="4280" spans="1:13" x14ac:dyDescent="0.25">
      <c r="A4280" s="2"/>
      <c r="D4280" s="2"/>
      <c r="G4280" s="2"/>
      <c r="J4280" s="2"/>
      <c r="M4280" s="2"/>
    </row>
    <row r="4281" spans="1:13" x14ac:dyDescent="0.25">
      <c r="A4281" s="2"/>
      <c r="D4281" s="2"/>
      <c r="G4281" s="2"/>
      <c r="J4281" s="2"/>
      <c r="M4281" s="2"/>
    </row>
    <row r="4282" spans="1:13" x14ac:dyDescent="0.25">
      <c r="A4282" s="2"/>
      <c r="D4282" s="2"/>
      <c r="G4282" s="2"/>
      <c r="J4282" s="2"/>
      <c r="M4282" s="2"/>
    </row>
    <row r="4283" spans="1:13" x14ac:dyDescent="0.25">
      <c r="A4283" s="2"/>
      <c r="D4283" s="2"/>
      <c r="G4283" s="2"/>
      <c r="J4283" s="2"/>
      <c r="M4283" s="2"/>
    </row>
    <row r="4284" spans="1:13" x14ac:dyDescent="0.25">
      <c r="A4284" s="2"/>
      <c r="D4284" s="2"/>
      <c r="G4284" s="2"/>
      <c r="J4284" s="2"/>
      <c r="M4284" s="2"/>
    </row>
    <row r="4285" spans="1:13" x14ac:dyDescent="0.25">
      <c r="A4285" s="2"/>
      <c r="D4285" s="2"/>
      <c r="G4285" s="2"/>
      <c r="J4285" s="2"/>
      <c r="M4285" s="2"/>
    </row>
    <row r="4286" spans="1:13" x14ac:dyDescent="0.25">
      <c r="A4286" s="2"/>
      <c r="D4286" s="2"/>
      <c r="G4286" s="2"/>
      <c r="J4286" s="2"/>
      <c r="M4286" s="2"/>
    </row>
    <row r="4287" spans="1:13" x14ac:dyDescent="0.25">
      <c r="A4287" s="2"/>
      <c r="D4287" s="2"/>
      <c r="G4287" s="2"/>
      <c r="J4287" s="2"/>
      <c r="M4287" s="2"/>
    </row>
    <row r="4288" spans="1:13" x14ac:dyDescent="0.25">
      <c r="A4288" s="2"/>
      <c r="D4288" s="2"/>
      <c r="G4288" s="2"/>
      <c r="J4288" s="2"/>
      <c r="M4288" s="2"/>
    </row>
    <row r="4289" spans="1:13" x14ac:dyDescent="0.25">
      <c r="A4289" s="2"/>
      <c r="D4289" s="2"/>
      <c r="G4289" s="2"/>
      <c r="J4289" s="2"/>
      <c r="M4289" s="2"/>
    </row>
    <row r="4290" spans="1:13" x14ac:dyDescent="0.25">
      <c r="A4290" s="2"/>
      <c r="D4290" s="2"/>
      <c r="G4290" s="2"/>
      <c r="J4290" s="2"/>
      <c r="M4290" s="2"/>
    </row>
    <row r="4291" spans="1:13" x14ac:dyDescent="0.25">
      <c r="A4291" s="2"/>
      <c r="D4291" s="2"/>
      <c r="G4291" s="2"/>
      <c r="J4291" s="2"/>
      <c r="M4291" s="2"/>
    </row>
    <row r="4292" spans="1:13" x14ac:dyDescent="0.25">
      <c r="A4292" s="2"/>
      <c r="D4292" s="2"/>
      <c r="G4292" s="2"/>
      <c r="J4292" s="2"/>
      <c r="M4292" s="2"/>
    </row>
    <row r="4293" spans="1:13" x14ac:dyDescent="0.25">
      <c r="A4293" s="2"/>
      <c r="D4293" s="2"/>
      <c r="G4293" s="2"/>
      <c r="J4293" s="2"/>
      <c r="M4293" s="2"/>
    </row>
    <row r="4294" spans="1:13" x14ac:dyDescent="0.25">
      <c r="A4294" s="2"/>
      <c r="D4294" s="2"/>
      <c r="G4294" s="2"/>
      <c r="J4294" s="2"/>
      <c r="M4294" s="2"/>
    </row>
    <row r="4295" spans="1:13" x14ac:dyDescent="0.25">
      <c r="A4295" s="2"/>
      <c r="D4295" s="2"/>
      <c r="G4295" s="2"/>
      <c r="J4295" s="2"/>
      <c r="M4295" s="2"/>
    </row>
    <row r="4296" spans="1:13" x14ac:dyDescent="0.25">
      <c r="A4296" s="2"/>
      <c r="D4296" s="2"/>
      <c r="G4296" s="2"/>
      <c r="J4296" s="2"/>
      <c r="M4296" s="2"/>
    </row>
    <row r="4297" spans="1:13" x14ac:dyDescent="0.25">
      <c r="A4297" s="2"/>
      <c r="D4297" s="2"/>
      <c r="G4297" s="2"/>
      <c r="J4297" s="2"/>
      <c r="M4297" s="2"/>
    </row>
    <row r="4298" spans="1:13" x14ac:dyDescent="0.25">
      <c r="A4298" s="2"/>
      <c r="D4298" s="2"/>
      <c r="G4298" s="2"/>
      <c r="J4298" s="2"/>
      <c r="M4298" s="2"/>
    </row>
    <row r="4299" spans="1:13" x14ac:dyDescent="0.25">
      <c r="A4299" s="2"/>
      <c r="D4299" s="2"/>
      <c r="G4299" s="2"/>
      <c r="J4299" s="2"/>
      <c r="M4299" s="2"/>
    </row>
    <row r="4300" spans="1:13" x14ac:dyDescent="0.25">
      <c r="A4300" s="2"/>
      <c r="D4300" s="2"/>
      <c r="G4300" s="2"/>
      <c r="J4300" s="2"/>
      <c r="M4300" s="2"/>
    </row>
    <row r="4301" spans="1:13" x14ac:dyDescent="0.25">
      <c r="A4301" s="2"/>
      <c r="D4301" s="2"/>
      <c r="G4301" s="2"/>
      <c r="J4301" s="2"/>
      <c r="M4301" s="2"/>
    </row>
    <row r="4302" spans="1:13" x14ac:dyDescent="0.25">
      <c r="A4302" s="2"/>
      <c r="D4302" s="2"/>
      <c r="G4302" s="2"/>
      <c r="J4302" s="2"/>
      <c r="M4302" s="2"/>
    </row>
    <row r="4303" spans="1:13" x14ac:dyDescent="0.25">
      <c r="A4303" s="2"/>
      <c r="D4303" s="2"/>
      <c r="G4303" s="2"/>
      <c r="J4303" s="2"/>
      <c r="M4303" s="2"/>
    </row>
    <row r="4304" spans="1:13" x14ac:dyDescent="0.25">
      <c r="A4304" s="2"/>
      <c r="D4304" s="2"/>
      <c r="G4304" s="2"/>
      <c r="J4304" s="2"/>
      <c r="M4304" s="2"/>
    </row>
    <row r="4305" spans="1:13" x14ac:dyDescent="0.25">
      <c r="A4305" s="2"/>
      <c r="D4305" s="2"/>
      <c r="G4305" s="2"/>
      <c r="J4305" s="2"/>
      <c r="M4305" s="2"/>
    </row>
    <row r="4306" spans="1:13" x14ac:dyDescent="0.25">
      <c r="A4306" s="2"/>
      <c r="D4306" s="2"/>
      <c r="G4306" s="2"/>
      <c r="J4306" s="2"/>
      <c r="M4306" s="2"/>
    </row>
    <row r="4307" spans="1:13" x14ac:dyDescent="0.25">
      <c r="A4307" s="2"/>
      <c r="D4307" s="2"/>
      <c r="G4307" s="2"/>
      <c r="J4307" s="2"/>
      <c r="M4307" s="2"/>
    </row>
    <row r="4308" spans="1:13" x14ac:dyDescent="0.25">
      <c r="A4308" s="2"/>
      <c r="D4308" s="2"/>
      <c r="G4308" s="2"/>
      <c r="J4308" s="2"/>
      <c r="M4308" s="2"/>
    </row>
    <row r="4309" spans="1:13" x14ac:dyDescent="0.25">
      <c r="A4309" s="2"/>
      <c r="D4309" s="2"/>
      <c r="G4309" s="2"/>
      <c r="J4309" s="2"/>
      <c r="M4309" s="2"/>
    </row>
    <row r="4310" spans="1:13" x14ac:dyDescent="0.25">
      <c r="A4310" s="2"/>
      <c r="D4310" s="2"/>
      <c r="G4310" s="2"/>
      <c r="J4310" s="2"/>
      <c r="M4310" s="2"/>
    </row>
    <row r="4311" spans="1:13" x14ac:dyDescent="0.25">
      <c r="A4311" s="2"/>
      <c r="D4311" s="2"/>
      <c r="G4311" s="2"/>
      <c r="J4311" s="2"/>
      <c r="M4311" s="2"/>
    </row>
    <row r="4312" spans="1:13" x14ac:dyDescent="0.25">
      <c r="A4312" s="2"/>
      <c r="D4312" s="2"/>
      <c r="G4312" s="2"/>
      <c r="J4312" s="2"/>
      <c r="M4312" s="2"/>
    </row>
    <row r="4313" spans="1:13" x14ac:dyDescent="0.25">
      <c r="A4313" s="2"/>
      <c r="D4313" s="2"/>
      <c r="G4313" s="2"/>
      <c r="J4313" s="2"/>
      <c r="M4313" s="2"/>
    </row>
    <row r="4314" spans="1:13" x14ac:dyDescent="0.25">
      <c r="A4314" s="2"/>
      <c r="D4314" s="2"/>
      <c r="G4314" s="2"/>
      <c r="J4314" s="2"/>
      <c r="M4314" s="2"/>
    </row>
    <row r="4315" spans="1:13" x14ac:dyDescent="0.25">
      <c r="A4315" s="2"/>
      <c r="D4315" s="2"/>
      <c r="G4315" s="2"/>
      <c r="J4315" s="2"/>
      <c r="M4315" s="2"/>
    </row>
    <row r="4316" spans="1:13" x14ac:dyDescent="0.25">
      <c r="A4316" s="2"/>
      <c r="D4316" s="2"/>
      <c r="G4316" s="2"/>
      <c r="J4316" s="2"/>
      <c r="M4316" s="2"/>
    </row>
    <row r="4317" spans="1:13" x14ac:dyDescent="0.25">
      <c r="A4317" s="2"/>
      <c r="D4317" s="2"/>
      <c r="G4317" s="2"/>
      <c r="J4317" s="2"/>
      <c r="M4317" s="2"/>
    </row>
    <row r="4318" spans="1:13" x14ac:dyDescent="0.25">
      <c r="A4318" s="2"/>
      <c r="D4318" s="2"/>
      <c r="G4318" s="2"/>
      <c r="J4318" s="2"/>
      <c r="M4318" s="2"/>
    </row>
    <row r="4319" spans="1:13" x14ac:dyDescent="0.25">
      <c r="A4319" s="2"/>
      <c r="D4319" s="2"/>
      <c r="G4319" s="2"/>
      <c r="J4319" s="2"/>
      <c r="M4319" s="2"/>
    </row>
    <row r="4320" spans="1:13" x14ac:dyDescent="0.25">
      <c r="A4320" s="2"/>
      <c r="D4320" s="2"/>
      <c r="G4320" s="2"/>
      <c r="J4320" s="2"/>
      <c r="M4320" s="2"/>
    </row>
    <row r="4321" spans="1:13" x14ac:dyDescent="0.25">
      <c r="A4321" s="2"/>
      <c r="D4321" s="2"/>
      <c r="G4321" s="2"/>
      <c r="J4321" s="2"/>
      <c r="M4321" s="2"/>
    </row>
    <row r="4322" spans="1:13" x14ac:dyDescent="0.25">
      <c r="A4322" s="2"/>
      <c r="D4322" s="2"/>
      <c r="G4322" s="2"/>
      <c r="J4322" s="2"/>
      <c r="M4322" s="2"/>
    </row>
    <row r="4323" spans="1:13" x14ac:dyDescent="0.25">
      <c r="A4323" s="2"/>
      <c r="D4323" s="2"/>
      <c r="G4323" s="2"/>
      <c r="J4323" s="2"/>
      <c r="M4323" s="2"/>
    </row>
    <row r="4324" spans="1:13" x14ac:dyDescent="0.25">
      <c r="A4324" s="2"/>
      <c r="D4324" s="2"/>
      <c r="G4324" s="2"/>
      <c r="J4324" s="2"/>
      <c r="M4324" s="2"/>
    </row>
    <row r="4325" spans="1:13" x14ac:dyDescent="0.25">
      <c r="A4325" s="2"/>
      <c r="D4325" s="2"/>
      <c r="G4325" s="2"/>
      <c r="J4325" s="2"/>
      <c r="M4325" s="2"/>
    </row>
    <row r="4326" spans="1:13" x14ac:dyDescent="0.25">
      <c r="A4326" s="2"/>
      <c r="D4326" s="2"/>
      <c r="G4326" s="2"/>
      <c r="J4326" s="2"/>
      <c r="M4326" s="2"/>
    </row>
    <row r="4327" spans="1:13" x14ac:dyDescent="0.25">
      <c r="A4327" s="2"/>
      <c r="D4327" s="2"/>
      <c r="G4327" s="2"/>
      <c r="J4327" s="2"/>
      <c r="M4327" s="2"/>
    </row>
    <row r="4328" spans="1:13" x14ac:dyDescent="0.25">
      <c r="A4328" s="2"/>
      <c r="D4328" s="2"/>
      <c r="G4328" s="2"/>
      <c r="J4328" s="2"/>
      <c r="M4328" s="2"/>
    </row>
    <row r="4329" spans="1:13" x14ac:dyDescent="0.25">
      <c r="A4329" s="2"/>
      <c r="D4329" s="2"/>
      <c r="G4329" s="2"/>
      <c r="J4329" s="2"/>
      <c r="M4329" s="2"/>
    </row>
    <row r="4330" spans="1:13" x14ac:dyDescent="0.25">
      <c r="A4330" s="2"/>
      <c r="D4330" s="2"/>
      <c r="G4330" s="2"/>
      <c r="J4330" s="2"/>
      <c r="M4330" s="2"/>
    </row>
    <row r="4331" spans="1:13" x14ac:dyDescent="0.25">
      <c r="A4331" s="2"/>
      <c r="D4331" s="2"/>
      <c r="G4331" s="2"/>
      <c r="J4331" s="2"/>
      <c r="M4331" s="2"/>
    </row>
    <row r="4332" spans="1:13" x14ac:dyDescent="0.25">
      <c r="A4332" s="2"/>
      <c r="D4332" s="2"/>
      <c r="G4332" s="2"/>
      <c r="J4332" s="2"/>
      <c r="M4332" s="2"/>
    </row>
    <row r="4333" spans="1:13" x14ac:dyDescent="0.25">
      <c r="A4333" s="2"/>
      <c r="D4333" s="2"/>
      <c r="G4333" s="2"/>
      <c r="J4333" s="2"/>
      <c r="M4333" s="2"/>
    </row>
    <row r="4334" spans="1:13" x14ac:dyDescent="0.25">
      <c r="A4334" s="2"/>
      <c r="D4334" s="2"/>
      <c r="G4334" s="2"/>
      <c r="J4334" s="2"/>
      <c r="M4334" s="2"/>
    </row>
    <row r="4335" spans="1:13" x14ac:dyDescent="0.25">
      <c r="A4335" s="2"/>
      <c r="D4335" s="2"/>
      <c r="G4335" s="2"/>
      <c r="J4335" s="2"/>
      <c r="M4335" s="2"/>
    </row>
    <row r="4336" spans="1:13" x14ac:dyDescent="0.25">
      <c r="A4336" s="2"/>
      <c r="D4336" s="2"/>
      <c r="G4336" s="2"/>
      <c r="J4336" s="2"/>
      <c r="M4336" s="2"/>
    </row>
    <row r="4337" spans="1:13" x14ac:dyDescent="0.25">
      <c r="A4337" s="2"/>
      <c r="D4337" s="2"/>
      <c r="G4337" s="2"/>
      <c r="J4337" s="2"/>
      <c r="M4337" s="2"/>
    </row>
    <row r="4338" spans="1:13" x14ac:dyDescent="0.25">
      <c r="A4338" s="2"/>
      <c r="D4338" s="2"/>
      <c r="G4338" s="2"/>
      <c r="J4338" s="2"/>
      <c r="M4338" s="2"/>
    </row>
    <row r="4339" spans="1:13" x14ac:dyDescent="0.25">
      <c r="A4339" s="2"/>
      <c r="D4339" s="2"/>
      <c r="G4339" s="2"/>
      <c r="J4339" s="2"/>
      <c r="M4339" s="2"/>
    </row>
    <row r="4340" spans="1:13" x14ac:dyDescent="0.25">
      <c r="A4340" s="2"/>
      <c r="D4340" s="2"/>
      <c r="G4340" s="2"/>
      <c r="J4340" s="2"/>
      <c r="M4340" s="2"/>
    </row>
    <row r="4341" spans="1:13" x14ac:dyDescent="0.25">
      <c r="A4341" s="2"/>
      <c r="D4341" s="2"/>
      <c r="G4341" s="2"/>
      <c r="J4341" s="2"/>
      <c r="M4341" s="2"/>
    </row>
    <row r="4342" spans="1:13" x14ac:dyDescent="0.25">
      <c r="A4342" s="2"/>
      <c r="D4342" s="2"/>
      <c r="G4342" s="2"/>
      <c r="J4342" s="2"/>
      <c r="M4342" s="2"/>
    </row>
    <row r="4343" spans="1:13" x14ac:dyDescent="0.25">
      <c r="A4343" s="2"/>
      <c r="D4343" s="2"/>
      <c r="G4343" s="2"/>
      <c r="J4343" s="2"/>
      <c r="M4343" s="2"/>
    </row>
    <row r="4344" spans="1:13" x14ac:dyDescent="0.25">
      <c r="A4344" s="2"/>
      <c r="D4344" s="2"/>
      <c r="G4344" s="2"/>
      <c r="J4344" s="2"/>
      <c r="M4344" s="2"/>
    </row>
    <row r="4345" spans="1:13" x14ac:dyDescent="0.25">
      <c r="A4345" s="2"/>
      <c r="D4345" s="2"/>
      <c r="G4345" s="2"/>
      <c r="J4345" s="2"/>
      <c r="M4345" s="2"/>
    </row>
    <row r="4346" spans="1:13" x14ac:dyDescent="0.25">
      <c r="A4346" s="2"/>
      <c r="D4346" s="2"/>
      <c r="G4346" s="2"/>
      <c r="J4346" s="2"/>
      <c r="M4346" s="2"/>
    </row>
    <row r="4347" spans="1:13" x14ac:dyDescent="0.25">
      <c r="A4347" s="2"/>
      <c r="D4347" s="2"/>
      <c r="G4347" s="2"/>
      <c r="J4347" s="2"/>
      <c r="M4347" s="2"/>
    </row>
    <row r="4348" spans="1:13" x14ac:dyDescent="0.25">
      <c r="A4348" s="2"/>
      <c r="D4348" s="2"/>
      <c r="G4348" s="2"/>
      <c r="J4348" s="2"/>
      <c r="M4348" s="2"/>
    </row>
    <row r="4349" spans="1:13" x14ac:dyDescent="0.25">
      <c r="A4349" s="2"/>
      <c r="D4349" s="2"/>
      <c r="G4349" s="2"/>
      <c r="J4349" s="2"/>
      <c r="M4349" s="2"/>
    </row>
    <row r="4350" spans="1:13" x14ac:dyDescent="0.25">
      <c r="A4350" s="2"/>
      <c r="D4350" s="2"/>
      <c r="G4350" s="2"/>
      <c r="J4350" s="2"/>
      <c r="M4350" s="2"/>
    </row>
    <row r="4351" spans="1:13" x14ac:dyDescent="0.25">
      <c r="A4351" s="2"/>
      <c r="D4351" s="2"/>
      <c r="G4351" s="2"/>
      <c r="J4351" s="2"/>
      <c r="M4351" s="2"/>
    </row>
    <row r="4352" spans="1:13" x14ac:dyDescent="0.25">
      <c r="A4352" s="2"/>
      <c r="D4352" s="2"/>
      <c r="G4352" s="2"/>
      <c r="J4352" s="2"/>
      <c r="M4352" s="2"/>
    </row>
    <row r="4353" spans="1:13" x14ac:dyDescent="0.25">
      <c r="A4353" s="2"/>
      <c r="D4353" s="2"/>
      <c r="G4353" s="2"/>
      <c r="J4353" s="2"/>
      <c r="M4353" s="2"/>
    </row>
    <row r="4354" spans="1:13" x14ac:dyDescent="0.25">
      <c r="A4354" s="2"/>
      <c r="D4354" s="2"/>
      <c r="G4354" s="2"/>
      <c r="J4354" s="2"/>
      <c r="M4354" s="2"/>
    </row>
    <row r="4355" spans="1:13" x14ac:dyDescent="0.25">
      <c r="A4355" s="2"/>
      <c r="D4355" s="2"/>
      <c r="G4355" s="2"/>
      <c r="J4355" s="2"/>
      <c r="M4355" s="2"/>
    </row>
    <row r="4356" spans="1:13" x14ac:dyDescent="0.25">
      <c r="A4356" s="2"/>
      <c r="D4356" s="2"/>
      <c r="G4356" s="2"/>
      <c r="J4356" s="2"/>
      <c r="M4356" s="2"/>
    </row>
    <row r="4357" spans="1:13" x14ac:dyDescent="0.25">
      <c r="A4357" s="2"/>
      <c r="D4357" s="2"/>
      <c r="G4357" s="2"/>
      <c r="J4357" s="2"/>
      <c r="M4357" s="2"/>
    </row>
    <row r="4358" spans="1:13" x14ac:dyDescent="0.25">
      <c r="A4358" s="2"/>
      <c r="D4358" s="2"/>
      <c r="G4358" s="2"/>
      <c r="J4358" s="2"/>
      <c r="M4358" s="2"/>
    </row>
    <row r="4359" spans="1:13" x14ac:dyDescent="0.25">
      <c r="A4359" s="2"/>
      <c r="D4359" s="2"/>
      <c r="G4359" s="2"/>
      <c r="J4359" s="2"/>
      <c r="M4359" s="2"/>
    </row>
    <row r="4360" spans="1:13" x14ac:dyDescent="0.25">
      <c r="A4360" s="2"/>
      <c r="D4360" s="2"/>
      <c r="G4360" s="2"/>
      <c r="J4360" s="2"/>
      <c r="M4360" s="2"/>
    </row>
    <row r="4361" spans="1:13" x14ac:dyDescent="0.25">
      <c r="A4361" s="2"/>
      <c r="D4361" s="2"/>
      <c r="G4361" s="2"/>
      <c r="J4361" s="2"/>
      <c r="M4361" s="2"/>
    </row>
    <row r="4362" spans="1:13" x14ac:dyDescent="0.25">
      <c r="A4362" s="2"/>
      <c r="D4362" s="2"/>
      <c r="G4362" s="2"/>
      <c r="J4362" s="2"/>
      <c r="M4362" s="2"/>
    </row>
    <row r="4363" spans="1:13" x14ac:dyDescent="0.25">
      <c r="A4363" s="2"/>
      <c r="D4363" s="2"/>
      <c r="G4363" s="2"/>
      <c r="J4363" s="2"/>
      <c r="M4363" s="2"/>
    </row>
    <row r="4364" spans="1:13" x14ac:dyDescent="0.25">
      <c r="A4364" s="2"/>
      <c r="D4364" s="2"/>
      <c r="G4364" s="2"/>
      <c r="J4364" s="2"/>
      <c r="M4364" s="2"/>
    </row>
    <row r="4365" spans="1:13" x14ac:dyDescent="0.25">
      <c r="A4365" s="2"/>
      <c r="D4365" s="2"/>
      <c r="G4365" s="2"/>
      <c r="J4365" s="2"/>
      <c r="M4365" s="2"/>
    </row>
    <row r="4366" spans="1:13" x14ac:dyDescent="0.25">
      <c r="A4366" s="2"/>
      <c r="D4366" s="2"/>
      <c r="G4366" s="2"/>
      <c r="J4366" s="2"/>
      <c r="M4366" s="2"/>
    </row>
    <row r="4367" spans="1:13" x14ac:dyDescent="0.25">
      <c r="A4367" s="2"/>
      <c r="D4367" s="2"/>
      <c r="G4367" s="2"/>
      <c r="J4367" s="2"/>
      <c r="M4367" s="2"/>
    </row>
    <row r="4368" spans="1:13" x14ac:dyDescent="0.25">
      <c r="A4368" s="2"/>
      <c r="D4368" s="2"/>
      <c r="G4368" s="2"/>
      <c r="J4368" s="2"/>
      <c r="M4368" s="2"/>
    </row>
    <row r="4369" spans="1:13" x14ac:dyDescent="0.25">
      <c r="A4369" s="2"/>
      <c r="D4369" s="2"/>
      <c r="G4369" s="2"/>
      <c r="J4369" s="2"/>
      <c r="M4369" s="2"/>
    </row>
    <row r="4370" spans="1:13" x14ac:dyDescent="0.25">
      <c r="A4370" s="2"/>
      <c r="D4370" s="2"/>
      <c r="G4370" s="2"/>
      <c r="J4370" s="2"/>
      <c r="M4370" s="2"/>
    </row>
    <row r="4371" spans="1:13" x14ac:dyDescent="0.25">
      <c r="A4371" s="2"/>
      <c r="D4371" s="2"/>
      <c r="G4371" s="2"/>
      <c r="J4371" s="2"/>
      <c r="M4371" s="2"/>
    </row>
    <row r="4372" spans="1:13" x14ac:dyDescent="0.25">
      <c r="A4372" s="2"/>
      <c r="D4372" s="2"/>
      <c r="G4372" s="2"/>
      <c r="J4372" s="2"/>
      <c r="M4372" s="2"/>
    </row>
    <row r="4373" spans="1:13" x14ac:dyDescent="0.25">
      <c r="A4373" s="2"/>
      <c r="D4373" s="2"/>
      <c r="G4373" s="2"/>
      <c r="J4373" s="2"/>
      <c r="M4373" s="2"/>
    </row>
    <row r="4374" spans="1:13" x14ac:dyDescent="0.25">
      <c r="A4374" s="2"/>
      <c r="D4374" s="2"/>
      <c r="G4374" s="2"/>
      <c r="J4374" s="2"/>
      <c r="M4374" s="2"/>
    </row>
    <row r="4375" spans="1:13" x14ac:dyDescent="0.25">
      <c r="A4375" s="2"/>
      <c r="D4375" s="2"/>
      <c r="G4375" s="2"/>
      <c r="J4375" s="2"/>
      <c r="M4375" s="2"/>
    </row>
    <row r="4376" spans="1:13" x14ac:dyDescent="0.25">
      <c r="A4376" s="2"/>
      <c r="D4376" s="2"/>
      <c r="G4376" s="2"/>
      <c r="J4376" s="2"/>
      <c r="M4376" s="2"/>
    </row>
    <row r="4377" spans="1:13" x14ac:dyDescent="0.25">
      <c r="A4377" s="2"/>
      <c r="D4377" s="2"/>
      <c r="G4377" s="2"/>
      <c r="J4377" s="2"/>
      <c r="M4377" s="2"/>
    </row>
    <row r="4378" spans="1:13" x14ac:dyDescent="0.25">
      <c r="A4378" s="2"/>
      <c r="D4378" s="2"/>
      <c r="G4378" s="2"/>
      <c r="J4378" s="2"/>
      <c r="M4378" s="2"/>
    </row>
    <row r="4379" spans="1:13" x14ac:dyDescent="0.25">
      <c r="A4379" s="2"/>
      <c r="D4379" s="2"/>
      <c r="G4379" s="2"/>
      <c r="J4379" s="2"/>
      <c r="M4379" s="2"/>
    </row>
    <row r="4380" spans="1:13" x14ac:dyDescent="0.25">
      <c r="A4380" s="2"/>
      <c r="D4380" s="2"/>
      <c r="G4380" s="2"/>
      <c r="J4380" s="2"/>
      <c r="M4380" s="2"/>
    </row>
    <row r="4381" spans="1:13" x14ac:dyDescent="0.25">
      <c r="A4381" s="2"/>
      <c r="D4381" s="2"/>
      <c r="G4381" s="2"/>
      <c r="J4381" s="2"/>
      <c r="M4381" s="2"/>
    </row>
    <row r="4382" spans="1:13" x14ac:dyDescent="0.25">
      <c r="A4382" s="2"/>
      <c r="D4382" s="2"/>
      <c r="G4382" s="2"/>
      <c r="J4382" s="2"/>
      <c r="M4382" s="2"/>
    </row>
    <row r="4383" spans="1:13" x14ac:dyDescent="0.25">
      <c r="A4383" s="2"/>
      <c r="D4383" s="2"/>
      <c r="G4383" s="2"/>
      <c r="J4383" s="2"/>
      <c r="M4383" s="2"/>
    </row>
    <row r="4384" spans="1:13" x14ac:dyDescent="0.25">
      <c r="A4384" s="2"/>
      <c r="D4384" s="2"/>
      <c r="G4384" s="2"/>
      <c r="J4384" s="2"/>
      <c r="M4384" s="2"/>
    </row>
    <row r="4385" spans="1:13" x14ac:dyDescent="0.25">
      <c r="A4385" s="2"/>
      <c r="D4385" s="2"/>
      <c r="G4385" s="2"/>
      <c r="J4385" s="2"/>
      <c r="M4385" s="2"/>
    </row>
    <row r="4386" spans="1:13" x14ac:dyDescent="0.25">
      <c r="A4386" s="2"/>
      <c r="D4386" s="2"/>
      <c r="G4386" s="2"/>
      <c r="J4386" s="2"/>
      <c r="M4386" s="2"/>
    </row>
    <row r="4387" spans="1:13" x14ac:dyDescent="0.25">
      <c r="A4387" s="2"/>
      <c r="D4387" s="2"/>
      <c r="G4387" s="2"/>
      <c r="J4387" s="2"/>
      <c r="M4387" s="2"/>
    </row>
    <row r="4388" spans="1:13" x14ac:dyDescent="0.25">
      <c r="A4388" s="2"/>
      <c r="D4388" s="2"/>
      <c r="G4388" s="2"/>
      <c r="J4388" s="2"/>
      <c r="M4388" s="2"/>
    </row>
    <row r="4389" spans="1:13" x14ac:dyDescent="0.25">
      <c r="A4389" s="2"/>
      <c r="D4389" s="2"/>
      <c r="G4389" s="2"/>
      <c r="J4389" s="2"/>
      <c r="M4389" s="2"/>
    </row>
    <row r="4390" spans="1:13" x14ac:dyDescent="0.25">
      <c r="A4390" s="2"/>
      <c r="D4390" s="2"/>
      <c r="G4390" s="2"/>
      <c r="J4390" s="2"/>
      <c r="M4390" s="2"/>
    </row>
    <row r="4391" spans="1:13" x14ac:dyDescent="0.25">
      <c r="A4391" s="2"/>
      <c r="D4391" s="2"/>
      <c r="G4391" s="2"/>
      <c r="J4391" s="2"/>
      <c r="M4391" s="2"/>
    </row>
    <row r="4392" spans="1:13" x14ac:dyDescent="0.25">
      <c r="A4392" s="2"/>
      <c r="D4392" s="2"/>
      <c r="G4392" s="2"/>
      <c r="J4392" s="2"/>
      <c r="M4392" s="2"/>
    </row>
    <row r="4393" spans="1:13" x14ac:dyDescent="0.25">
      <c r="A4393" s="2"/>
      <c r="D4393" s="2"/>
      <c r="G4393" s="2"/>
      <c r="J4393" s="2"/>
      <c r="M4393" s="2"/>
    </row>
    <row r="4394" spans="1:13" x14ac:dyDescent="0.25">
      <c r="A4394" s="2"/>
      <c r="D4394" s="2"/>
      <c r="G4394" s="2"/>
      <c r="J4394" s="2"/>
      <c r="M4394" s="2"/>
    </row>
    <row r="4395" spans="1:13" x14ac:dyDescent="0.25">
      <c r="A4395" s="2"/>
      <c r="D4395" s="2"/>
      <c r="G4395" s="2"/>
      <c r="J4395" s="2"/>
      <c r="M4395" s="2"/>
    </row>
    <row r="4396" spans="1:13" x14ac:dyDescent="0.25">
      <c r="A4396" s="2"/>
      <c r="D4396" s="2"/>
      <c r="G4396" s="2"/>
      <c r="J4396" s="2"/>
      <c r="M4396" s="2"/>
    </row>
    <row r="4397" spans="1:13" x14ac:dyDescent="0.25">
      <c r="A4397" s="2"/>
      <c r="D4397" s="2"/>
      <c r="G4397" s="2"/>
      <c r="J4397" s="2"/>
      <c r="M4397" s="2"/>
    </row>
    <row r="4398" spans="1:13" x14ac:dyDescent="0.25">
      <c r="A4398" s="2"/>
      <c r="D4398" s="2"/>
      <c r="G4398" s="2"/>
      <c r="J4398" s="2"/>
      <c r="M4398" s="2"/>
    </row>
    <row r="4399" spans="1:13" x14ac:dyDescent="0.25">
      <c r="A4399" s="2"/>
      <c r="D4399" s="2"/>
      <c r="G4399" s="2"/>
      <c r="J4399" s="2"/>
      <c r="M4399" s="2"/>
    </row>
    <row r="4400" spans="1:13" x14ac:dyDescent="0.25">
      <c r="A4400" s="2"/>
      <c r="D4400" s="2"/>
      <c r="G4400" s="2"/>
      <c r="J4400" s="2"/>
      <c r="M4400" s="2"/>
    </row>
    <row r="4401" spans="1:13" x14ac:dyDescent="0.25">
      <c r="A4401" s="2"/>
      <c r="D4401" s="2"/>
      <c r="G4401" s="2"/>
      <c r="J4401" s="2"/>
      <c r="M4401" s="2"/>
    </row>
    <row r="4402" spans="1:13" x14ac:dyDescent="0.25">
      <c r="A4402" s="2"/>
      <c r="D4402" s="2"/>
      <c r="G4402" s="2"/>
      <c r="J4402" s="2"/>
      <c r="M4402" s="2"/>
    </row>
    <row r="4403" spans="1:13" x14ac:dyDescent="0.25">
      <c r="A4403" s="2"/>
      <c r="D4403" s="2"/>
      <c r="G4403" s="2"/>
      <c r="J4403" s="2"/>
      <c r="M4403" s="2"/>
    </row>
    <row r="4404" spans="1:13" x14ac:dyDescent="0.25">
      <c r="A4404" s="2"/>
      <c r="D4404" s="2"/>
      <c r="G4404" s="2"/>
      <c r="J4404" s="2"/>
      <c r="M4404" s="2"/>
    </row>
    <row r="4405" spans="1:13" x14ac:dyDescent="0.25">
      <c r="A4405" s="2"/>
      <c r="D4405" s="2"/>
      <c r="G4405" s="2"/>
      <c r="J4405" s="2"/>
      <c r="M4405" s="2"/>
    </row>
    <row r="4406" spans="1:13" x14ac:dyDescent="0.25">
      <c r="A4406" s="2"/>
      <c r="D4406" s="2"/>
      <c r="G4406" s="2"/>
      <c r="J4406" s="2"/>
      <c r="M4406" s="2"/>
    </row>
    <row r="4407" spans="1:13" x14ac:dyDescent="0.25">
      <c r="A4407" s="2"/>
      <c r="D4407" s="2"/>
      <c r="G4407" s="2"/>
      <c r="J4407" s="2"/>
      <c r="M4407" s="2"/>
    </row>
    <row r="4408" spans="1:13" x14ac:dyDescent="0.25">
      <c r="A4408" s="2"/>
      <c r="D4408" s="2"/>
      <c r="G4408" s="2"/>
      <c r="J4408" s="2"/>
      <c r="M4408" s="2"/>
    </row>
    <row r="4409" spans="1:13" x14ac:dyDescent="0.25">
      <c r="A4409" s="2"/>
      <c r="D4409" s="2"/>
      <c r="G4409" s="2"/>
      <c r="J4409" s="2"/>
      <c r="M4409" s="2"/>
    </row>
    <row r="4410" spans="1:13" x14ac:dyDescent="0.25">
      <c r="A4410" s="2"/>
      <c r="D4410" s="2"/>
      <c r="G4410" s="2"/>
      <c r="J4410" s="2"/>
      <c r="M4410" s="2"/>
    </row>
    <row r="4411" spans="1:13" x14ac:dyDescent="0.25">
      <c r="A4411" s="2"/>
      <c r="D4411" s="2"/>
      <c r="G4411" s="2"/>
      <c r="J4411" s="2"/>
      <c r="M4411" s="2"/>
    </row>
    <row r="4412" spans="1:13" x14ac:dyDescent="0.25">
      <c r="A4412" s="2"/>
      <c r="D4412" s="2"/>
      <c r="G4412" s="2"/>
      <c r="J4412" s="2"/>
      <c r="M4412" s="2"/>
    </row>
    <row r="4413" spans="1:13" x14ac:dyDescent="0.25">
      <c r="A4413" s="2"/>
      <c r="D4413" s="2"/>
      <c r="G4413" s="2"/>
      <c r="J4413" s="2"/>
      <c r="M4413" s="2"/>
    </row>
    <row r="4414" spans="1:13" x14ac:dyDescent="0.25">
      <c r="A4414" s="2"/>
      <c r="D4414" s="2"/>
      <c r="G4414" s="2"/>
      <c r="J4414" s="2"/>
      <c r="M4414" s="2"/>
    </row>
    <row r="4415" spans="1:13" x14ac:dyDescent="0.25">
      <c r="A4415" s="2"/>
      <c r="D4415" s="2"/>
      <c r="G4415" s="2"/>
      <c r="J4415" s="2"/>
      <c r="M4415" s="2"/>
    </row>
    <row r="4416" spans="1:13" x14ac:dyDescent="0.25">
      <c r="A4416" s="2"/>
      <c r="D4416" s="2"/>
      <c r="G4416" s="2"/>
      <c r="J4416" s="2"/>
      <c r="M4416" s="2"/>
    </row>
    <row r="4417" spans="1:13" x14ac:dyDescent="0.25">
      <c r="A4417" s="2"/>
      <c r="D4417" s="2"/>
      <c r="G4417" s="2"/>
      <c r="J4417" s="2"/>
      <c r="M4417" s="2"/>
    </row>
    <row r="4418" spans="1:13" x14ac:dyDescent="0.25">
      <c r="A4418" s="2"/>
      <c r="D4418" s="2"/>
      <c r="G4418" s="2"/>
      <c r="J4418" s="2"/>
      <c r="M4418" s="2"/>
    </row>
    <row r="4419" spans="1:13" x14ac:dyDescent="0.25">
      <c r="A4419" s="2"/>
      <c r="D4419" s="2"/>
      <c r="G4419" s="2"/>
      <c r="J4419" s="2"/>
      <c r="M4419" s="2"/>
    </row>
    <row r="4420" spans="1:13" x14ac:dyDescent="0.25">
      <c r="A4420" s="2"/>
      <c r="D4420" s="2"/>
      <c r="G4420" s="2"/>
      <c r="J4420" s="2"/>
      <c r="M4420" s="2"/>
    </row>
    <row r="4421" spans="1:13" x14ac:dyDescent="0.25">
      <c r="A4421" s="2"/>
      <c r="D4421" s="2"/>
      <c r="G4421" s="2"/>
      <c r="J4421" s="2"/>
      <c r="M4421" s="2"/>
    </row>
    <row r="4422" spans="1:13" x14ac:dyDescent="0.25">
      <c r="A4422" s="2"/>
      <c r="D4422" s="2"/>
      <c r="G4422" s="2"/>
      <c r="J4422" s="2"/>
      <c r="M4422" s="2"/>
    </row>
    <row r="4423" spans="1:13" x14ac:dyDescent="0.25">
      <c r="A4423" s="2"/>
      <c r="D4423" s="2"/>
      <c r="G4423" s="2"/>
      <c r="J4423" s="2"/>
      <c r="M4423" s="2"/>
    </row>
    <row r="4424" spans="1:13" x14ac:dyDescent="0.25">
      <c r="A4424" s="2"/>
      <c r="D4424" s="2"/>
      <c r="G4424" s="2"/>
      <c r="J4424" s="2"/>
      <c r="M4424" s="2"/>
    </row>
    <row r="4425" spans="1:13" x14ac:dyDescent="0.25">
      <c r="A4425" s="2"/>
      <c r="D4425" s="2"/>
      <c r="G4425" s="2"/>
      <c r="J4425" s="2"/>
      <c r="M4425" s="2"/>
    </row>
    <row r="4426" spans="1:13" x14ac:dyDescent="0.25">
      <c r="A4426" s="2"/>
      <c r="D4426" s="2"/>
      <c r="G4426" s="2"/>
      <c r="J4426" s="2"/>
      <c r="M4426" s="2"/>
    </row>
    <row r="4427" spans="1:13" x14ac:dyDescent="0.25">
      <c r="A4427" s="2"/>
      <c r="D4427" s="2"/>
      <c r="G4427" s="2"/>
      <c r="J4427" s="2"/>
      <c r="M4427" s="2"/>
    </row>
    <row r="4428" spans="1:13" x14ac:dyDescent="0.25">
      <c r="A4428" s="2"/>
      <c r="D4428" s="2"/>
      <c r="G4428" s="2"/>
      <c r="J4428" s="2"/>
      <c r="M4428" s="2"/>
    </row>
    <row r="4429" spans="1:13" x14ac:dyDescent="0.25">
      <c r="A4429" s="2"/>
      <c r="D4429" s="2"/>
      <c r="G4429" s="2"/>
      <c r="J4429" s="2"/>
      <c r="M4429" s="2"/>
    </row>
    <row r="4430" spans="1:13" x14ac:dyDescent="0.25">
      <c r="A4430" s="2"/>
      <c r="D4430" s="2"/>
      <c r="G4430" s="2"/>
      <c r="J4430" s="2"/>
      <c r="M4430" s="2"/>
    </row>
    <row r="4431" spans="1:13" x14ac:dyDescent="0.25">
      <c r="A4431" s="2"/>
      <c r="D4431" s="2"/>
      <c r="G4431" s="2"/>
      <c r="J4431" s="2"/>
      <c r="M4431" s="2"/>
    </row>
    <row r="4432" spans="1:13" x14ac:dyDescent="0.25">
      <c r="A4432" s="2"/>
      <c r="D4432" s="2"/>
      <c r="G4432" s="2"/>
      <c r="J4432" s="2"/>
      <c r="M4432" s="2"/>
    </row>
    <row r="4433" spans="1:13" x14ac:dyDescent="0.25">
      <c r="A4433" s="2"/>
      <c r="D4433" s="2"/>
      <c r="G4433" s="2"/>
      <c r="J4433" s="2"/>
      <c r="M4433" s="2"/>
    </row>
    <row r="4434" spans="1:13" x14ac:dyDescent="0.25">
      <c r="A4434" s="2"/>
      <c r="D4434" s="2"/>
      <c r="G4434" s="2"/>
      <c r="J4434" s="2"/>
      <c r="M4434" s="2"/>
    </row>
    <row r="4435" spans="1:13" x14ac:dyDescent="0.25">
      <c r="A4435" s="2"/>
      <c r="D4435" s="2"/>
      <c r="G4435" s="2"/>
      <c r="J4435" s="2"/>
      <c r="M4435" s="2"/>
    </row>
    <row r="4436" spans="1:13" x14ac:dyDescent="0.25">
      <c r="A4436" s="2"/>
      <c r="D4436" s="2"/>
      <c r="G4436" s="2"/>
      <c r="J4436" s="2"/>
      <c r="M4436" s="2"/>
    </row>
    <row r="4437" spans="1:13" x14ac:dyDescent="0.25">
      <c r="A4437" s="2"/>
      <c r="D4437" s="2"/>
      <c r="G4437" s="2"/>
      <c r="J4437" s="2"/>
      <c r="M4437" s="2"/>
    </row>
    <row r="4438" spans="1:13" x14ac:dyDescent="0.25">
      <c r="A4438" s="2"/>
      <c r="D4438" s="2"/>
      <c r="G4438" s="2"/>
      <c r="J4438" s="2"/>
      <c r="M4438" s="2"/>
    </row>
    <row r="4439" spans="1:13" x14ac:dyDescent="0.25">
      <c r="A4439" s="2"/>
      <c r="D4439" s="2"/>
      <c r="G4439" s="2"/>
      <c r="J4439" s="2"/>
      <c r="M4439" s="2"/>
    </row>
    <row r="4440" spans="1:13" x14ac:dyDescent="0.25">
      <c r="A4440" s="2"/>
      <c r="D4440" s="2"/>
      <c r="G4440" s="2"/>
      <c r="J4440" s="2"/>
      <c r="M4440" s="2"/>
    </row>
    <row r="4441" spans="1:13" x14ac:dyDescent="0.25">
      <c r="A4441" s="2"/>
      <c r="D4441" s="2"/>
      <c r="G4441" s="2"/>
      <c r="J4441" s="2"/>
      <c r="M4441" s="2"/>
    </row>
    <row r="4442" spans="1:13" x14ac:dyDescent="0.25">
      <c r="A4442" s="2"/>
      <c r="D4442" s="2"/>
      <c r="G4442" s="2"/>
      <c r="J4442" s="2"/>
      <c r="M4442" s="2"/>
    </row>
    <row r="4443" spans="1:13" x14ac:dyDescent="0.25">
      <c r="A4443" s="2"/>
      <c r="D4443" s="2"/>
      <c r="G4443" s="2"/>
      <c r="J4443" s="2"/>
      <c r="M4443" s="2"/>
    </row>
    <row r="4444" spans="1:13" x14ac:dyDescent="0.25">
      <c r="A4444" s="2"/>
      <c r="D4444" s="2"/>
      <c r="G4444" s="2"/>
      <c r="J4444" s="2"/>
      <c r="M4444" s="2"/>
    </row>
    <row r="4445" spans="1:13" x14ac:dyDescent="0.25">
      <c r="A4445" s="2"/>
      <c r="D4445" s="2"/>
      <c r="G4445" s="2"/>
      <c r="J4445" s="2"/>
      <c r="M4445" s="2"/>
    </row>
    <row r="4446" spans="1:13" x14ac:dyDescent="0.25">
      <c r="A4446" s="2"/>
      <c r="D4446" s="2"/>
      <c r="G4446" s="2"/>
      <c r="J4446" s="2"/>
      <c r="M4446" s="2"/>
    </row>
    <row r="4447" spans="1:13" x14ac:dyDescent="0.25">
      <c r="A4447" s="2"/>
      <c r="D4447" s="2"/>
      <c r="G4447" s="2"/>
      <c r="J4447" s="2"/>
      <c r="M4447" s="2"/>
    </row>
    <row r="4448" spans="1:13" x14ac:dyDescent="0.25">
      <c r="A4448" s="2"/>
      <c r="D4448" s="2"/>
      <c r="G4448" s="2"/>
      <c r="J4448" s="2"/>
      <c r="M4448" s="2"/>
    </row>
    <row r="4449" spans="1:13" x14ac:dyDescent="0.25">
      <c r="A4449" s="2"/>
      <c r="D4449" s="2"/>
      <c r="G4449" s="2"/>
      <c r="J4449" s="2"/>
      <c r="M4449" s="2"/>
    </row>
    <row r="4450" spans="1:13" x14ac:dyDescent="0.25">
      <c r="A4450" s="2"/>
      <c r="D4450" s="2"/>
      <c r="G4450" s="2"/>
      <c r="J4450" s="2"/>
      <c r="M4450" s="2"/>
    </row>
    <row r="4451" spans="1:13" x14ac:dyDescent="0.25">
      <c r="A4451" s="2"/>
      <c r="D4451" s="2"/>
      <c r="G4451" s="2"/>
      <c r="J4451" s="2"/>
      <c r="M4451" s="2"/>
    </row>
    <row r="4452" spans="1:13" x14ac:dyDescent="0.25">
      <c r="A4452" s="2"/>
      <c r="D4452" s="2"/>
      <c r="G4452" s="2"/>
      <c r="J4452" s="2"/>
      <c r="M4452" s="2"/>
    </row>
    <row r="4453" spans="1:13" x14ac:dyDescent="0.25">
      <c r="A4453" s="2"/>
      <c r="D4453" s="2"/>
      <c r="G4453" s="2"/>
      <c r="J4453" s="2"/>
      <c r="M4453" s="2"/>
    </row>
    <row r="4454" spans="1:13" x14ac:dyDescent="0.25">
      <c r="A4454" s="2"/>
      <c r="D4454" s="2"/>
      <c r="G4454" s="2"/>
      <c r="J4454" s="2"/>
      <c r="M4454" s="2"/>
    </row>
    <row r="4455" spans="1:13" x14ac:dyDescent="0.25">
      <c r="A4455" s="2"/>
      <c r="D4455" s="2"/>
      <c r="G4455" s="2"/>
      <c r="J4455" s="2"/>
      <c r="M4455" s="2"/>
    </row>
    <row r="4456" spans="1:13" x14ac:dyDescent="0.25">
      <c r="A4456" s="2"/>
      <c r="D4456" s="2"/>
      <c r="G4456" s="2"/>
      <c r="J4456" s="2"/>
      <c r="M4456" s="2"/>
    </row>
    <row r="4457" spans="1:13" x14ac:dyDescent="0.25">
      <c r="A4457" s="2"/>
      <c r="D4457" s="2"/>
      <c r="G4457" s="2"/>
      <c r="J4457" s="2"/>
      <c r="M4457" s="2"/>
    </row>
    <row r="4458" spans="1:13" x14ac:dyDescent="0.25">
      <c r="A4458" s="2"/>
      <c r="D4458" s="2"/>
      <c r="G4458" s="2"/>
      <c r="J4458" s="2"/>
      <c r="M4458" s="2"/>
    </row>
    <row r="4459" spans="1:13" x14ac:dyDescent="0.25">
      <c r="A4459" s="2"/>
      <c r="D4459" s="2"/>
      <c r="G4459" s="2"/>
      <c r="J4459" s="2"/>
      <c r="M4459" s="2"/>
    </row>
    <row r="4460" spans="1:13" x14ac:dyDescent="0.25">
      <c r="A4460" s="2"/>
      <c r="D4460" s="2"/>
      <c r="G4460" s="2"/>
      <c r="J4460" s="2"/>
      <c r="M4460" s="2"/>
    </row>
    <row r="4461" spans="1:13" x14ac:dyDescent="0.25">
      <c r="A4461" s="2"/>
      <c r="D4461" s="2"/>
      <c r="G4461" s="2"/>
      <c r="J4461" s="2"/>
      <c r="M4461" s="2"/>
    </row>
    <row r="4462" spans="1:13" x14ac:dyDescent="0.25">
      <c r="A4462" s="2"/>
      <c r="D4462" s="2"/>
      <c r="G4462" s="2"/>
      <c r="J4462" s="2"/>
      <c r="M4462" s="2"/>
    </row>
    <row r="4463" spans="1:13" x14ac:dyDescent="0.25">
      <c r="A4463" s="2"/>
      <c r="D4463" s="2"/>
      <c r="G4463" s="2"/>
      <c r="J4463" s="2"/>
      <c r="M4463" s="2"/>
    </row>
    <row r="4464" spans="1:13" x14ac:dyDescent="0.25">
      <c r="A4464" s="2"/>
      <c r="D4464" s="2"/>
      <c r="G4464" s="2"/>
      <c r="J4464" s="2"/>
      <c r="M4464" s="2"/>
    </row>
    <row r="4465" spans="1:13" x14ac:dyDescent="0.25">
      <c r="A4465" s="2"/>
      <c r="D4465" s="2"/>
      <c r="G4465" s="2"/>
      <c r="J4465" s="2"/>
      <c r="M4465" s="2"/>
    </row>
    <row r="4466" spans="1:13" x14ac:dyDescent="0.25">
      <c r="A4466" s="2"/>
      <c r="D4466" s="2"/>
      <c r="G4466" s="2"/>
      <c r="J4466" s="2"/>
      <c r="M4466" s="2"/>
    </row>
    <row r="4467" spans="1:13" x14ac:dyDescent="0.25">
      <c r="A4467" s="2"/>
      <c r="D4467" s="2"/>
      <c r="G4467" s="2"/>
      <c r="J4467" s="2"/>
      <c r="M4467" s="2"/>
    </row>
    <row r="4468" spans="1:13" x14ac:dyDescent="0.25">
      <c r="A4468" s="2"/>
      <c r="D4468" s="2"/>
      <c r="G4468" s="2"/>
      <c r="J4468" s="2"/>
      <c r="M4468" s="2"/>
    </row>
    <row r="4469" spans="1:13" x14ac:dyDescent="0.25">
      <c r="A4469" s="2"/>
      <c r="D4469" s="2"/>
      <c r="G4469" s="2"/>
      <c r="J4469" s="2"/>
      <c r="M4469" s="2"/>
    </row>
    <row r="4470" spans="1:13" x14ac:dyDescent="0.25">
      <c r="A4470" s="2"/>
      <c r="D4470" s="2"/>
      <c r="G4470" s="2"/>
      <c r="J4470" s="2"/>
      <c r="M4470" s="2"/>
    </row>
    <row r="4471" spans="1:13" x14ac:dyDescent="0.25">
      <c r="A4471" s="2"/>
      <c r="D4471" s="2"/>
      <c r="G4471" s="2"/>
      <c r="J4471" s="2"/>
      <c r="M4471" s="2"/>
    </row>
    <row r="4472" spans="1:13" x14ac:dyDescent="0.25">
      <c r="A4472" s="2"/>
      <c r="D4472" s="2"/>
      <c r="G4472" s="2"/>
      <c r="J4472" s="2"/>
      <c r="M4472" s="2"/>
    </row>
    <row r="4473" spans="1:13" x14ac:dyDescent="0.25">
      <c r="A4473" s="2"/>
      <c r="D4473" s="2"/>
      <c r="G4473" s="2"/>
      <c r="J4473" s="2"/>
      <c r="M4473" s="2"/>
    </row>
    <row r="4474" spans="1:13" x14ac:dyDescent="0.25">
      <c r="A4474" s="2"/>
      <c r="D4474" s="2"/>
      <c r="G4474" s="2"/>
      <c r="J4474" s="2"/>
      <c r="M4474" s="2"/>
    </row>
    <row r="4475" spans="1:13" x14ac:dyDescent="0.25">
      <c r="A4475" s="2"/>
      <c r="D4475" s="2"/>
      <c r="G4475" s="2"/>
      <c r="J4475" s="2"/>
      <c r="M4475" s="2"/>
    </row>
    <row r="4476" spans="1:13" x14ac:dyDescent="0.25">
      <c r="A4476" s="2"/>
      <c r="D4476" s="2"/>
      <c r="G4476" s="2"/>
      <c r="J4476" s="2"/>
      <c r="M4476" s="2"/>
    </row>
    <row r="4477" spans="1:13" x14ac:dyDescent="0.25">
      <c r="A4477" s="2"/>
      <c r="D4477" s="2"/>
      <c r="G4477" s="2"/>
      <c r="J4477" s="2"/>
      <c r="M4477" s="2"/>
    </row>
    <row r="4478" spans="1:13" x14ac:dyDescent="0.25">
      <c r="A4478" s="2"/>
      <c r="D4478" s="2"/>
      <c r="G4478" s="2"/>
      <c r="J4478" s="2"/>
      <c r="M4478" s="2"/>
    </row>
    <row r="4479" spans="1:13" x14ac:dyDescent="0.25">
      <c r="A4479" s="2"/>
      <c r="D4479" s="2"/>
      <c r="G4479" s="2"/>
      <c r="J4479" s="2"/>
      <c r="M4479" s="2"/>
    </row>
    <row r="4480" spans="1:13" x14ac:dyDescent="0.25">
      <c r="A4480" s="2"/>
      <c r="D4480" s="2"/>
      <c r="G4480" s="2"/>
      <c r="J4480" s="2"/>
      <c r="M4480" s="2"/>
    </row>
    <row r="4481" spans="1:13" x14ac:dyDescent="0.25">
      <c r="A4481" s="2"/>
      <c r="D4481" s="2"/>
      <c r="G4481" s="2"/>
      <c r="J4481" s="2"/>
      <c r="M4481" s="2"/>
    </row>
    <row r="4482" spans="1:13" x14ac:dyDescent="0.25">
      <c r="A4482" s="2"/>
      <c r="D4482" s="2"/>
      <c r="G4482" s="2"/>
      <c r="J4482" s="2"/>
      <c r="M4482" s="2"/>
    </row>
    <row r="4483" spans="1:13" x14ac:dyDescent="0.25">
      <c r="A4483" s="2"/>
      <c r="D4483" s="2"/>
      <c r="G4483" s="2"/>
      <c r="J4483" s="2"/>
      <c r="M4483" s="2"/>
    </row>
    <row r="4484" spans="1:13" x14ac:dyDescent="0.25">
      <c r="A4484" s="2"/>
      <c r="D4484" s="2"/>
      <c r="G4484" s="2"/>
      <c r="J4484" s="2"/>
      <c r="M4484" s="2"/>
    </row>
    <row r="4485" spans="1:13" x14ac:dyDescent="0.25">
      <c r="A4485" s="2"/>
      <c r="D4485" s="2"/>
      <c r="G4485" s="2"/>
      <c r="J4485" s="2"/>
      <c r="M4485" s="2"/>
    </row>
    <row r="4486" spans="1:13" x14ac:dyDescent="0.25">
      <c r="A4486" s="2"/>
      <c r="D4486" s="2"/>
      <c r="G4486" s="2"/>
      <c r="J4486" s="2"/>
      <c r="M4486" s="2"/>
    </row>
    <row r="4487" spans="1:13" x14ac:dyDescent="0.25">
      <c r="A4487" s="2"/>
      <c r="D4487" s="2"/>
      <c r="G4487" s="2"/>
      <c r="J4487" s="2"/>
      <c r="M4487" s="2"/>
    </row>
    <row r="4488" spans="1:13" x14ac:dyDescent="0.25">
      <c r="A4488" s="2"/>
      <c r="D4488" s="2"/>
      <c r="G4488" s="2"/>
      <c r="J4488" s="2"/>
      <c r="M4488" s="2"/>
    </row>
    <row r="4489" spans="1:13" x14ac:dyDescent="0.25">
      <c r="A4489" s="2"/>
      <c r="D4489" s="2"/>
      <c r="G4489" s="2"/>
      <c r="J4489" s="2"/>
      <c r="M4489" s="2"/>
    </row>
    <row r="4490" spans="1:13" x14ac:dyDescent="0.25">
      <c r="A4490" s="2"/>
      <c r="D4490" s="2"/>
      <c r="G4490" s="2"/>
      <c r="J4490" s="2"/>
      <c r="M4490" s="2"/>
    </row>
    <row r="4491" spans="1:13" x14ac:dyDescent="0.25">
      <c r="A4491" s="2"/>
      <c r="D4491" s="2"/>
      <c r="G4491" s="2"/>
      <c r="J4491" s="2"/>
      <c r="M4491" s="2"/>
    </row>
    <row r="4492" spans="1:13" x14ac:dyDescent="0.25">
      <c r="A4492" s="2"/>
      <c r="D4492" s="2"/>
      <c r="G4492" s="2"/>
      <c r="J4492" s="2"/>
      <c r="M4492" s="2"/>
    </row>
    <row r="4493" spans="1:13" x14ac:dyDescent="0.25">
      <c r="A4493" s="2"/>
      <c r="D4493" s="2"/>
      <c r="G4493" s="2"/>
      <c r="J4493" s="2"/>
      <c r="M4493" s="2"/>
    </row>
    <row r="4494" spans="1:13" x14ac:dyDescent="0.25">
      <c r="A4494" s="2"/>
      <c r="D4494" s="2"/>
      <c r="G4494" s="2"/>
      <c r="J4494" s="2"/>
      <c r="M4494" s="2"/>
    </row>
    <row r="4495" spans="1:13" x14ac:dyDescent="0.25">
      <c r="A4495" s="2"/>
      <c r="D4495" s="2"/>
      <c r="G4495" s="2"/>
      <c r="J4495" s="2"/>
      <c r="M4495" s="2"/>
    </row>
    <row r="4496" spans="1:13" x14ac:dyDescent="0.25">
      <c r="A4496" s="2"/>
      <c r="D4496" s="2"/>
      <c r="G4496" s="2"/>
      <c r="J4496" s="2"/>
      <c r="M4496" s="2"/>
    </row>
    <row r="4497" spans="1:13" x14ac:dyDescent="0.25">
      <c r="A4497" s="2"/>
      <c r="D4497" s="2"/>
      <c r="G4497" s="2"/>
      <c r="J4497" s="2"/>
      <c r="M4497" s="2"/>
    </row>
    <row r="4498" spans="1:13" x14ac:dyDescent="0.25">
      <c r="A4498" s="2"/>
      <c r="D4498" s="2"/>
      <c r="G4498" s="2"/>
      <c r="J4498" s="2"/>
      <c r="M4498" s="2"/>
    </row>
    <row r="4499" spans="1:13" x14ac:dyDescent="0.25">
      <c r="A4499" s="2"/>
      <c r="D4499" s="2"/>
      <c r="G4499" s="2"/>
      <c r="J4499" s="2"/>
      <c r="M4499" s="2"/>
    </row>
    <row r="4500" spans="1:13" x14ac:dyDescent="0.25">
      <c r="A4500" s="2"/>
      <c r="D4500" s="2"/>
      <c r="G4500" s="2"/>
      <c r="J4500" s="2"/>
      <c r="M4500" s="2"/>
    </row>
    <row r="4501" spans="1:13" x14ac:dyDescent="0.25">
      <c r="A4501" s="2"/>
      <c r="D4501" s="2"/>
      <c r="G4501" s="2"/>
      <c r="J4501" s="2"/>
      <c r="M4501" s="2"/>
    </row>
    <row r="4502" spans="1:13" x14ac:dyDescent="0.25">
      <c r="A4502" s="2"/>
      <c r="D4502" s="2"/>
      <c r="G4502" s="2"/>
      <c r="J4502" s="2"/>
      <c r="M4502" s="2"/>
    </row>
    <row r="4503" spans="1:13" x14ac:dyDescent="0.25">
      <c r="A4503" s="2"/>
      <c r="D4503" s="2"/>
      <c r="G4503" s="2"/>
      <c r="J4503" s="2"/>
      <c r="M4503" s="2"/>
    </row>
    <row r="4504" spans="1:13" x14ac:dyDescent="0.25">
      <c r="A4504" s="2"/>
      <c r="D4504" s="2"/>
      <c r="G4504" s="2"/>
      <c r="J4504" s="2"/>
      <c r="M4504" s="2"/>
    </row>
    <row r="4505" spans="1:13" x14ac:dyDescent="0.25">
      <c r="A4505" s="2"/>
      <c r="D4505" s="2"/>
      <c r="G4505" s="2"/>
      <c r="J4505" s="2"/>
      <c r="M4505" s="2"/>
    </row>
    <row r="4506" spans="1:13" x14ac:dyDescent="0.25">
      <c r="A4506" s="2"/>
      <c r="D4506" s="2"/>
      <c r="G4506" s="2"/>
      <c r="J4506" s="2"/>
      <c r="M4506" s="2"/>
    </row>
    <row r="4507" spans="1:13" x14ac:dyDescent="0.25">
      <c r="A4507" s="2"/>
      <c r="D4507" s="2"/>
      <c r="G4507" s="2"/>
      <c r="J4507" s="2"/>
      <c r="M4507" s="2"/>
    </row>
    <row r="4508" spans="1:13" x14ac:dyDescent="0.25">
      <c r="A4508" s="2"/>
      <c r="D4508" s="2"/>
      <c r="G4508" s="2"/>
      <c r="J4508" s="2"/>
      <c r="M4508" s="2"/>
    </row>
    <row r="4509" spans="1:13" x14ac:dyDescent="0.25">
      <c r="A4509" s="2"/>
      <c r="D4509" s="2"/>
      <c r="G4509" s="2"/>
      <c r="J4509" s="2"/>
      <c r="M4509" s="2"/>
    </row>
    <row r="4510" spans="1:13" x14ac:dyDescent="0.25">
      <c r="A4510" s="2"/>
      <c r="D4510" s="2"/>
      <c r="G4510" s="2"/>
      <c r="J4510" s="2"/>
      <c r="M4510" s="2"/>
    </row>
    <row r="4511" spans="1:13" x14ac:dyDescent="0.25">
      <c r="A4511" s="2"/>
      <c r="D4511" s="2"/>
      <c r="G4511" s="2"/>
      <c r="J4511" s="2"/>
      <c r="M4511" s="2"/>
    </row>
    <row r="4512" spans="1:13" x14ac:dyDescent="0.25">
      <c r="A4512" s="2"/>
      <c r="D4512" s="2"/>
      <c r="G4512" s="2"/>
      <c r="J4512" s="2"/>
      <c r="M4512" s="2"/>
    </row>
    <row r="4513" spans="1:13" x14ac:dyDescent="0.25">
      <c r="A4513" s="2"/>
      <c r="D4513" s="2"/>
      <c r="G4513" s="2"/>
      <c r="J4513" s="2"/>
      <c r="M4513" s="2"/>
    </row>
    <row r="4514" spans="1:13" x14ac:dyDescent="0.25">
      <c r="A4514" s="2"/>
      <c r="D4514" s="2"/>
      <c r="G4514" s="2"/>
      <c r="J4514" s="2"/>
      <c r="M4514" s="2"/>
    </row>
    <row r="4515" spans="1:13" x14ac:dyDescent="0.25">
      <c r="A4515" s="2"/>
      <c r="D4515" s="2"/>
      <c r="G4515" s="2"/>
      <c r="J4515" s="2"/>
      <c r="M4515" s="2"/>
    </row>
    <row r="4516" spans="1:13" x14ac:dyDescent="0.25">
      <c r="A4516" s="2"/>
      <c r="D4516" s="2"/>
      <c r="G4516" s="2"/>
      <c r="J4516" s="2"/>
      <c r="M4516" s="2"/>
    </row>
    <row r="4517" spans="1:13" x14ac:dyDescent="0.25">
      <c r="A4517" s="2"/>
      <c r="D4517" s="2"/>
      <c r="G4517" s="2"/>
      <c r="J4517" s="2"/>
      <c r="M4517" s="2"/>
    </row>
    <row r="4518" spans="1:13" x14ac:dyDescent="0.25">
      <c r="A4518" s="2"/>
      <c r="D4518" s="2"/>
      <c r="G4518" s="2"/>
      <c r="J4518" s="2"/>
      <c r="M4518" s="2"/>
    </row>
    <row r="4519" spans="1:13" x14ac:dyDescent="0.25">
      <c r="A4519" s="2"/>
      <c r="D4519" s="2"/>
      <c r="G4519" s="2"/>
      <c r="J4519" s="2"/>
      <c r="M4519" s="2"/>
    </row>
    <row r="4520" spans="1:13" x14ac:dyDescent="0.25">
      <c r="A4520" s="2"/>
      <c r="D4520" s="2"/>
      <c r="G4520" s="2"/>
      <c r="J4520" s="2"/>
      <c r="M4520" s="2"/>
    </row>
    <row r="4521" spans="1:13" x14ac:dyDescent="0.25">
      <c r="A4521" s="2"/>
      <c r="D4521" s="2"/>
      <c r="G4521" s="2"/>
      <c r="J4521" s="2"/>
      <c r="M4521" s="2"/>
    </row>
    <row r="4522" spans="1:13" x14ac:dyDescent="0.25">
      <c r="A4522" s="2"/>
      <c r="D4522" s="2"/>
      <c r="G4522" s="2"/>
      <c r="J4522" s="2"/>
      <c r="M4522" s="2"/>
    </row>
    <row r="4523" spans="1:13" x14ac:dyDescent="0.25">
      <c r="A4523" s="2"/>
      <c r="D4523" s="2"/>
      <c r="G4523" s="2"/>
      <c r="J4523" s="2"/>
      <c r="M4523" s="2"/>
    </row>
    <row r="4524" spans="1:13" x14ac:dyDescent="0.25">
      <c r="A4524" s="2"/>
      <c r="D4524" s="2"/>
      <c r="G4524" s="2"/>
      <c r="J4524" s="2"/>
      <c r="M4524" s="2"/>
    </row>
    <row r="4525" spans="1:13" x14ac:dyDescent="0.25">
      <c r="A4525" s="2"/>
      <c r="D4525" s="2"/>
      <c r="G4525" s="2"/>
      <c r="J4525" s="2"/>
      <c r="M4525" s="2"/>
    </row>
    <row r="4526" spans="1:13" x14ac:dyDescent="0.25">
      <c r="A4526" s="2"/>
      <c r="D4526" s="2"/>
      <c r="G4526" s="2"/>
      <c r="J4526" s="2"/>
      <c r="M4526" s="2"/>
    </row>
    <row r="4527" spans="1:13" x14ac:dyDescent="0.25">
      <c r="A4527" s="2"/>
      <c r="D4527" s="2"/>
      <c r="G4527" s="2"/>
      <c r="J4527" s="2"/>
      <c r="M4527" s="2"/>
    </row>
    <row r="4528" spans="1:13" x14ac:dyDescent="0.25">
      <c r="A4528" s="2"/>
      <c r="D4528" s="2"/>
      <c r="G4528" s="2"/>
      <c r="J4528" s="2"/>
      <c r="M4528" s="2"/>
    </row>
    <row r="4529" spans="1:13" x14ac:dyDescent="0.25">
      <c r="A4529" s="2"/>
      <c r="D4529" s="2"/>
      <c r="G4529" s="2"/>
      <c r="J4529" s="2"/>
      <c r="M4529" s="2"/>
    </row>
    <row r="4530" spans="1:13" x14ac:dyDescent="0.25">
      <c r="A4530" s="2"/>
      <c r="D4530" s="2"/>
      <c r="G4530" s="2"/>
      <c r="J4530" s="2"/>
      <c r="M4530" s="2"/>
    </row>
    <row r="4531" spans="1:13" x14ac:dyDescent="0.25">
      <c r="A4531" s="2"/>
      <c r="D4531" s="2"/>
      <c r="G4531" s="2"/>
      <c r="J4531" s="2"/>
      <c r="M4531" s="2"/>
    </row>
    <row r="4532" spans="1:13" x14ac:dyDescent="0.25">
      <c r="A4532" s="2"/>
      <c r="D4532" s="2"/>
      <c r="G4532" s="2"/>
      <c r="J4532" s="2"/>
      <c r="M4532" s="2"/>
    </row>
    <row r="4533" spans="1:13" x14ac:dyDescent="0.25">
      <c r="A4533" s="2"/>
      <c r="D4533" s="2"/>
      <c r="G4533" s="2"/>
      <c r="J4533" s="2"/>
      <c r="M4533" s="2"/>
    </row>
    <row r="4534" spans="1:13" x14ac:dyDescent="0.25">
      <c r="A4534" s="2"/>
      <c r="D4534" s="2"/>
      <c r="G4534" s="2"/>
      <c r="J4534" s="2"/>
      <c r="M4534" s="2"/>
    </row>
    <row r="4535" spans="1:13" x14ac:dyDescent="0.25">
      <c r="A4535" s="2"/>
      <c r="D4535" s="2"/>
      <c r="G4535" s="2"/>
      <c r="J4535" s="2"/>
      <c r="M4535" s="2"/>
    </row>
    <row r="4536" spans="1:13" x14ac:dyDescent="0.25">
      <c r="A4536" s="2"/>
      <c r="D4536" s="2"/>
      <c r="G4536" s="2"/>
      <c r="J4536" s="2"/>
      <c r="M4536" s="2"/>
    </row>
    <row r="4537" spans="1:13" x14ac:dyDescent="0.25">
      <c r="A4537" s="2"/>
      <c r="D4537" s="2"/>
      <c r="G4537" s="2"/>
      <c r="J4537" s="2"/>
      <c r="M4537" s="2"/>
    </row>
    <row r="4538" spans="1:13" x14ac:dyDescent="0.25">
      <c r="A4538" s="2"/>
      <c r="D4538" s="2"/>
      <c r="G4538" s="2"/>
      <c r="J4538" s="2"/>
      <c r="M4538" s="2"/>
    </row>
    <row r="4539" spans="1:13" x14ac:dyDescent="0.25">
      <c r="A4539" s="2"/>
      <c r="D4539" s="2"/>
      <c r="G4539" s="2"/>
      <c r="J4539" s="2"/>
      <c r="M4539" s="2"/>
    </row>
    <row r="4540" spans="1:13" x14ac:dyDescent="0.25">
      <c r="A4540" s="2"/>
      <c r="D4540" s="2"/>
      <c r="G4540" s="2"/>
      <c r="J4540" s="2"/>
      <c r="M4540" s="2"/>
    </row>
    <row r="4541" spans="1:13" x14ac:dyDescent="0.25">
      <c r="A4541" s="2"/>
      <c r="D4541" s="2"/>
      <c r="G4541" s="2"/>
      <c r="J4541" s="2"/>
      <c r="M4541" s="2"/>
    </row>
    <row r="4542" spans="1:13" x14ac:dyDescent="0.25">
      <c r="A4542" s="2"/>
      <c r="D4542" s="2"/>
      <c r="G4542" s="2"/>
      <c r="J4542" s="2"/>
      <c r="M4542" s="2"/>
    </row>
    <row r="4543" spans="1:13" x14ac:dyDescent="0.25">
      <c r="A4543" s="2"/>
      <c r="D4543" s="2"/>
      <c r="G4543" s="2"/>
      <c r="J4543" s="2"/>
      <c r="M4543" s="2"/>
    </row>
    <row r="4544" spans="1:13" x14ac:dyDescent="0.25">
      <c r="A4544" s="2"/>
      <c r="D4544" s="2"/>
      <c r="G4544" s="2"/>
      <c r="J4544" s="2"/>
      <c r="M4544" s="2"/>
    </row>
    <row r="4545" spans="1:13" x14ac:dyDescent="0.25">
      <c r="A4545" s="2"/>
      <c r="D4545" s="2"/>
      <c r="G4545" s="2"/>
      <c r="J4545" s="2"/>
      <c r="M4545" s="2"/>
    </row>
    <row r="4546" spans="1:13" x14ac:dyDescent="0.25">
      <c r="A4546" s="2"/>
      <c r="D4546" s="2"/>
      <c r="G4546" s="2"/>
      <c r="J4546" s="2"/>
      <c r="M4546" s="2"/>
    </row>
    <row r="4547" spans="1:13" x14ac:dyDescent="0.25">
      <c r="A4547" s="2"/>
      <c r="D4547" s="2"/>
      <c r="G4547" s="2"/>
      <c r="J4547" s="2"/>
      <c r="M4547" s="2"/>
    </row>
    <row r="4548" spans="1:13" x14ac:dyDescent="0.25">
      <c r="A4548" s="2"/>
      <c r="D4548" s="2"/>
      <c r="G4548" s="2"/>
      <c r="J4548" s="2"/>
      <c r="M4548" s="2"/>
    </row>
    <row r="4549" spans="1:13" x14ac:dyDescent="0.25">
      <c r="A4549" s="2"/>
      <c r="D4549" s="2"/>
      <c r="G4549" s="2"/>
      <c r="J4549" s="2"/>
      <c r="M4549" s="2"/>
    </row>
    <row r="4550" spans="1:13" x14ac:dyDescent="0.25">
      <c r="A4550" s="2"/>
      <c r="D4550" s="2"/>
      <c r="G4550" s="2"/>
      <c r="J4550" s="2"/>
      <c r="M4550" s="2"/>
    </row>
    <row r="4551" spans="1:13" x14ac:dyDescent="0.25">
      <c r="A4551" s="2"/>
      <c r="D4551" s="2"/>
      <c r="G4551" s="2"/>
      <c r="J4551" s="2"/>
      <c r="M4551" s="2"/>
    </row>
    <row r="4552" spans="1:13" x14ac:dyDescent="0.25">
      <c r="A4552" s="2"/>
      <c r="D4552" s="2"/>
      <c r="G4552" s="2"/>
      <c r="J4552" s="2"/>
      <c r="M4552" s="2"/>
    </row>
    <row r="4553" spans="1:13" x14ac:dyDescent="0.25">
      <c r="A4553" s="2"/>
      <c r="D4553" s="2"/>
      <c r="G4553" s="2"/>
      <c r="J4553" s="2"/>
      <c r="M4553" s="2"/>
    </row>
    <row r="4554" spans="1:13" x14ac:dyDescent="0.25">
      <c r="A4554" s="2"/>
      <c r="D4554" s="2"/>
      <c r="G4554" s="2"/>
      <c r="J4554" s="2"/>
      <c r="M4554" s="2"/>
    </row>
    <row r="4555" spans="1:13" x14ac:dyDescent="0.25">
      <c r="A4555" s="2"/>
      <c r="D4555" s="2"/>
      <c r="G4555" s="2"/>
      <c r="J4555" s="2"/>
      <c r="M4555" s="2"/>
    </row>
    <row r="4556" spans="1:13" x14ac:dyDescent="0.25">
      <c r="A4556" s="2"/>
      <c r="D4556" s="2"/>
      <c r="G4556" s="2"/>
      <c r="J4556" s="2"/>
      <c r="M4556" s="2"/>
    </row>
    <row r="4557" spans="1:13" x14ac:dyDescent="0.25">
      <c r="A4557" s="2"/>
      <c r="D4557" s="2"/>
      <c r="G4557" s="2"/>
      <c r="J4557" s="2"/>
      <c r="M4557" s="2"/>
    </row>
    <row r="4558" spans="1:13" x14ac:dyDescent="0.25">
      <c r="A4558" s="2"/>
      <c r="D4558" s="2"/>
      <c r="G4558" s="2"/>
      <c r="J4558" s="2"/>
      <c r="M4558" s="2"/>
    </row>
    <row r="4559" spans="1:13" x14ac:dyDescent="0.25">
      <c r="A4559" s="2"/>
      <c r="D4559" s="2"/>
      <c r="G4559" s="2"/>
      <c r="J4559" s="2"/>
      <c r="M4559" s="2"/>
    </row>
    <row r="4560" spans="1:13" x14ac:dyDescent="0.25">
      <c r="A4560" s="2"/>
      <c r="D4560" s="2"/>
      <c r="G4560" s="2"/>
      <c r="J4560" s="2"/>
      <c r="M4560" s="2"/>
    </row>
    <row r="4561" spans="1:13" x14ac:dyDescent="0.25">
      <c r="A4561" s="2"/>
      <c r="D4561" s="2"/>
      <c r="G4561" s="2"/>
      <c r="J4561" s="2"/>
      <c r="M4561" s="2"/>
    </row>
    <row r="4562" spans="1:13" x14ac:dyDescent="0.25">
      <c r="A4562" s="2"/>
      <c r="D4562" s="2"/>
      <c r="G4562" s="2"/>
      <c r="J4562" s="2"/>
      <c r="M4562" s="2"/>
    </row>
    <row r="4563" spans="1:13" x14ac:dyDescent="0.25">
      <c r="A4563" s="2"/>
      <c r="D4563" s="2"/>
      <c r="G4563" s="2"/>
      <c r="J4563" s="2"/>
      <c r="M4563" s="2"/>
    </row>
    <row r="4564" spans="1:13" x14ac:dyDescent="0.25">
      <c r="A4564" s="2"/>
      <c r="D4564" s="2"/>
      <c r="G4564" s="2"/>
      <c r="J4564" s="2"/>
      <c r="M4564" s="2"/>
    </row>
    <row r="4565" spans="1:13" x14ac:dyDescent="0.25">
      <c r="A4565" s="2"/>
      <c r="D4565" s="2"/>
      <c r="G4565" s="2"/>
      <c r="J4565" s="2"/>
      <c r="M4565" s="2"/>
    </row>
    <row r="4566" spans="1:13" x14ac:dyDescent="0.25">
      <c r="A4566" s="2"/>
      <c r="D4566" s="2"/>
      <c r="G4566" s="2"/>
      <c r="J4566" s="2"/>
      <c r="M4566" s="2"/>
    </row>
    <row r="4567" spans="1:13" x14ac:dyDescent="0.25">
      <c r="A4567" s="2"/>
      <c r="D4567" s="2"/>
      <c r="G4567" s="2"/>
      <c r="J4567" s="2"/>
      <c r="M4567" s="2"/>
    </row>
    <row r="4568" spans="1:13" x14ac:dyDescent="0.25">
      <c r="A4568" s="2"/>
      <c r="D4568" s="2"/>
      <c r="G4568" s="2"/>
      <c r="J4568" s="2"/>
      <c r="M4568" s="2"/>
    </row>
    <row r="4569" spans="1:13" x14ac:dyDescent="0.25">
      <c r="A4569" s="2"/>
      <c r="D4569" s="2"/>
      <c r="G4569" s="2"/>
      <c r="J4569" s="2"/>
      <c r="M4569" s="2"/>
    </row>
    <row r="4570" spans="1:13" x14ac:dyDescent="0.25">
      <c r="A4570" s="2"/>
      <c r="D4570" s="2"/>
      <c r="G4570" s="2"/>
      <c r="J4570" s="2"/>
      <c r="M4570" s="2"/>
    </row>
    <row r="4571" spans="1:13" x14ac:dyDescent="0.25">
      <c r="A4571" s="2"/>
      <c r="D4571" s="2"/>
      <c r="G4571" s="2"/>
      <c r="J4571" s="2"/>
      <c r="M4571" s="2"/>
    </row>
    <row r="4572" spans="1:13" x14ac:dyDescent="0.25">
      <c r="A4572" s="2"/>
      <c r="D4572" s="2"/>
      <c r="G4572" s="2"/>
      <c r="J4572" s="2"/>
      <c r="M4572" s="2"/>
    </row>
    <row r="4573" spans="1:13" x14ac:dyDescent="0.25">
      <c r="A4573" s="2"/>
      <c r="D4573" s="2"/>
      <c r="G4573" s="2"/>
      <c r="J4573" s="2"/>
      <c r="M4573" s="2"/>
    </row>
    <row r="4574" spans="1:13" x14ac:dyDescent="0.25">
      <c r="A4574" s="2"/>
      <c r="D4574" s="2"/>
      <c r="G4574" s="2"/>
      <c r="J4574" s="2"/>
      <c r="M4574" s="2"/>
    </row>
    <row r="4575" spans="1:13" x14ac:dyDescent="0.25">
      <c r="A4575" s="2"/>
      <c r="D4575" s="2"/>
      <c r="G4575" s="2"/>
      <c r="J4575" s="2"/>
      <c r="M4575" s="2"/>
    </row>
    <row r="4576" spans="1:13" x14ac:dyDescent="0.25">
      <c r="A4576" s="2"/>
      <c r="D4576" s="2"/>
      <c r="G4576" s="2"/>
      <c r="J4576" s="2"/>
      <c r="M4576" s="2"/>
    </row>
    <row r="4577" spans="1:13" x14ac:dyDescent="0.25">
      <c r="A4577" s="2"/>
      <c r="D4577" s="2"/>
      <c r="G4577" s="2"/>
      <c r="J4577" s="2"/>
      <c r="M4577" s="2"/>
    </row>
    <row r="4578" spans="1:13" x14ac:dyDescent="0.25">
      <c r="A4578" s="2"/>
      <c r="D4578" s="2"/>
      <c r="G4578" s="2"/>
      <c r="J4578" s="2"/>
      <c r="M4578" s="2"/>
    </row>
    <row r="4579" spans="1:13" x14ac:dyDescent="0.25">
      <c r="A4579" s="2"/>
      <c r="D4579" s="2"/>
      <c r="G4579" s="2"/>
      <c r="J4579" s="2"/>
      <c r="M4579" s="2"/>
    </row>
    <row r="4580" spans="1:13" x14ac:dyDescent="0.25">
      <c r="A4580" s="2"/>
      <c r="D4580" s="2"/>
      <c r="G4580" s="2"/>
      <c r="J4580" s="2"/>
      <c r="M4580" s="2"/>
    </row>
    <row r="4581" spans="1:13" x14ac:dyDescent="0.25">
      <c r="A4581" s="2"/>
      <c r="D4581" s="2"/>
      <c r="G4581" s="2"/>
      <c r="J4581" s="2"/>
      <c r="M4581" s="2"/>
    </row>
    <row r="4582" spans="1:13" x14ac:dyDescent="0.25">
      <c r="A4582" s="2"/>
      <c r="D4582" s="2"/>
      <c r="G4582" s="2"/>
      <c r="J4582" s="2"/>
      <c r="M4582" s="2"/>
    </row>
    <row r="4583" spans="1:13" x14ac:dyDescent="0.25">
      <c r="A4583" s="2"/>
      <c r="D4583" s="2"/>
      <c r="G4583" s="2"/>
      <c r="J4583" s="2"/>
      <c r="M4583" s="2"/>
    </row>
    <row r="4584" spans="1:13" x14ac:dyDescent="0.25">
      <c r="A4584" s="2"/>
      <c r="D4584" s="2"/>
      <c r="G4584" s="2"/>
      <c r="J4584" s="2"/>
      <c r="M4584" s="2"/>
    </row>
    <row r="4585" spans="1:13" x14ac:dyDescent="0.25">
      <c r="A4585" s="2"/>
      <c r="D4585" s="2"/>
      <c r="G4585" s="2"/>
      <c r="J4585" s="2"/>
      <c r="M4585" s="2"/>
    </row>
    <row r="4586" spans="1:13" x14ac:dyDescent="0.25">
      <c r="A4586" s="2"/>
      <c r="D4586" s="2"/>
      <c r="G4586" s="2"/>
      <c r="J4586" s="2"/>
      <c r="M4586" s="2"/>
    </row>
    <row r="4587" spans="1:13" x14ac:dyDescent="0.25">
      <c r="A4587" s="2"/>
      <c r="D4587" s="2"/>
      <c r="G4587" s="2"/>
      <c r="J4587" s="2"/>
      <c r="M4587" s="2"/>
    </row>
    <row r="4588" spans="1:13" x14ac:dyDescent="0.25">
      <c r="A4588" s="2"/>
      <c r="D4588" s="2"/>
      <c r="G4588" s="2"/>
      <c r="J4588" s="2"/>
      <c r="M4588" s="2"/>
    </row>
    <row r="4589" spans="1:13" x14ac:dyDescent="0.25">
      <c r="A4589" s="2"/>
      <c r="D4589" s="2"/>
      <c r="G4589" s="2"/>
      <c r="J4589" s="2"/>
      <c r="M4589" s="2"/>
    </row>
    <row r="4590" spans="1:13" x14ac:dyDescent="0.25">
      <c r="A4590" s="2"/>
      <c r="D4590" s="2"/>
      <c r="G4590" s="2"/>
      <c r="J4590" s="2"/>
      <c r="M4590" s="2"/>
    </row>
    <row r="4591" spans="1:13" x14ac:dyDescent="0.25">
      <c r="A4591" s="2"/>
      <c r="D4591" s="2"/>
      <c r="G4591" s="2"/>
      <c r="J4591" s="2"/>
      <c r="M4591" s="2"/>
    </row>
    <row r="4592" spans="1:13" x14ac:dyDescent="0.25">
      <c r="A4592" s="2"/>
      <c r="D4592" s="2"/>
      <c r="G4592" s="2"/>
      <c r="J4592" s="2"/>
      <c r="M4592" s="2"/>
    </row>
    <row r="4593" spans="1:13" x14ac:dyDescent="0.25">
      <c r="A4593" s="2"/>
      <c r="D4593" s="2"/>
      <c r="G4593" s="2"/>
      <c r="J4593" s="2"/>
      <c r="M4593" s="2"/>
    </row>
    <row r="4594" spans="1:13" x14ac:dyDescent="0.25">
      <c r="A4594" s="2"/>
      <c r="D4594" s="2"/>
      <c r="G4594" s="2"/>
      <c r="J4594" s="2"/>
      <c r="M4594" s="2"/>
    </row>
    <row r="4595" spans="1:13" x14ac:dyDescent="0.25">
      <c r="A4595" s="2"/>
      <c r="D4595" s="2"/>
      <c r="G4595" s="2"/>
      <c r="J4595" s="2"/>
      <c r="M4595" s="2"/>
    </row>
    <row r="4596" spans="1:13" x14ac:dyDescent="0.25">
      <c r="A4596" s="2"/>
      <c r="D4596" s="2"/>
      <c r="G4596" s="2"/>
      <c r="J4596" s="2"/>
      <c r="M4596" s="2"/>
    </row>
    <row r="4597" spans="1:13" x14ac:dyDescent="0.25">
      <c r="A4597" s="2"/>
      <c r="D4597" s="2"/>
      <c r="G4597" s="2"/>
      <c r="J4597" s="2"/>
      <c r="M4597" s="2"/>
    </row>
    <row r="4598" spans="1:13" x14ac:dyDescent="0.25">
      <c r="A4598" s="2"/>
      <c r="D4598" s="2"/>
      <c r="G4598" s="2"/>
      <c r="J4598" s="2"/>
      <c r="M4598" s="2"/>
    </row>
    <row r="4599" spans="1:13" x14ac:dyDescent="0.25">
      <c r="A4599" s="2"/>
      <c r="D4599" s="2"/>
      <c r="G4599" s="2"/>
      <c r="J4599" s="2"/>
      <c r="M4599" s="2"/>
    </row>
    <row r="4600" spans="1:13" x14ac:dyDescent="0.25">
      <c r="A4600" s="2"/>
      <c r="D4600" s="2"/>
      <c r="G4600" s="2"/>
      <c r="J4600" s="2"/>
      <c r="M4600" s="2"/>
    </row>
    <row r="4601" spans="1:13" x14ac:dyDescent="0.25">
      <c r="A4601" s="2"/>
      <c r="D4601" s="2"/>
      <c r="G4601" s="2"/>
      <c r="J4601" s="2"/>
      <c r="M4601" s="2"/>
    </row>
    <row r="4602" spans="1:13" x14ac:dyDescent="0.25">
      <c r="A4602" s="2"/>
      <c r="D4602" s="2"/>
      <c r="G4602" s="2"/>
      <c r="J4602" s="2"/>
      <c r="M4602" s="2"/>
    </row>
    <row r="4603" spans="1:13" x14ac:dyDescent="0.25">
      <c r="A4603" s="2"/>
      <c r="D4603" s="2"/>
      <c r="G4603" s="2"/>
      <c r="J4603" s="2"/>
      <c r="M4603" s="2"/>
    </row>
    <row r="4604" spans="1:13" x14ac:dyDescent="0.25">
      <c r="A4604" s="2"/>
      <c r="D4604" s="2"/>
      <c r="G4604" s="2"/>
      <c r="J4604" s="2"/>
      <c r="M4604" s="2"/>
    </row>
    <row r="4605" spans="1:13" x14ac:dyDescent="0.25">
      <c r="A4605" s="2"/>
      <c r="D4605" s="2"/>
      <c r="G4605" s="2"/>
      <c r="J4605" s="2"/>
      <c r="M4605" s="2"/>
    </row>
    <row r="4606" spans="1:13" x14ac:dyDescent="0.25">
      <c r="A4606" s="2"/>
      <c r="D4606" s="2"/>
      <c r="G4606" s="2"/>
      <c r="J4606" s="2"/>
      <c r="M4606" s="2"/>
    </row>
    <row r="4607" spans="1:13" x14ac:dyDescent="0.25">
      <c r="A4607" s="2"/>
      <c r="D4607" s="2"/>
      <c r="G4607" s="2"/>
      <c r="J4607" s="2"/>
      <c r="M4607" s="2"/>
    </row>
    <row r="4608" spans="1:13" x14ac:dyDescent="0.25">
      <c r="A4608" s="2"/>
      <c r="D4608" s="2"/>
      <c r="G4608" s="2"/>
      <c r="J4608" s="2"/>
      <c r="M4608" s="2"/>
    </row>
    <row r="4609" spans="1:13" x14ac:dyDescent="0.25">
      <c r="A4609" s="2"/>
      <c r="D4609" s="2"/>
      <c r="G4609" s="2"/>
      <c r="J4609" s="2"/>
      <c r="M4609" s="2"/>
    </row>
    <row r="4610" spans="1:13" x14ac:dyDescent="0.25">
      <c r="A4610" s="2"/>
      <c r="D4610" s="2"/>
      <c r="G4610" s="2"/>
      <c r="J4610" s="2"/>
      <c r="M4610" s="2"/>
    </row>
    <row r="4611" spans="1:13" x14ac:dyDescent="0.25">
      <c r="A4611" s="2"/>
      <c r="D4611" s="2"/>
      <c r="G4611" s="2"/>
      <c r="J4611" s="2"/>
      <c r="M4611" s="2"/>
    </row>
    <row r="4612" spans="1:13" x14ac:dyDescent="0.25">
      <c r="A4612" s="2"/>
      <c r="D4612" s="2"/>
      <c r="G4612" s="2"/>
      <c r="J4612" s="2"/>
      <c r="M4612" s="2"/>
    </row>
    <row r="4613" spans="1:13" x14ac:dyDescent="0.25">
      <c r="A4613" s="2"/>
      <c r="D4613" s="2"/>
      <c r="G4613" s="2"/>
      <c r="J4613" s="2"/>
      <c r="M4613" s="2"/>
    </row>
    <row r="4614" spans="1:13" x14ac:dyDescent="0.25">
      <c r="A4614" s="2"/>
      <c r="D4614" s="2"/>
      <c r="G4614" s="2"/>
      <c r="J4614" s="2"/>
      <c r="M4614" s="2"/>
    </row>
    <row r="4615" spans="1:13" x14ac:dyDescent="0.25">
      <c r="A4615" s="2"/>
      <c r="D4615" s="2"/>
      <c r="G4615" s="2"/>
      <c r="J4615" s="2"/>
      <c r="M4615" s="2"/>
    </row>
    <row r="4616" spans="1:13" x14ac:dyDescent="0.25">
      <c r="A4616" s="2"/>
      <c r="D4616" s="2"/>
      <c r="G4616" s="2"/>
      <c r="J4616" s="2"/>
      <c r="M4616" s="2"/>
    </row>
    <row r="4617" spans="1:13" x14ac:dyDescent="0.25">
      <c r="A4617" s="2"/>
      <c r="D4617" s="2"/>
      <c r="G4617" s="2"/>
      <c r="J4617" s="2"/>
      <c r="M4617" s="2"/>
    </row>
    <row r="4618" spans="1:13" x14ac:dyDescent="0.25">
      <c r="A4618" s="2"/>
      <c r="D4618" s="2"/>
      <c r="G4618" s="2"/>
      <c r="J4618" s="2"/>
      <c r="M4618" s="2"/>
    </row>
    <row r="4619" spans="1:13" x14ac:dyDescent="0.25">
      <c r="A4619" s="2"/>
      <c r="D4619" s="2"/>
      <c r="G4619" s="2"/>
      <c r="J4619" s="2"/>
      <c r="M4619" s="2"/>
    </row>
    <row r="4620" spans="1:13" x14ac:dyDescent="0.25">
      <c r="A4620" s="2"/>
      <c r="D4620" s="2"/>
      <c r="G4620" s="2"/>
      <c r="J4620" s="2"/>
      <c r="M4620" s="2"/>
    </row>
    <row r="4621" spans="1:13" x14ac:dyDescent="0.25">
      <c r="A4621" s="2"/>
      <c r="D4621" s="2"/>
      <c r="G4621" s="2"/>
      <c r="J4621" s="2"/>
      <c r="M4621" s="2"/>
    </row>
    <row r="4622" spans="1:13" x14ac:dyDescent="0.25">
      <c r="A4622" s="2"/>
      <c r="D4622" s="2"/>
      <c r="G4622" s="2"/>
      <c r="J4622" s="2"/>
      <c r="M4622" s="2"/>
    </row>
    <row r="4623" spans="1:13" x14ac:dyDescent="0.25">
      <c r="A4623" s="2"/>
      <c r="D4623" s="2"/>
      <c r="G4623" s="2"/>
      <c r="J4623" s="2"/>
      <c r="M4623" s="2"/>
    </row>
    <row r="4624" spans="1:13" x14ac:dyDescent="0.25">
      <c r="A4624" s="2"/>
      <c r="D4624" s="2"/>
      <c r="G4624" s="2"/>
      <c r="J4624" s="2"/>
      <c r="M4624" s="2"/>
    </row>
    <row r="4625" spans="1:13" x14ac:dyDescent="0.25">
      <c r="A4625" s="2"/>
      <c r="D4625" s="2"/>
      <c r="G4625" s="2"/>
      <c r="J4625" s="2"/>
      <c r="M4625" s="2"/>
    </row>
    <row r="4626" spans="1:13" x14ac:dyDescent="0.25">
      <c r="A4626" s="2"/>
      <c r="D4626" s="2"/>
      <c r="G4626" s="2"/>
      <c r="J4626" s="2"/>
      <c r="M4626" s="2"/>
    </row>
    <row r="4627" spans="1:13" x14ac:dyDescent="0.25">
      <c r="A4627" s="2"/>
      <c r="D4627" s="2"/>
      <c r="G4627" s="2"/>
      <c r="J4627" s="2"/>
      <c r="M4627" s="2"/>
    </row>
    <row r="4628" spans="1:13" x14ac:dyDescent="0.25">
      <c r="A4628" s="2"/>
      <c r="D4628" s="2"/>
      <c r="G4628" s="2"/>
      <c r="J4628" s="2"/>
      <c r="M4628" s="2"/>
    </row>
    <row r="4629" spans="1:13" x14ac:dyDescent="0.25">
      <c r="A4629" s="2"/>
      <c r="D4629" s="2"/>
      <c r="G4629" s="2"/>
      <c r="J4629" s="2"/>
      <c r="M4629" s="2"/>
    </row>
    <row r="4630" spans="1:13" x14ac:dyDescent="0.25">
      <c r="A4630" s="2"/>
      <c r="D4630" s="2"/>
      <c r="G4630" s="2"/>
      <c r="J4630" s="2"/>
      <c r="M4630" s="2"/>
    </row>
    <row r="4631" spans="1:13" x14ac:dyDescent="0.25">
      <c r="A4631" s="2"/>
      <c r="D4631" s="2"/>
      <c r="G4631" s="2"/>
      <c r="J4631" s="2"/>
      <c r="M4631" s="2"/>
    </row>
    <row r="4632" spans="1:13" x14ac:dyDescent="0.25">
      <c r="A4632" s="2"/>
      <c r="D4632" s="2"/>
      <c r="G4632" s="2"/>
      <c r="J4632" s="2"/>
      <c r="M4632" s="2"/>
    </row>
    <row r="4633" spans="1:13" x14ac:dyDescent="0.25">
      <c r="A4633" s="2"/>
      <c r="D4633" s="2"/>
      <c r="G4633" s="2"/>
      <c r="J4633" s="2"/>
      <c r="M4633" s="2"/>
    </row>
    <row r="4634" spans="1:13" x14ac:dyDescent="0.25">
      <c r="A4634" s="2"/>
      <c r="D4634" s="2"/>
      <c r="G4634" s="2"/>
      <c r="J4634" s="2"/>
      <c r="M4634" s="2"/>
    </row>
    <row r="4635" spans="1:13" x14ac:dyDescent="0.25">
      <c r="A4635" s="2"/>
      <c r="D4635" s="2"/>
      <c r="G4635" s="2"/>
      <c r="J4635" s="2"/>
      <c r="M4635" s="2"/>
    </row>
    <row r="4636" spans="1:13" x14ac:dyDescent="0.25">
      <c r="A4636" s="2"/>
      <c r="D4636" s="2"/>
      <c r="G4636" s="2"/>
      <c r="J4636" s="2"/>
      <c r="M4636" s="2"/>
    </row>
    <row r="4637" spans="1:13" x14ac:dyDescent="0.25">
      <c r="A4637" s="2"/>
      <c r="D4637" s="2"/>
      <c r="G4637" s="2"/>
      <c r="J4637" s="2"/>
      <c r="M4637" s="2"/>
    </row>
    <row r="4638" spans="1:13" x14ac:dyDescent="0.25">
      <c r="A4638" s="2"/>
      <c r="D4638" s="2"/>
      <c r="G4638" s="2"/>
      <c r="J4638" s="2"/>
      <c r="M4638" s="2"/>
    </row>
    <row r="4639" spans="1:13" x14ac:dyDescent="0.25">
      <c r="A4639" s="2"/>
      <c r="D4639" s="2"/>
      <c r="G4639" s="2"/>
      <c r="J4639" s="2"/>
      <c r="M4639" s="2"/>
    </row>
    <row r="4640" spans="1:13" x14ac:dyDescent="0.25">
      <c r="A4640" s="2"/>
      <c r="D4640" s="2"/>
      <c r="G4640" s="2"/>
      <c r="J4640" s="2"/>
      <c r="M4640" s="2"/>
    </row>
    <row r="4641" spans="1:13" x14ac:dyDescent="0.25">
      <c r="A4641" s="2"/>
      <c r="D4641" s="2"/>
      <c r="G4641" s="2"/>
      <c r="J4641" s="2"/>
      <c r="M4641" s="2"/>
    </row>
    <row r="4642" spans="1:13" x14ac:dyDescent="0.25">
      <c r="A4642" s="2"/>
      <c r="D4642" s="2"/>
      <c r="G4642" s="2"/>
      <c r="J4642" s="2"/>
      <c r="M4642" s="2"/>
    </row>
    <row r="4643" spans="1:13" x14ac:dyDescent="0.25">
      <c r="A4643" s="2"/>
      <c r="D4643" s="2"/>
      <c r="G4643" s="2"/>
      <c r="J4643" s="2"/>
      <c r="M4643" s="2"/>
    </row>
    <row r="4644" spans="1:13" x14ac:dyDescent="0.25">
      <c r="A4644" s="2"/>
      <c r="D4644" s="2"/>
      <c r="G4644" s="2"/>
      <c r="J4644" s="2"/>
      <c r="M4644" s="2"/>
    </row>
    <row r="4645" spans="1:13" x14ac:dyDescent="0.25">
      <c r="A4645" s="2"/>
      <c r="D4645" s="2"/>
      <c r="G4645" s="2"/>
      <c r="J4645" s="2"/>
      <c r="M4645" s="2"/>
    </row>
    <row r="4646" spans="1:13" x14ac:dyDescent="0.25">
      <c r="A4646" s="2"/>
      <c r="D4646" s="2"/>
      <c r="G4646" s="2"/>
      <c r="J4646" s="2"/>
      <c r="M4646" s="2"/>
    </row>
    <row r="4647" spans="1:13" x14ac:dyDescent="0.25">
      <c r="A4647" s="2"/>
      <c r="D4647" s="2"/>
      <c r="G4647" s="2"/>
      <c r="J4647" s="2"/>
      <c r="M4647" s="2"/>
    </row>
    <row r="4648" spans="1:13" x14ac:dyDescent="0.25">
      <c r="A4648" s="2"/>
      <c r="D4648" s="2"/>
      <c r="G4648" s="2"/>
      <c r="J4648" s="2"/>
      <c r="M4648" s="2"/>
    </row>
    <row r="4649" spans="1:13" x14ac:dyDescent="0.25">
      <c r="A4649" s="2"/>
      <c r="D4649" s="2"/>
      <c r="G4649" s="2"/>
      <c r="J4649" s="2"/>
      <c r="M4649" s="2"/>
    </row>
    <row r="4650" spans="1:13" x14ac:dyDescent="0.25">
      <c r="A4650" s="2"/>
      <c r="D4650" s="2"/>
      <c r="G4650" s="2"/>
      <c r="J4650" s="2"/>
      <c r="M4650" s="2"/>
    </row>
    <row r="4651" spans="1:13" x14ac:dyDescent="0.25">
      <c r="A4651" s="2"/>
      <c r="D4651" s="2"/>
      <c r="G4651" s="2"/>
      <c r="J4651" s="2"/>
      <c r="M4651" s="2"/>
    </row>
    <row r="4652" spans="1:13" x14ac:dyDescent="0.25">
      <c r="A4652" s="2"/>
      <c r="D4652" s="2"/>
      <c r="G4652" s="2"/>
      <c r="J4652" s="2"/>
      <c r="M4652" s="2"/>
    </row>
    <row r="4653" spans="1:13" x14ac:dyDescent="0.25">
      <c r="A4653" s="2"/>
      <c r="D4653" s="2"/>
      <c r="G4653" s="2"/>
      <c r="J4653" s="2"/>
      <c r="M4653" s="2"/>
    </row>
    <row r="4654" spans="1:13" x14ac:dyDescent="0.25">
      <c r="A4654" s="2"/>
      <c r="D4654" s="2"/>
      <c r="G4654" s="2"/>
      <c r="J4654" s="2"/>
      <c r="M4654" s="2"/>
    </row>
    <row r="4655" spans="1:13" x14ac:dyDescent="0.25">
      <c r="A4655" s="2"/>
      <c r="D4655" s="2"/>
      <c r="G4655" s="2"/>
      <c r="J4655" s="2"/>
      <c r="M4655" s="2"/>
    </row>
    <row r="4656" spans="1:13" x14ac:dyDescent="0.25">
      <c r="A4656" s="2"/>
      <c r="D4656" s="2"/>
      <c r="G4656" s="2"/>
      <c r="J4656" s="2"/>
      <c r="M4656" s="2"/>
    </row>
    <row r="4657" spans="1:13" x14ac:dyDescent="0.25">
      <c r="A4657" s="2"/>
      <c r="D4657" s="2"/>
      <c r="G4657" s="2"/>
      <c r="J4657" s="2"/>
      <c r="M4657" s="2"/>
    </row>
    <row r="4658" spans="1:13" x14ac:dyDescent="0.25">
      <c r="A4658" s="2"/>
      <c r="D4658" s="2"/>
      <c r="G4658" s="2"/>
      <c r="J4658" s="2"/>
      <c r="M4658" s="2"/>
    </row>
    <row r="4659" spans="1:13" x14ac:dyDescent="0.25">
      <c r="A4659" s="2"/>
      <c r="D4659" s="2"/>
      <c r="G4659" s="2"/>
      <c r="J4659" s="2"/>
      <c r="M4659" s="2"/>
    </row>
    <row r="4660" spans="1:13" x14ac:dyDescent="0.25">
      <c r="A4660" s="2"/>
      <c r="D4660" s="2"/>
      <c r="G4660" s="2"/>
      <c r="J4660" s="2"/>
      <c r="M4660" s="2"/>
    </row>
    <row r="4661" spans="1:13" x14ac:dyDescent="0.25">
      <c r="A4661" s="2"/>
      <c r="D4661" s="2"/>
      <c r="G4661" s="2"/>
      <c r="J4661" s="2"/>
      <c r="M4661" s="2"/>
    </row>
    <row r="4662" spans="1:13" x14ac:dyDescent="0.25">
      <c r="A4662" s="2"/>
      <c r="D4662" s="2"/>
      <c r="G4662" s="2"/>
      <c r="J4662" s="2"/>
      <c r="M4662" s="2"/>
    </row>
    <row r="4663" spans="1:13" x14ac:dyDescent="0.25">
      <c r="A4663" s="2"/>
      <c r="D4663" s="2"/>
      <c r="G4663" s="2"/>
      <c r="J4663" s="2"/>
      <c r="M4663" s="2"/>
    </row>
    <row r="4664" spans="1:13" x14ac:dyDescent="0.25">
      <c r="A4664" s="2"/>
      <c r="D4664" s="2"/>
      <c r="G4664" s="2"/>
      <c r="J4664" s="2"/>
      <c r="M4664" s="2"/>
    </row>
    <row r="4665" spans="1:13" x14ac:dyDescent="0.25">
      <c r="A4665" s="2"/>
      <c r="D4665" s="2"/>
      <c r="G4665" s="2"/>
      <c r="J4665" s="2"/>
      <c r="M4665" s="2"/>
    </row>
    <row r="4666" spans="1:13" x14ac:dyDescent="0.25">
      <c r="A4666" s="2"/>
      <c r="D4666" s="2"/>
      <c r="G4666" s="2"/>
      <c r="J4666" s="2"/>
      <c r="M4666" s="2"/>
    </row>
    <row r="4667" spans="1:13" x14ac:dyDescent="0.25">
      <c r="A4667" s="2"/>
      <c r="D4667" s="2"/>
      <c r="G4667" s="2"/>
      <c r="J4667" s="2"/>
      <c r="M4667" s="2"/>
    </row>
    <row r="4668" spans="1:13" x14ac:dyDescent="0.25">
      <c r="A4668" s="2"/>
      <c r="D4668" s="2"/>
      <c r="G4668" s="2"/>
      <c r="J4668" s="2"/>
      <c r="M4668" s="2"/>
    </row>
    <row r="4669" spans="1:13" x14ac:dyDescent="0.25">
      <c r="A4669" s="2"/>
      <c r="D4669" s="2"/>
      <c r="G4669" s="2"/>
      <c r="J4669" s="2"/>
      <c r="M4669" s="2"/>
    </row>
    <row r="4670" spans="1:13" x14ac:dyDescent="0.25">
      <c r="A4670" s="2"/>
      <c r="D4670" s="2"/>
      <c r="G4670" s="2"/>
      <c r="J4670" s="2"/>
      <c r="M4670" s="2"/>
    </row>
    <row r="4671" spans="1:13" x14ac:dyDescent="0.25">
      <c r="A4671" s="2"/>
      <c r="D4671" s="2"/>
      <c r="G4671" s="2"/>
      <c r="J4671" s="2"/>
      <c r="M4671" s="2"/>
    </row>
    <row r="4672" spans="1:13" x14ac:dyDescent="0.25">
      <c r="A4672" s="2"/>
      <c r="D4672" s="2"/>
      <c r="G4672" s="2"/>
      <c r="J4672" s="2"/>
      <c r="M4672" s="2"/>
    </row>
    <row r="4673" spans="1:13" x14ac:dyDescent="0.25">
      <c r="A4673" s="2"/>
      <c r="D4673" s="2"/>
      <c r="G4673" s="2"/>
      <c r="J4673" s="2"/>
      <c r="M4673" s="2"/>
    </row>
    <row r="4674" spans="1:13" x14ac:dyDescent="0.25">
      <c r="A4674" s="2"/>
      <c r="D4674" s="2"/>
      <c r="G4674" s="2"/>
      <c r="J4674" s="2"/>
      <c r="M4674" s="2"/>
    </row>
    <row r="4675" spans="1:13" x14ac:dyDescent="0.25">
      <c r="A4675" s="2"/>
      <c r="D4675" s="2"/>
      <c r="G4675" s="2"/>
      <c r="J4675" s="2"/>
      <c r="M4675" s="2"/>
    </row>
    <row r="4676" spans="1:13" x14ac:dyDescent="0.25">
      <c r="A4676" s="2"/>
      <c r="D4676" s="2"/>
      <c r="G4676" s="2"/>
      <c r="J4676" s="2"/>
      <c r="M4676" s="2"/>
    </row>
    <row r="4677" spans="1:13" x14ac:dyDescent="0.25">
      <c r="A4677" s="2"/>
      <c r="D4677" s="2"/>
      <c r="G4677" s="2"/>
      <c r="J4677" s="2"/>
      <c r="M4677" s="2"/>
    </row>
    <row r="4678" spans="1:13" x14ac:dyDescent="0.25">
      <c r="A4678" s="2"/>
      <c r="D4678" s="2"/>
      <c r="G4678" s="2"/>
      <c r="J4678" s="2"/>
      <c r="M4678" s="2"/>
    </row>
    <row r="4679" spans="1:13" x14ac:dyDescent="0.25">
      <c r="A4679" s="2"/>
      <c r="D4679" s="2"/>
      <c r="G4679" s="2"/>
      <c r="J4679" s="2"/>
      <c r="M4679" s="2"/>
    </row>
    <row r="4680" spans="1:13" x14ac:dyDescent="0.25">
      <c r="A4680" s="2"/>
      <c r="D4680" s="2"/>
      <c r="G4680" s="2"/>
      <c r="J4680" s="2"/>
      <c r="M4680" s="2"/>
    </row>
    <row r="4681" spans="1:13" x14ac:dyDescent="0.25">
      <c r="A4681" s="2"/>
      <c r="D4681" s="2"/>
      <c r="G4681" s="2"/>
      <c r="J4681" s="2"/>
      <c r="M4681" s="2"/>
    </row>
    <row r="4682" spans="1:13" x14ac:dyDescent="0.25">
      <c r="A4682" s="2"/>
      <c r="D4682" s="2"/>
      <c r="G4682" s="2"/>
      <c r="J4682" s="2"/>
      <c r="M4682" s="2"/>
    </row>
    <row r="4683" spans="1:13" x14ac:dyDescent="0.25">
      <c r="A4683" s="2"/>
      <c r="D4683" s="2"/>
      <c r="G4683" s="2"/>
      <c r="J4683" s="2"/>
      <c r="M4683" s="2"/>
    </row>
    <row r="4684" spans="1:13" x14ac:dyDescent="0.25">
      <c r="A4684" s="2"/>
      <c r="D4684" s="2"/>
      <c r="G4684" s="2"/>
      <c r="J4684" s="2"/>
      <c r="M4684" s="2"/>
    </row>
    <row r="4685" spans="1:13" x14ac:dyDescent="0.25">
      <c r="A4685" s="2"/>
      <c r="D4685" s="2"/>
      <c r="G4685" s="2"/>
      <c r="J4685" s="2"/>
      <c r="M4685" s="2"/>
    </row>
    <row r="4686" spans="1:13" x14ac:dyDescent="0.25">
      <c r="A4686" s="2"/>
      <c r="D4686" s="2"/>
      <c r="G4686" s="2"/>
      <c r="J4686" s="2"/>
      <c r="M4686" s="2"/>
    </row>
    <row r="4687" spans="1:13" x14ac:dyDescent="0.25">
      <c r="A4687" s="2"/>
      <c r="D4687" s="2"/>
      <c r="G4687" s="2"/>
      <c r="J4687" s="2"/>
      <c r="M4687" s="2"/>
    </row>
    <row r="4688" spans="1:13" x14ac:dyDescent="0.25">
      <c r="A4688" s="2"/>
      <c r="D4688" s="2"/>
      <c r="G4688" s="2"/>
      <c r="J4688" s="2"/>
      <c r="M4688" s="2"/>
    </row>
    <row r="4689" spans="1:13" x14ac:dyDescent="0.25">
      <c r="A4689" s="2"/>
      <c r="D4689" s="2"/>
      <c r="G4689" s="2"/>
      <c r="J4689" s="2"/>
      <c r="M4689" s="2"/>
    </row>
    <row r="4690" spans="1:13" x14ac:dyDescent="0.25">
      <c r="A4690" s="2"/>
      <c r="D4690" s="2"/>
      <c r="G4690" s="2"/>
      <c r="J4690" s="2"/>
      <c r="M4690" s="2"/>
    </row>
    <row r="4691" spans="1:13" x14ac:dyDescent="0.25">
      <c r="A4691" s="2"/>
      <c r="D4691" s="2"/>
      <c r="G4691" s="2"/>
      <c r="J4691" s="2"/>
      <c r="M4691" s="2"/>
    </row>
    <row r="4692" spans="1:13" x14ac:dyDescent="0.25">
      <c r="A4692" s="2"/>
      <c r="D4692" s="2"/>
      <c r="G4692" s="2"/>
      <c r="J4692" s="2"/>
      <c r="M4692" s="2"/>
    </row>
    <row r="4693" spans="1:13" x14ac:dyDescent="0.25">
      <c r="A4693" s="2"/>
      <c r="D4693" s="2"/>
      <c r="G4693" s="2"/>
      <c r="J4693" s="2"/>
      <c r="M4693" s="2"/>
    </row>
    <row r="4694" spans="1:13" x14ac:dyDescent="0.25">
      <c r="A4694" s="2"/>
      <c r="D4694" s="2"/>
      <c r="G4694" s="2"/>
      <c r="J4694" s="2"/>
      <c r="M4694" s="2"/>
    </row>
    <row r="4695" spans="1:13" x14ac:dyDescent="0.25">
      <c r="A4695" s="2"/>
      <c r="D4695" s="2"/>
      <c r="G4695" s="2"/>
      <c r="J4695" s="2"/>
      <c r="M4695" s="2"/>
    </row>
    <row r="4696" spans="1:13" x14ac:dyDescent="0.25">
      <c r="A4696" s="2"/>
      <c r="D4696" s="2"/>
      <c r="G4696" s="2"/>
      <c r="J4696" s="2"/>
      <c r="M4696" s="2"/>
    </row>
    <row r="4697" spans="1:13" x14ac:dyDescent="0.25">
      <c r="A4697" s="2"/>
      <c r="D4697" s="2"/>
      <c r="G4697" s="2"/>
      <c r="J4697" s="2"/>
      <c r="M4697" s="2"/>
    </row>
    <row r="4698" spans="1:13" x14ac:dyDescent="0.25">
      <c r="A4698" s="2"/>
      <c r="D4698" s="2"/>
      <c r="G4698" s="2"/>
      <c r="J4698" s="2"/>
      <c r="M4698" s="2"/>
    </row>
    <row r="4699" spans="1:13" x14ac:dyDescent="0.25">
      <c r="A4699" s="2"/>
      <c r="D4699" s="2"/>
      <c r="G4699" s="2"/>
      <c r="J4699" s="2"/>
      <c r="M4699" s="2"/>
    </row>
    <row r="4700" spans="1:13" x14ac:dyDescent="0.25">
      <c r="A4700" s="2"/>
      <c r="D4700" s="2"/>
      <c r="G4700" s="2"/>
      <c r="J4700" s="2"/>
      <c r="M4700" s="2"/>
    </row>
    <row r="4701" spans="1:13" x14ac:dyDescent="0.25">
      <c r="A4701" s="2"/>
      <c r="D4701" s="2"/>
      <c r="G4701" s="2"/>
      <c r="J4701" s="2"/>
      <c r="M4701" s="2"/>
    </row>
    <row r="4702" spans="1:13" x14ac:dyDescent="0.25">
      <c r="A4702" s="2"/>
      <c r="D4702" s="2"/>
      <c r="G4702" s="2"/>
      <c r="J4702" s="2"/>
      <c r="M4702" s="2"/>
    </row>
    <row r="4703" spans="1:13" x14ac:dyDescent="0.25">
      <c r="A4703" s="2"/>
      <c r="D4703" s="2"/>
      <c r="G4703" s="2"/>
      <c r="J4703" s="2"/>
      <c r="M4703" s="2"/>
    </row>
    <row r="4704" spans="1:13" x14ac:dyDescent="0.25">
      <c r="A4704" s="2"/>
      <c r="D4704" s="2"/>
      <c r="G4704" s="2"/>
      <c r="J4704" s="2"/>
      <c r="M4704" s="2"/>
    </row>
    <row r="4705" spans="1:13" x14ac:dyDescent="0.25">
      <c r="A4705" s="2"/>
      <c r="D4705" s="2"/>
      <c r="G4705" s="2"/>
      <c r="J4705" s="2"/>
      <c r="M4705" s="2"/>
    </row>
    <row r="4706" spans="1:13" x14ac:dyDescent="0.25">
      <c r="A4706" s="2"/>
      <c r="D4706" s="2"/>
      <c r="G4706" s="2"/>
      <c r="J4706" s="2"/>
      <c r="M4706" s="2"/>
    </row>
    <row r="4707" spans="1:13" x14ac:dyDescent="0.25">
      <c r="A4707" s="2"/>
      <c r="D4707" s="2"/>
      <c r="G4707" s="2"/>
      <c r="J4707" s="2"/>
      <c r="M4707" s="2"/>
    </row>
    <row r="4708" spans="1:13" x14ac:dyDescent="0.25">
      <c r="A4708" s="2"/>
      <c r="D4708" s="2"/>
      <c r="G4708" s="2"/>
      <c r="J4708" s="2"/>
      <c r="M4708" s="2"/>
    </row>
    <row r="4709" spans="1:13" x14ac:dyDescent="0.25">
      <c r="A4709" s="2"/>
      <c r="D4709" s="2"/>
      <c r="G4709" s="2"/>
      <c r="J4709" s="2"/>
      <c r="M4709" s="2"/>
    </row>
    <row r="4710" spans="1:13" x14ac:dyDescent="0.25">
      <c r="A4710" s="2"/>
      <c r="D4710" s="2"/>
      <c r="G4710" s="2"/>
      <c r="J4710" s="2"/>
      <c r="M4710" s="2"/>
    </row>
    <row r="4711" spans="1:13" x14ac:dyDescent="0.25">
      <c r="A4711" s="2"/>
      <c r="D4711" s="2"/>
      <c r="G4711" s="2"/>
      <c r="J4711" s="2"/>
      <c r="M4711" s="2"/>
    </row>
    <row r="4712" spans="1:13" x14ac:dyDescent="0.25">
      <c r="A4712" s="2"/>
      <c r="D4712" s="2"/>
      <c r="G4712" s="2"/>
      <c r="J4712" s="2"/>
      <c r="M4712" s="2"/>
    </row>
    <row r="4713" spans="1:13" x14ac:dyDescent="0.25">
      <c r="A4713" s="2"/>
      <c r="D4713" s="2"/>
      <c r="G4713" s="2"/>
      <c r="J4713" s="2"/>
      <c r="M4713" s="2"/>
    </row>
    <row r="4714" spans="1:13" x14ac:dyDescent="0.25">
      <c r="A4714" s="2"/>
      <c r="D4714" s="2"/>
      <c r="G4714" s="2"/>
      <c r="J4714" s="2"/>
      <c r="M4714" s="2"/>
    </row>
    <row r="4715" spans="1:13" x14ac:dyDescent="0.25">
      <c r="A4715" s="2"/>
      <c r="D4715" s="2"/>
      <c r="G4715" s="2"/>
      <c r="J4715" s="2"/>
      <c r="M4715" s="2"/>
    </row>
    <row r="4716" spans="1:13" x14ac:dyDescent="0.25">
      <c r="A4716" s="2"/>
      <c r="D4716" s="2"/>
      <c r="G4716" s="2"/>
      <c r="J4716" s="2"/>
      <c r="M4716" s="2"/>
    </row>
    <row r="4717" spans="1:13" x14ac:dyDescent="0.25">
      <c r="A4717" s="2"/>
      <c r="D4717" s="2"/>
      <c r="G4717" s="2"/>
      <c r="J4717" s="2"/>
      <c r="M4717" s="2"/>
    </row>
    <row r="4718" spans="1:13" x14ac:dyDescent="0.25">
      <c r="A4718" s="2"/>
      <c r="D4718" s="2"/>
      <c r="G4718" s="2"/>
      <c r="J4718" s="2"/>
      <c r="M4718" s="2"/>
    </row>
    <row r="4719" spans="1:13" x14ac:dyDescent="0.25">
      <c r="A4719" s="2"/>
      <c r="D4719" s="2"/>
      <c r="G4719" s="2"/>
      <c r="J4719" s="2"/>
      <c r="M4719" s="2"/>
    </row>
    <row r="4720" spans="1:13" x14ac:dyDescent="0.25">
      <c r="A4720" s="2"/>
      <c r="D4720" s="2"/>
      <c r="G4720" s="2"/>
      <c r="J4720" s="2"/>
      <c r="M4720" s="2"/>
    </row>
    <row r="4721" spans="1:13" x14ac:dyDescent="0.25">
      <c r="A4721" s="2"/>
      <c r="D4721" s="2"/>
      <c r="G4721" s="2"/>
      <c r="J4721" s="2"/>
      <c r="M4721" s="2"/>
    </row>
    <row r="4722" spans="1:13" x14ac:dyDescent="0.25">
      <c r="A4722" s="2"/>
      <c r="D4722" s="2"/>
      <c r="G4722" s="2"/>
      <c r="J4722" s="2"/>
      <c r="M4722" s="2"/>
    </row>
    <row r="4723" spans="1:13" x14ac:dyDescent="0.25">
      <c r="A4723" s="2"/>
      <c r="D4723" s="2"/>
      <c r="G4723" s="2"/>
      <c r="J4723" s="2"/>
      <c r="M4723" s="2"/>
    </row>
    <row r="4724" spans="1:13" x14ac:dyDescent="0.25">
      <c r="A4724" s="2"/>
      <c r="D4724" s="2"/>
      <c r="G4724" s="2"/>
      <c r="J4724" s="2"/>
      <c r="M4724" s="2"/>
    </row>
    <row r="4725" spans="1:13" x14ac:dyDescent="0.25">
      <c r="A4725" s="2"/>
      <c r="D4725" s="2"/>
      <c r="G4725" s="2"/>
      <c r="J4725" s="2"/>
      <c r="M4725" s="2"/>
    </row>
    <row r="4726" spans="1:13" x14ac:dyDescent="0.25">
      <c r="A4726" s="2"/>
      <c r="D4726" s="2"/>
      <c r="G4726" s="2"/>
      <c r="J4726" s="2"/>
      <c r="M4726" s="2"/>
    </row>
    <row r="4727" spans="1:13" x14ac:dyDescent="0.25">
      <c r="A4727" s="2"/>
      <c r="D4727" s="2"/>
      <c r="G4727" s="2"/>
      <c r="J4727" s="2"/>
      <c r="M4727" s="2"/>
    </row>
    <row r="4728" spans="1:13" x14ac:dyDescent="0.25">
      <c r="A4728" s="2"/>
      <c r="D4728" s="2"/>
      <c r="G4728" s="2"/>
      <c r="J4728" s="2"/>
      <c r="M4728" s="2"/>
    </row>
    <row r="4729" spans="1:13" x14ac:dyDescent="0.25">
      <c r="A4729" s="2"/>
      <c r="D4729" s="2"/>
      <c r="G4729" s="2"/>
      <c r="J4729" s="2"/>
      <c r="M4729" s="2"/>
    </row>
    <row r="4730" spans="1:13" x14ac:dyDescent="0.25">
      <c r="A4730" s="2"/>
      <c r="D4730" s="2"/>
      <c r="G4730" s="2"/>
      <c r="J4730" s="2"/>
      <c r="M4730" s="2"/>
    </row>
    <row r="4731" spans="1:13" x14ac:dyDescent="0.25">
      <c r="A4731" s="2"/>
      <c r="D4731" s="2"/>
      <c r="G4731" s="2"/>
      <c r="J4731" s="2"/>
      <c r="M4731" s="2"/>
    </row>
    <row r="4732" spans="1:13" x14ac:dyDescent="0.25">
      <c r="A4732" s="2"/>
      <c r="D4732" s="2"/>
      <c r="G4732" s="2"/>
      <c r="J4732" s="2"/>
      <c r="M4732" s="2"/>
    </row>
    <row r="4733" spans="1:13" x14ac:dyDescent="0.25">
      <c r="A4733" s="2"/>
      <c r="D4733" s="2"/>
      <c r="G4733" s="2"/>
      <c r="J4733" s="2"/>
      <c r="M4733" s="2"/>
    </row>
    <row r="4734" spans="1:13" x14ac:dyDescent="0.25">
      <c r="A4734" s="2"/>
      <c r="D4734" s="2"/>
      <c r="G4734" s="2"/>
      <c r="J4734" s="2"/>
      <c r="M4734" s="2"/>
    </row>
    <row r="4735" spans="1:13" x14ac:dyDescent="0.25">
      <c r="A4735" s="2"/>
      <c r="D4735" s="2"/>
      <c r="G4735" s="2"/>
      <c r="J4735" s="2"/>
      <c r="M4735" s="2"/>
    </row>
    <row r="4736" spans="1:13" x14ac:dyDescent="0.25">
      <c r="A4736" s="2"/>
      <c r="D4736" s="2"/>
      <c r="G4736" s="2"/>
      <c r="J4736" s="2"/>
      <c r="M4736" s="2"/>
    </row>
    <row r="4737" spans="1:13" x14ac:dyDescent="0.25">
      <c r="A4737" s="2"/>
      <c r="D4737" s="2"/>
      <c r="G4737" s="2"/>
      <c r="J4737" s="2"/>
      <c r="M4737" s="2"/>
    </row>
    <row r="4738" spans="1:13" x14ac:dyDescent="0.25">
      <c r="A4738" s="2"/>
      <c r="D4738" s="2"/>
      <c r="G4738" s="2"/>
      <c r="J4738" s="2"/>
      <c r="M4738" s="2"/>
    </row>
    <row r="4739" spans="1:13" x14ac:dyDescent="0.25">
      <c r="A4739" s="2"/>
      <c r="D4739" s="2"/>
      <c r="G4739" s="2"/>
      <c r="J4739" s="2"/>
      <c r="M4739" s="2"/>
    </row>
    <row r="4740" spans="1:13" x14ac:dyDescent="0.25">
      <c r="A4740" s="2"/>
      <c r="D4740" s="2"/>
      <c r="G4740" s="2"/>
      <c r="J4740" s="2"/>
      <c r="M4740" s="2"/>
    </row>
    <row r="4741" spans="1:13" x14ac:dyDescent="0.25">
      <c r="A4741" s="2"/>
      <c r="D4741" s="2"/>
      <c r="G4741" s="2"/>
      <c r="J4741" s="2"/>
      <c r="M4741" s="2"/>
    </row>
    <row r="4742" spans="1:13" x14ac:dyDescent="0.25">
      <c r="A4742" s="2"/>
      <c r="D4742" s="2"/>
      <c r="G4742" s="2"/>
      <c r="J4742" s="2"/>
      <c r="M4742" s="2"/>
    </row>
    <row r="4743" spans="1:13" x14ac:dyDescent="0.25">
      <c r="A4743" s="2"/>
      <c r="D4743" s="2"/>
      <c r="G4743" s="2"/>
      <c r="J4743" s="2"/>
      <c r="M4743" s="2"/>
    </row>
    <row r="4744" spans="1:13" x14ac:dyDescent="0.25">
      <c r="A4744" s="2"/>
      <c r="D4744" s="2"/>
      <c r="G4744" s="2"/>
      <c r="J4744" s="2"/>
      <c r="M4744" s="2"/>
    </row>
    <row r="4745" spans="1:13" x14ac:dyDescent="0.25">
      <c r="A4745" s="2"/>
      <c r="D4745" s="2"/>
      <c r="G4745" s="2"/>
      <c r="J4745" s="2"/>
      <c r="M4745" s="2"/>
    </row>
    <row r="4746" spans="1:13" x14ac:dyDescent="0.25">
      <c r="A4746" s="2"/>
      <c r="D4746" s="2"/>
      <c r="G4746" s="2"/>
      <c r="J4746" s="2"/>
      <c r="M4746" s="2"/>
    </row>
    <row r="4747" spans="1:13" x14ac:dyDescent="0.25">
      <c r="A4747" s="2"/>
      <c r="D4747" s="2"/>
      <c r="G4747" s="2"/>
      <c r="J4747" s="2"/>
      <c r="M4747" s="2"/>
    </row>
    <row r="4748" spans="1:13" x14ac:dyDescent="0.25">
      <c r="A4748" s="2"/>
      <c r="D4748" s="2"/>
      <c r="G4748" s="2"/>
      <c r="J4748" s="2"/>
      <c r="M4748" s="2"/>
    </row>
    <row r="4749" spans="1:13" x14ac:dyDescent="0.25">
      <c r="A4749" s="2"/>
      <c r="D4749" s="2"/>
      <c r="G4749" s="2"/>
      <c r="J4749" s="2"/>
      <c r="M4749" s="2"/>
    </row>
    <row r="4750" spans="1:13" x14ac:dyDescent="0.25">
      <c r="A4750" s="2"/>
      <c r="D4750" s="2"/>
      <c r="G4750" s="2"/>
      <c r="J4750" s="2"/>
      <c r="M4750" s="2"/>
    </row>
    <row r="4751" spans="1:13" x14ac:dyDescent="0.25">
      <c r="A4751" s="2"/>
      <c r="D4751" s="2"/>
      <c r="G4751" s="2"/>
      <c r="J4751" s="2"/>
      <c r="M4751" s="2"/>
    </row>
    <row r="4752" spans="1:13" x14ac:dyDescent="0.25">
      <c r="A4752" s="2"/>
      <c r="D4752" s="2"/>
      <c r="G4752" s="2"/>
      <c r="J4752" s="2"/>
      <c r="M4752" s="2"/>
    </row>
    <row r="4753" spans="1:13" x14ac:dyDescent="0.25">
      <c r="A4753" s="2"/>
      <c r="D4753" s="2"/>
      <c r="G4753" s="2"/>
      <c r="J4753" s="2"/>
      <c r="M4753" s="2"/>
    </row>
    <row r="4754" spans="1:13" x14ac:dyDescent="0.25">
      <c r="A4754" s="2"/>
      <c r="D4754" s="2"/>
      <c r="G4754" s="2"/>
      <c r="J4754" s="2"/>
      <c r="M4754" s="2"/>
    </row>
    <row r="4755" spans="1:13" x14ac:dyDescent="0.25">
      <c r="A4755" s="2"/>
      <c r="D4755" s="2"/>
      <c r="G4755" s="2"/>
      <c r="J4755" s="2"/>
      <c r="M4755" s="2"/>
    </row>
    <row r="4756" spans="1:13" x14ac:dyDescent="0.25">
      <c r="A4756" s="2"/>
      <c r="D4756" s="2"/>
      <c r="G4756" s="2"/>
      <c r="J4756" s="2"/>
      <c r="M4756" s="2"/>
    </row>
    <row r="4757" spans="1:13" x14ac:dyDescent="0.25">
      <c r="A4757" s="2"/>
      <c r="D4757" s="2"/>
      <c r="G4757" s="2"/>
      <c r="J4757" s="2"/>
      <c r="M4757" s="2"/>
    </row>
    <row r="4758" spans="1:13" x14ac:dyDescent="0.25">
      <c r="A4758" s="2"/>
      <c r="D4758" s="2"/>
      <c r="G4758" s="2"/>
      <c r="J4758" s="2"/>
      <c r="M4758" s="2"/>
    </row>
    <row r="4759" spans="1:13" x14ac:dyDescent="0.25">
      <c r="A4759" s="2"/>
      <c r="D4759" s="2"/>
      <c r="G4759" s="2"/>
      <c r="J4759" s="2"/>
      <c r="M4759" s="2"/>
    </row>
    <row r="4760" spans="1:13" x14ac:dyDescent="0.25">
      <c r="A4760" s="2"/>
      <c r="D4760" s="2"/>
      <c r="G4760" s="2"/>
      <c r="J4760" s="2"/>
      <c r="M4760" s="2"/>
    </row>
    <row r="4761" spans="1:13" x14ac:dyDescent="0.25">
      <c r="A4761" s="2"/>
      <c r="D4761" s="2"/>
      <c r="G4761" s="2"/>
      <c r="J4761" s="2"/>
      <c r="M4761" s="2"/>
    </row>
    <row r="4762" spans="1:13" x14ac:dyDescent="0.25">
      <c r="A4762" s="2"/>
      <c r="D4762" s="2"/>
      <c r="G4762" s="2"/>
      <c r="J4762" s="2"/>
      <c r="M4762" s="2"/>
    </row>
    <row r="4763" spans="1:13" x14ac:dyDescent="0.25">
      <c r="A4763" s="2"/>
      <c r="D4763" s="2"/>
      <c r="G4763" s="2"/>
      <c r="J4763" s="2"/>
      <c r="M4763" s="2"/>
    </row>
    <row r="4764" spans="1:13" x14ac:dyDescent="0.25">
      <c r="A4764" s="2"/>
      <c r="D4764" s="2"/>
      <c r="G4764" s="2"/>
      <c r="J4764" s="2"/>
      <c r="M4764" s="2"/>
    </row>
    <row r="4765" spans="1:13" x14ac:dyDescent="0.25">
      <c r="A4765" s="2"/>
      <c r="D4765" s="2"/>
      <c r="G4765" s="2"/>
      <c r="J4765" s="2"/>
      <c r="M4765" s="2"/>
    </row>
    <row r="4766" spans="1:13" x14ac:dyDescent="0.25">
      <c r="A4766" s="2"/>
      <c r="D4766" s="2"/>
      <c r="G4766" s="2"/>
      <c r="J4766" s="2"/>
      <c r="M4766" s="2"/>
    </row>
    <row r="4767" spans="1:13" x14ac:dyDescent="0.25">
      <c r="A4767" s="2"/>
      <c r="D4767" s="2"/>
      <c r="G4767" s="2"/>
      <c r="J4767" s="2"/>
      <c r="M4767" s="2"/>
    </row>
    <row r="4768" spans="1:13" x14ac:dyDescent="0.25">
      <c r="A4768" s="2"/>
      <c r="D4768" s="2"/>
      <c r="G4768" s="2"/>
      <c r="J4768" s="2"/>
      <c r="M4768" s="2"/>
    </row>
    <row r="4769" spans="1:13" x14ac:dyDescent="0.25">
      <c r="A4769" s="2"/>
      <c r="D4769" s="2"/>
      <c r="G4769" s="2"/>
      <c r="J4769" s="2"/>
      <c r="M4769" s="2"/>
    </row>
    <row r="4770" spans="1:13" x14ac:dyDescent="0.25">
      <c r="A4770" s="2"/>
      <c r="D4770" s="2"/>
      <c r="G4770" s="2"/>
      <c r="J4770" s="2"/>
      <c r="M4770" s="2"/>
    </row>
    <row r="4771" spans="1:13" x14ac:dyDescent="0.25">
      <c r="A4771" s="2"/>
      <c r="D4771" s="2"/>
      <c r="G4771" s="2"/>
      <c r="J4771" s="2"/>
      <c r="M4771" s="2"/>
    </row>
    <row r="4772" spans="1:13" x14ac:dyDescent="0.25">
      <c r="A4772" s="2"/>
      <c r="D4772" s="2"/>
      <c r="G4772" s="2"/>
      <c r="J4772" s="2"/>
      <c r="M4772" s="2"/>
    </row>
    <row r="4773" spans="1:13" x14ac:dyDescent="0.25">
      <c r="A4773" s="2"/>
      <c r="D4773" s="2"/>
      <c r="G4773" s="2"/>
      <c r="J4773" s="2"/>
      <c r="M4773" s="2"/>
    </row>
    <row r="4774" spans="1:13" x14ac:dyDescent="0.25">
      <c r="A4774" s="2"/>
      <c r="D4774" s="2"/>
      <c r="G4774" s="2"/>
      <c r="J4774" s="2"/>
      <c r="M4774" s="2"/>
    </row>
    <row r="4775" spans="1:13" x14ac:dyDescent="0.25">
      <c r="A4775" s="2"/>
      <c r="D4775" s="2"/>
      <c r="G4775" s="2"/>
      <c r="J4775" s="2"/>
      <c r="M4775" s="2"/>
    </row>
    <row r="4776" spans="1:13" x14ac:dyDescent="0.25">
      <c r="A4776" s="2"/>
      <c r="D4776" s="2"/>
      <c r="G4776" s="2"/>
      <c r="J4776" s="2"/>
      <c r="M4776" s="2"/>
    </row>
    <row r="4777" spans="1:13" x14ac:dyDescent="0.25">
      <c r="A4777" s="2"/>
      <c r="D4777" s="2"/>
      <c r="G4777" s="2"/>
      <c r="J4777" s="2"/>
      <c r="M4777" s="2"/>
    </row>
    <row r="4778" spans="1:13" x14ac:dyDescent="0.25">
      <c r="A4778" s="2"/>
      <c r="D4778" s="2"/>
      <c r="G4778" s="2"/>
      <c r="J4778" s="2"/>
      <c r="M4778" s="2"/>
    </row>
    <row r="4779" spans="1:13" x14ac:dyDescent="0.25">
      <c r="A4779" s="2"/>
      <c r="D4779" s="2"/>
      <c r="G4779" s="2"/>
      <c r="J4779" s="2"/>
      <c r="M4779" s="2"/>
    </row>
    <row r="4780" spans="1:13" x14ac:dyDescent="0.25">
      <c r="A4780" s="2"/>
      <c r="D4780" s="2"/>
      <c r="G4780" s="2"/>
      <c r="J4780" s="2"/>
      <c r="M4780" s="2"/>
    </row>
    <row r="4781" spans="1:13" x14ac:dyDescent="0.25">
      <c r="A4781" s="2"/>
      <c r="D4781" s="2"/>
      <c r="G4781" s="2"/>
      <c r="J4781" s="2"/>
      <c r="M4781" s="2"/>
    </row>
    <row r="4782" spans="1:13" x14ac:dyDescent="0.25">
      <c r="A4782" s="2"/>
      <c r="D4782" s="2"/>
      <c r="G4782" s="2"/>
      <c r="J4782" s="2"/>
      <c r="M4782" s="2"/>
    </row>
    <row r="4783" spans="1:13" x14ac:dyDescent="0.25">
      <c r="A4783" s="2"/>
      <c r="D4783" s="2"/>
      <c r="G4783" s="2"/>
      <c r="J4783" s="2"/>
      <c r="M4783" s="2"/>
    </row>
    <row r="4784" spans="1:13" x14ac:dyDescent="0.25">
      <c r="A4784" s="2"/>
      <c r="D4784" s="2"/>
      <c r="G4784" s="2"/>
      <c r="J4784" s="2"/>
      <c r="M4784" s="2"/>
    </row>
    <row r="4785" spans="1:13" x14ac:dyDescent="0.25">
      <c r="A4785" s="2"/>
      <c r="D4785" s="2"/>
      <c r="G4785" s="2"/>
      <c r="J4785" s="2"/>
      <c r="M4785" s="2"/>
    </row>
    <row r="4786" spans="1:13" x14ac:dyDescent="0.25">
      <c r="A4786" s="2"/>
      <c r="D4786" s="2"/>
      <c r="G4786" s="2"/>
      <c r="J4786" s="2"/>
      <c r="M4786" s="2"/>
    </row>
    <row r="4787" spans="1:13" x14ac:dyDescent="0.25">
      <c r="A4787" s="2"/>
      <c r="D4787" s="2"/>
      <c r="G4787" s="2"/>
      <c r="J4787" s="2"/>
      <c r="M4787" s="2"/>
    </row>
    <row r="4788" spans="1:13" x14ac:dyDescent="0.25">
      <c r="A4788" s="2"/>
      <c r="D4788" s="2"/>
      <c r="G4788" s="2"/>
      <c r="J4788" s="2"/>
      <c r="M4788" s="2"/>
    </row>
    <row r="4789" spans="1:13" x14ac:dyDescent="0.25">
      <c r="A4789" s="2"/>
      <c r="D4789" s="2"/>
      <c r="G4789" s="2"/>
      <c r="J4789" s="2"/>
      <c r="M4789" s="2"/>
    </row>
    <row r="4790" spans="1:13" x14ac:dyDescent="0.25">
      <c r="A4790" s="2"/>
      <c r="D4790" s="2"/>
      <c r="G4790" s="2"/>
      <c r="J4790" s="2"/>
      <c r="M4790" s="2"/>
    </row>
    <row r="4791" spans="1:13" x14ac:dyDescent="0.25">
      <c r="A4791" s="2"/>
      <c r="D4791" s="2"/>
      <c r="G4791" s="2"/>
      <c r="J4791" s="2"/>
      <c r="M4791" s="2"/>
    </row>
    <row r="4792" spans="1:13" x14ac:dyDescent="0.25">
      <c r="A4792" s="2"/>
      <c r="D4792" s="2"/>
      <c r="G4792" s="2"/>
      <c r="J4792" s="2"/>
      <c r="M4792" s="2"/>
    </row>
    <row r="4793" spans="1:13" x14ac:dyDescent="0.25">
      <c r="A4793" s="2"/>
      <c r="D4793" s="2"/>
      <c r="G4793" s="2"/>
      <c r="J4793" s="2"/>
      <c r="M4793" s="2"/>
    </row>
    <row r="4794" spans="1:13" x14ac:dyDescent="0.25">
      <c r="A4794" s="2"/>
      <c r="D4794" s="2"/>
      <c r="G4794" s="2"/>
      <c r="J4794" s="2"/>
      <c r="M4794" s="2"/>
    </row>
    <row r="4795" spans="1:13" x14ac:dyDescent="0.25">
      <c r="A4795" s="2"/>
      <c r="D4795" s="2"/>
      <c r="G4795" s="2"/>
      <c r="J4795" s="2"/>
      <c r="M4795" s="2"/>
    </row>
    <row r="4796" spans="1:13" x14ac:dyDescent="0.25">
      <c r="A4796" s="2"/>
      <c r="D4796" s="2"/>
      <c r="G4796" s="2"/>
      <c r="J4796" s="2"/>
      <c r="M4796" s="2"/>
    </row>
    <row r="4797" spans="1:13" x14ac:dyDescent="0.25">
      <c r="A4797" s="2"/>
      <c r="D4797" s="2"/>
      <c r="G4797" s="2"/>
      <c r="J4797" s="2"/>
      <c r="M4797" s="2"/>
    </row>
    <row r="4798" spans="1:13" x14ac:dyDescent="0.25">
      <c r="A4798" s="2"/>
      <c r="D4798" s="2"/>
      <c r="G4798" s="2"/>
      <c r="J4798" s="2"/>
      <c r="M4798" s="2"/>
    </row>
    <row r="4799" spans="1:13" x14ac:dyDescent="0.25">
      <c r="A4799" s="2"/>
      <c r="D4799" s="2"/>
      <c r="G4799" s="2"/>
      <c r="J4799" s="2"/>
      <c r="M4799" s="2"/>
    </row>
    <row r="4800" spans="1:13" x14ac:dyDescent="0.25">
      <c r="A4800" s="2"/>
      <c r="D4800" s="2"/>
      <c r="G4800" s="2"/>
      <c r="J4800" s="2"/>
      <c r="M4800" s="2"/>
    </row>
    <row r="4801" spans="1:13" x14ac:dyDescent="0.25">
      <c r="A4801" s="2"/>
      <c r="D4801" s="2"/>
      <c r="G4801" s="2"/>
      <c r="J4801" s="2"/>
      <c r="M4801" s="2"/>
    </row>
    <row r="4802" spans="1:13" x14ac:dyDescent="0.25">
      <c r="A4802" s="2"/>
      <c r="D4802" s="2"/>
      <c r="G4802" s="2"/>
      <c r="J4802" s="2"/>
      <c r="M4802" s="2"/>
    </row>
    <row r="4803" spans="1:13" x14ac:dyDescent="0.25">
      <c r="A4803" s="2"/>
      <c r="D4803" s="2"/>
      <c r="G4803" s="2"/>
      <c r="J4803" s="2"/>
      <c r="M4803" s="2"/>
    </row>
    <row r="4804" spans="1:13" x14ac:dyDescent="0.25">
      <c r="A4804" s="2"/>
      <c r="D4804" s="2"/>
      <c r="G4804" s="2"/>
      <c r="J4804" s="2"/>
      <c r="M4804" s="2"/>
    </row>
    <row r="4805" spans="1:13" x14ac:dyDescent="0.25">
      <c r="A4805" s="2"/>
      <c r="D4805" s="2"/>
      <c r="G4805" s="2"/>
      <c r="J4805" s="2"/>
      <c r="M4805" s="2"/>
    </row>
    <row r="4806" spans="1:13" x14ac:dyDescent="0.25">
      <c r="A4806" s="2"/>
      <c r="D4806" s="2"/>
      <c r="G4806" s="2"/>
      <c r="J4806" s="2"/>
      <c r="M4806" s="2"/>
    </row>
    <row r="4807" spans="1:13" x14ac:dyDescent="0.25">
      <c r="A4807" s="2"/>
      <c r="D4807" s="2"/>
      <c r="G4807" s="2"/>
      <c r="J4807" s="2"/>
      <c r="M4807" s="2"/>
    </row>
    <row r="4808" spans="1:13" x14ac:dyDescent="0.25">
      <c r="A4808" s="2"/>
      <c r="D4808" s="2"/>
      <c r="G4808" s="2"/>
      <c r="J4808" s="2"/>
      <c r="M4808" s="2"/>
    </row>
    <row r="4809" spans="1:13" x14ac:dyDescent="0.25">
      <c r="A4809" s="2"/>
      <c r="D4809" s="2"/>
      <c r="G4809" s="2"/>
      <c r="J4809" s="2"/>
      <c r="M4809" s="2"/>
    </row>
    <row r="4810" spans="1:13" x14ac:dyDescent="0.25">
      <c r="A4810" s="2"/>
      <c r="D4810" s="2"/>
      <c r="G4810" s="2"/>
      <c r="J4810" s="2"/>
      <c r="M4810" s="2"/>
    </row>
    <row r="4811" spans="1:13" x14ac:dyDescent="0.25">
      <c r="A4811" s="2"/>
      <c r="D4811" s="2"/>
      <c r="G4811" s="2"/>
      <c r="J4811" s="2"/>
      <c r="M4811" s="2"/>
    </row>
    <row r="4812" spans="1:13" x14ac:dyDescent="0.25">
      <c r="A4812" s="2"/>
      <c r="D4812" s="2"/>
      <c r="G4812" s="2"/>
      <c r="J4812" s="2"/>
      <c r="M4812" s="2"/>
    </row>
    <row r="4813" spans="1:13" x14ac:dyDescent="0.25">
      <c r="A4813" s="2"/>
      <c r="D4813" s="2"/>
      <c r="G4813" s="2"/>
      <c r="J4813" s="2"/>
      <c r="M4813" s="2"/>
    </row>
    <row r="4814" spans="1:13" x14ac:dyDescent="0.25">
      <c r="A4814" s="2"/>
      <c r="D4814" s="2"/>
      <c r="G4814" s="2"/>
      <c r="J4814" s="2"/>
      <c r="M4814" s="2"/>
    </row>
    <row r="4815" spans="1:13" x14ac:dyDescent="0.25">
      <c r="A4815" s="2"/>
      <c r="D4815" s="2"/>
      <c r="G4815" s="2"/>
      <c r="J4815" s="2"/>
      <c r="M4815" s="2"/>
    </row>
    <row r="4816" spans="1:13" x14ac:dyDescent="0.25">
      <c r="A4816" s="2"/>
      <c r="D4816" s="2"/>
      <c r="G4816" s="2"/>
      <c r="J4816" s="2"/>
      <c r="M4816" s="2"/>
    </row>
    <row r="4817" spans="1:13" x14ac:dyDescent="0.25">
      <c r="A4817" s="2"/>
      <c r="D4817" s="2"/>
      <c r="G4817" s="2"/>
      <c r="J4817" s="2"/>
      <c r="M4817" s="2"/>
    </row>
    <row r="4818" spans="1:13" x14ac:dyDescent="0.25">
      <c r="A4818" s="2"/>
      <c r="D4818" s="2"/>
      <c r="G4818" s="2"/>
      <c r="J4818" s="2"/>
      <c r="M4818" s="2"/>
    </row>
    <row r="4819" spans="1:13" x14ac:dyDescent="0.25">
      <c r="A4819" s="2"/>
      <c r="D4819" s="2"/>
      <c r="G4819" s="2"/>
      <c r="J4819" s="2"/>
      <c r="M4819" s="2"/>
    </row>
    <row r="4820" spans="1:13" x14ac:dyDescent="0.25">
      <c r="A4820" s="2"/>
      <c r="D4820" s="2"/>
      <c r="G4820" s="2"/>
      <c r="J4820" s="2"/>
      <c r="M4820" s="2"/>
    </row>
    <row r="4821" spans="1:13" x14ac:dyDescent="0.25">
      <c r="A4821" s="2"/>
      <c r="D4821" s="2"/>
      <c r="G4821" s="2"/>
      <c r="J4821" s="2"/>
      <c r="M4821" s="2"/>
    </row>
    <row r="4822" spans="1:13" x14ac:dyDescent="0.25">
      <c r="A4822" s="2"/>
      <c r="D4822" s="2"/>
      <c r="G4822" s="2"/>
      <c r="J4822" s="2"/>
      <c r="M4822" s="2"/>
    </row>
    <row r="4823" spans="1:13" x14ac:dyDescent="0.25">
      <c r="A4823" s="2"/>
      <c r="D4823" s="2"/>
      <c r="G4823" s="2"/>
      <c r="J4823" s="2"/>
      <c r="M4823" s="2"/>
    </row>
    <row r="4824" spans="1:13" x14ac:dyDescent="0.25">
      <c r="A4824" s="2"/>
      <c r="D4824" s="2"/>
      <c r="G4824" s="2"/>
      <c r="J4824" s="2"/>
      <c r="M4824" s="2"/>
    </row>
    <row r="4825" spans="1:13" x14ac:dyDescent="0.25">
      <c r="A4825" s="2"/>
      <c r="D4825" s="2"/>
      <c r="G4825" s="2"/>
      <c r="J4825" s="2"/>
      <c r="M4825" s="2"/>
    </row>
    <row r="4826" spans="1:13" x14ac:dyDescent="0.25">
      <c r="A4826" s="2"/>
      <c r="D4826" s="2"/>
      <c r="G4826" s="2"/>
      <c r="J4826" s="2"/>
      <c r="M4826" s="2"/>
    </row>
    <row r="4827" spans="1:13" x14ac:dyDescent="0.25">
      <c r="A4827" s="2"/>
      <c r="D4827" s="2"/>
      <c r="G4827" s="2"/>
      <c r="J4827" s="2"/>
      <c r="M4827" s="2"/>
    </row>
    <row r="4828" spans="1:13" x14ac:dyDescent="0.25">
      <c r="A4828" s="2"/>
      <c r="D4828" s="2"/>
      <c r="G4828" s="2"/>
      <c r="J4828" s="2"/>
      <c r="M4828" s="2"/>
    </row>
    <row r="4829" spans="1:13" x14ac:dyDescent="0.25">
      <c r="A4829" s="2"/>
      <c r="D4829" s="2"/>
      <c r="G4829" s="2"/>
      <c r="J4829" s="2"/>
      <c r="M4829" s="2"/>
    </row>
    <row r="4830" spans="1:13" x14ac:dyDescent="0.25">
      <c r="A4830" s="2"/>
      <c r="D4830" s="2"/>
      <c r="G4830" s="2"/>
      <c r="J4830" s="2"/>
      <c r="M4830" s="2"/>
    </row>
    <row r="4831" spans="1:13" x14ac:dyDescent="0.25">
      <c r="A4831" s="2"/>
      <c r="D4831" s="2"/>
      <c r="G4831" s="2"/>
      <c r="J4831" s="2"/>
      <c r="M4831" s="2"/>
    </row>
    <row r="4832" spans="1:13" x14ac:dyDescent="0.25">
      <c r="A4832" s="2"/>
      <c r="D4832" s="2"/>
      <c r="G4832" s="2"/>
      <c r="J4832" s="2"/>
      <c r="M4832" s="2"/>
    </row>
    <row r="4833" spans="1:13" x14ac:dyDescent="0.25">
      <c r="A4833" s="2"/>
      <c r="D4833" s="2"/>
      <c r="G4833" s="2"/>
      <c r="J4833" s="2"/>
      <c r="M4833" s="2"/>
    </row>
    <row r="4834" spans="1:13" x14ac:dyDescent="0.25">
      <c r="A4834" s="2"/>
      <c r="D4834" s="2"/>
      <c r="G4834" s="2"/>
      <c r="J4834" s="2"/>
      <c r="M4834" s="2"/>
    </row>
    <row r="4835" spans="1:13" x14ac:dyDescent="0.25">
      <c r="A4835" s="2"/>
      <c r="D4835" s="2"/>
      <c r="G4835" s="2"/>
      <c r="J4835" s="2"/>
      <c r="M4835" s="2"/>
    </row>
    <row r="4836" spans="1:13" x14ac:dyDescent="0.25">
      <c r="A4836" s="2"/>
      <c r="D4836" s="2"/>
      <c r="G4836" s="2"/>
      <c r="J4836" s="2"/>
      <c r="M4836" s="2"/>
    </row>
    <row r="4837" spans="1:13" x14ac:dyDescent="0.25">
      <c r="A4837" s="2"/>
      <c r="D4837" s="2"/>
      <c r="G4837" s="2"/>
      <c r="J4837" s="2"/>
      <c r="M4837" s="2"/>
    </row>
    <row r="4838" spans="1:13" x14ac:dyDescent="0.25">
      <c r="A4838" s="2"/>
      <c r="D4838" s="2"/>
      <c r="G4838" s="2"/>
      <c r="J4838" s="2"/>
      <c r="M4838" s="2"/>
    </row>
    <row r="4839" spans="1:13" x14ac:dyDescent="0.25">
      <c r="A4839" s="2"/>
      <c r="D4839" s="2"/>
      <c r="G4839" s="2"/>
      <c r="J4839" s="2"/>
      <c r="M4839" s="2"/>
    </row>
    <row r="4840" spans="1:13" x14ac:dyDescent="0.25">
      <c r="A4840" s="2"/>
      <c r="D4840" s="2"/>
      <c r="G4840" s="2"/>
      <c r="J4840" s="2"/>
      <c r="M4840" s="2"/>
    </row>
    <row r="4841" spans="1:13" x14ac:dyDescent="0.25">
      <c r="A4841" s="2"/>
      <c r="D4841" s="2"/>
      <c r="G4841" s="2"/>
      <c r="J4841" s="2"/>
      <c r="M4841" s="2"/>
    </row>
    <row r="4842" spans="1:13" x14ac:dyDescent="0.25">
      <c r="A4842" s="2"/>
      <c r="D4842" s="2"/>
      <c r="G4842" s="2"/>
      <c r="J4842" s="2"/>
      <c r="M4842" s="2"/>
    </row>
    <row r="4843" spans="1:13" x14ac:dyDescent="0.25">
      <c r="A4843" s="2"/>
      <c r="D4843" s="2"/>
      <c r="G4843" s="2"/>
      <c r="J4843" s="2"/>
      <c r="M4843" s="2"/>
    </row>
    <row r="4844" spans="1:13" x14ac:dyDescent="0.25">
      <c r="A4844" s="2"/>
      <c r="D4844" s="2"/>
      <c r="G4844" s="2"/>
      <c r="J4844" s="2"/>
      <c r="M4844" s="2"/>
    </row>
    <row r="4845" spans="1:13" x14ac:dyDescent="0.25">
      <c r="A4845" s="2"/>
      <c r="D4845" s="2"/>
      <c r="G4845" s="2"/>
      <c r="J4845" s="2"/>
      <c r="M4845" s="2"/>
    </row>
    <row r="4846" spans="1:13" x14ac:dyDescent="0.25">
      <c r="A4846" s="2"/>
      <c r="D4846" s="2"/>
      <c r="G4846" s="2"/>
      <c r="J4846" s="2"/>
      <c r="M4846" s="2"/>
    </row>
    <row r="4847" spans="1:13" x14ac:dyDescent="0.25">
      <c r="A4847" s="2"/>
      <c r="D4847" s="2"/>
      <c r="G4847" s="2"/>
      <c r="J4847" s="2"/>
      <c r="M4847" s="2"/>
    </row>
    <row r="4848" spans="1:13" x14ac:dyDescent="0.25">
      <c r="A4848" s="2"/>
      <c r="D4848" s="2"/>
      <c r="G4848" s="2"/>
      <c r="J4848" s="2"/>
      <c r="M4848" s="2"/>
    </row>
    <row r="4849" spans="1:13" x14ac:dyDescent="0.25">
      <c r="A4849" s="2"/>
      <c r="D4849" s="2"/>
      <c r="G4849" s="2"/>
      <c r="J4849" s="2"/>
      <c r="M4849" s="2"/>
    </row>
    <row r="4850" spans="1:13" x14ac:dyDescent="0.25">
      <c r="A4850" s="2"/>
      <c r="D4850" s="2"/>
      <c r="G4850" s="2"/>
      <c r="J4850" s="2"/>
      <c r="M4850" s="2"/>
    </row>
    <row r="4851" spans="1:13" x14ac:dyDescent="0.25">
      <c r="A4851" s="2"/>
      <c r="D4851" s="2"/>
      <c r="G4851" s="2"/>
      <c r="J4851" s="2"/>
      <c r="M4851" s="2"/>
    </row>
    <row r="4852" spans="1:13" x14ac:dyDescent="0.25">
      <c r="A4852" s="2"/>
      <c r="D4852" s="2"/>
      <c r="G4852" s="2"/>
      <c r="J4852" s="2"/>
      <c r="M4852" s="2"/>
    </row>
    <row r="4853" spans="1:13" x14ac:dyDescent="0.25">
      <c r="A4853" s="2"/>
      <c r="D4853" s="2"/>
      <c r="G4853" s="2"/>
      <c r="J4853" s="2"/>
      <c r="M4853" s="2"/>
    </row>
    <row r="4854" spans="1:13" x14ac:dyDescent="0.25">
      <c r="A4854" s="2"/>
      <c r="D4854" s="2"/>
      <c r="G4854" s="2"/>
      <c r="J4854" s="2"/>
      <c r="M4854" s="2"/>
    </row>
    <row r="4855" spans="1:13" x14ac:dyDescent="0.25">
      <c r="A4855" s="2"/>
      <c r="D4855" s="2"/>
      <c r="G4855" s="2"/>
      <c r="J4855" s="2"/>
      <c r="M4855" s="2"/>
    </row>
    <row r="4856" spans="1:13" x14ac:dyDescent="0.25">
      <c r="A4856" s="2"/>
      <c r="D4856" s="2"/>
      <c r="G4856" s="2"/>
      <c r="J4856" s="2"/>
      <c r="M4856" s="2"/>
    </row>
    <row r="4857" spans="1:13" x14ac:dyDescent="0.25">
      <c r="A4857" s="2"/>
      <c r="D4857" s="2"/>
      <c r="G4857" s="2"/>
      <c r="J4857" s="2"/>
      <c r="M4857" s="2"/>
    </row>
    <row r="4858" spans="1:13" x14ac:dyDescent="0.25">
      <c r="A4858" s="2"/>
      <c r="D4858" s="2"/>
      <c r="G4858" s="2"/>
      <c r="J4858" s="2"/>
      <c r="M4858" s="2"/>
    </row>
    <row r="4859" spans="1:13" x14ac:dyDescent="0.25">
      <c r="A4859" s="2"/>
      <c r="D4859" s="2"/>
      <c r="G4859" s="2"/>
      <c r="J4859" s="2"/>
      <c r="M4859" s="2"/>
    </row>
    <row r="4860" spans="1:13" x14ac:dyDescent="0.25">
      <c r="A4860" s="2"/>
      <c r="D4860" s="2"/>
      <c r="G4860" s="2"/>
      <c r="J4860" s="2"/>
      <c r="M4860" s="2"/>
    </row>
    <row r="4861" spans="1:13" x14ac:dyDescent="0.25">
      <c r="A4861" s="2"/>
      <c r="D4861" s="2"/>
      <c r="G4861" s="2"/>
      <c r="J4861" s="2"/>
      <c r="M4861" s="2"/>
    </row>
    <row r="4862" spans="1:13" x14ac:dyDescent="0.25">
      <c r="A4862" s="2"/>
      <c r="D4862" s="2"/>
      <c r="G4862" s="2"/>
      <c r="J4862" s="2"/>
      <c r="M4862" s="2"/>
    </row>
    <row r="4863" spans="1:13" x14ac:dyDescent="0.25">
      <c r="A4863" s="2"/>
      <c r="D4863" s="2"/>
      <c r="G4863" s="2"/>
      <c r="J4863" s="2"/>
      <c r="M4863" s="2"/>
    </row>
    <row r="4864" spans="1:13" x14ac:dyDescent="0.25">
      <c r="A4864" s="2"/>
      <c r="D4864" s="2"/>
      <c r="G4864" s="2"/>
      <c r="J4864" s="2"/>
      <c r="M4864" s="2"/>
    </row>
    <row r="4865" spans="1:13" x14ac:dyDescent="0.25">
      <c r="A4865" s="2"/>
      <c r="D4865" s="2"/>
      <c r="G4865" s="2"/>
      <c r="J4865" s="2"/>
      <c r="M4865" s="2"/>
    </row>
    <row r="4866" spans="1:13" x14ac:dyDescent="0.25">
      <c r="A4866" s="2"/>
      <c r="D4866" s="2"/>
      <c r="G4866" s="2"/>
      <c r="J4866" s="2"/>
      <c r="M4866" s="2"/>
    </row>
    <row r="4867" spans="1:13" x14ac:dyDescent="0.25">
      <c r="A4867" s="2"/>
      <c r="D4867" s="2"/>
      <c r="G4867" s="2"/>
      <c r="J4867" s="2"/>
      <c r="M4867" s="2"/>
    </row>
    <row r="4868" spans="1:13" x14ac:dyDescent="0.25">
      <c r="A4868" s="2"/>
      <c r="D4868" s="2"/>
      <c r="G4868" s="2"/>
      <c r="J4868" s="2"/>
      <c r="M4868" s="2"/>
    </row>
    <row r="4869" spans="1:13" x14ac:dyDescent="0.25">
      <c r="A4869" s="2"/>
      <c r="D4869" s="2"/>
      <c r="G4869" s="2"/>
      <c r="J4869" s="2"/>
      <c r="M4869" s="2"/>
    </row>
    <row r="4870" spans="1:13" x14ac:dyDescent="0.25">
      <c r="A4870" s="2"/>
      <c r="D4870" s="2"/>
      <c r="G4870" s="2"/>
      <c r="J4870" s="2"/>
      <c r="M4870" s="2"/>
    </row>
    <row r="4871" spans="1:13" x14ac:dyDescent="0.25">
      <c r="A4871" s="2"/>
      <c r="D4871" s="2"/>
      <c r="G4871" s="2"/>
      <c r="J4871" s="2"/>
      <c r="M4871" s="2"/>
    </row>
    <row r="4872" spans="1:13" x14ac:dyDescent="0.25">
      <c r="A4872" s="2"/>
      <c r="D4872" s="2"/>
      <c r="G4872" s="2"/>
      <c r="J4872" s="2"/>
      <c r="M4872" s="2"/>
    </row>
    <row r="4873" spans="1:13" x14ac:dyDescent="0.25">
      <c r="A4873" s="2"/>
      <c r="D4873" s="2"/>
      <c r="G4873" s="2"/>
      <c r="J4873" s="2"/>
      <c r="M4873" s="2"/>
    </row>
    <row r="4874" spans="1:13" x14ac:dyDescent="0.25">
      <c r="A4874" s="2"/>
      <c r="D4874" s="2"/>
      <c r="G4874" s="2"/>
      <c r="J4874" s="2"/>
      <c r="M4874" s="2"/>
    </row>
    <row r="4875" spans="1:13" x14ac:dyDescent="0.25">
      <c r="A4875" s="2"/>
      <c r="D4875" s="2"/>
      <c r="G4875" s="2"/>
      <c r="J4875" s="2"/>
      <c r="M4875" s="2"/>
    </row>
    <row r="4876" spans="1:13" x14ac:dyDescent="0.25">
      <c r="A4876" s="2"/>
      <c r="D4876" s="2"/>
      <c r="G4876" s="2"/>
      <c r="J4876" s="2"/>
      <c r="M4876" s="2"/>
    </row>
    <row r="4877" spans="1:13" x14ac:dyDescent="0.25">
      <c r="A4877" s="2"/>
      <c r="D4877" s="2"/>
      <c r="G4877" s="2"/>
      <c r="J4877" s="2"/>
      <c r="M4877" s="2"/>
    </row>
    <row r="4878" spans="1:13" x14ac:dyDescent="0.25">
      <c r="A4878" s="2"/>
      <c r="D4878" s="2"/>
      <c r="G4878" s="2"/>
      <c r="J4878" s="2"/>
      <c r="M4878" s="2"/>
    </row>
    <row r="4879" spans="1:13" x14ac:dyDescent="0.25">
      <c r="A4879" s="2"/>
      <c r="D4879" s="2"/>
      <c r="G4879" s="2"/>
      <c r="J4879" s="2"/>
      <c r="M4879" s="2"/>
    </row>
    <row r="4880" spans="1:13" x14ac:dyDescent="0.25">
      <c r="A4880" s="2"/>
      <c r="D4880" s="2"/>
      <c r="G4880" s="2"/>
      <c r="J4880" s="2"/>
      <c r="M4880" s="2"/>
    </row>
    <row r="4881" spans="1:13" x14ac:dyDescent="0.25">
      <c r="A4881" s="2"/>
      <c r="D4881" s="2"/>
      <c r="G4881" s="2"/>
      <c r="J4881" s="2"/>
      <c r="M4881" s="2"/>
    </row>
    <row r="4882" spans="1:13" x14ac:dyDescent="0.25">
      <c r="A4882" s="2"/>
      <c r="D4882" s="2"/>
      <c r="G4882" s="2"/>
      <c r="J4882" s="2"/>
      <c r="M4882" s="2"/>
    </row>
    <row r="4883" spans="1:13" x14ac:dyDescent="0.25">
      <c r="A4883" s="2"/>
      <c r="D4883" s="2"/>
      <c r="G4883" s="2"/>
      <c r="J4883" s="2"/>
      <c r="M4883" s="2"/>
    </row>
    <row r="4884" spans="1:13" x14ac:dyDescent="0.25">
      <c r="A4884" s="2"/>
      <c r="D4884" s="2"/>
      <c r="G4884" s="2"/>
      <c r="J4884" s="2"/>
      <c r="M4884" s="2"/>
    </row>
    <row r="4885" spans="1:13" x14ac:dyDescent="0.25">
      <c r="A4885" s="2"/>
      <c r="D4885" s="2"/>
      <c r="G4885" s="2"/>
      <c r="J4885" s="2"/>
      <c r="M4885" s="2"/>
    </row>
    <row r="4886" spans="1:13" x14ac:dyDescent="0.25">
      <c r="A4886" s="2"/>
      <c r="D4886" s="2"/>
      <c r="G4886" s="2"/>
      <c r="J4886" s="2"/>
      <c r="M4886" s="2"/>
    </row>
    <row r="4887" spans="1:13" x14ac:dyDescent="0.25">
      <c r="A4887" s="2"/>
      <c r="D4887" s="2"/>
      <c r="G4887" s="2"/>
      <c r="J4887" s="2"/>
      <c r="M4887" s="2"/>
    </row>
    <row r="4888" spans="1:13" x14ac:dyDescent="0.25">
      <c r="A4888" s="2"/>
      <c r="D4888" s="2"/>
      <c r="G4888" s="2"/>
      <c r="J4888" s="2"/>
      <c r="M4888" s="2"/>
    </row>
    <row r="4889" spans="1:13" x14ac:dyDescent="0.25">
      <c r="A4889" s="2"/>
      <c r="D4889" s="2"/>
      <c r="G4889" s="2"/>
      <c r="J4889" s="2"/>
      <c r="M4889" s="2"/>
    </row>
    <row r="4890" spans="1:13" x14ac:dyDescent="0.25">
      <c r="A4890" s="2"/>
      <c r="D4890" s="2"/>
      <c r="G4890" s="2"/>
      <c r="J4890" s="2"/>
      <c r="M4890" s="2"/>
    </row>
    <row r="4891" spans="1:13" x14ac:dyDescent="0.25">
      <c r="A4891" s="2"/>
      <c r="D4891" s="2"/>
      <c r="G4891" s="2"/>
      <c r="J4891" s="2"/>
      <c r="M4891" s="2"/>
    </row>
    <row r="4892" spans="1:13" x14ac:dyDescent="0.25">
      <c r="A4892" s="2"/>
      <c r="D4892" s="2"/>
      <c r="G4892" s="2"/>
      <c r="J4892" s="2"/>
      <c r="M4892" s="2"/>
    </row>
    <row r="4893" spans="1:13" x14ac:dyDescent="0.25">
      <c r="A4893" s="2"/>
      <c r="D4893" s="2"/>
      <c r="G4893" s="2"/>
      <c r="J4893" s="2"/>
      <c r="M4893" s="2"/>
    </row>
    <row r="4894" spans="1:13" x14ac:dyDescent="0.25">
      <c r="A4894" s="2"/>
      <c r="D4894" s="2"/>
      <c r="G4894" s="2"/>
      <c r="J4894" s="2"/>
      <c r="M4894" s="2"/>
    </row>
    <row r="4895" spans="1:13" x14ac:dyDescent="0.25">
      <c r="A4895" s="2"/>
      <c r="D4895" s="2"/>
      <c r="G4895" s="2"/>
      <c r="J4895" s="2"/>
      <c r="M4895" s="2"/>
    </row>
    <row r="4896" spans="1:13" x14ac:dyDescent="0.25">
      <c r="A4896" s="2"/>
      <c r="D4896" s="2"/>
      <c r="G4896" s="2"/>
      <c r="J4896" s="2"/>
      <c r="M4896" s="2"/>
    </row>
    <row r="4897" spans="1:13" x14ac:dyDescent="0.25">
      <c r="A4897" s="2"/>
      <c r="D4897" s="2"/>
      <c r="G4897" s="2"/>
      <c r="J4897" s="2"/>
      <c r="M4897" s="2"/>
    </row>
    <row r="4898" spans="1:13" x14ac:dyDescent="0.25">
      <c r="A4898" s="2"/>
      <c r="D4898" s="2"/>
      <c r="G4898" s="2"/>
      <c r="J4898" s="2"/>
      <c r="M4898" s="2"/>
    </row>
    <row r="4899" spans="1:13" x14ac:dyDescent="0.25">
      <c r="A4899" s="2"/>
      <c r="D4899" s="2"/>
      <c r="G4899" s="2"/>
      <c r="J4899" s="2"/>
      <c r="M4899" s="2"/>
    </row>
    <row r="4900" spans="1:13" x14ac:dyDescent="0.25">
      <c r="A4900" s="2"/>
      <c r="D4900" s="2"/>
      <c r="G4900" s="2"/>
      <c r="J4900" s="2"/>
      <c r="M4900" s="2"/>
    </row>
    <row r="4901" spans="1:13" x14ac:dyDescent="0.25">
      <c r="A4901" s="2"/>
      <c r="D4901" s="2"/>
      <c r="G4901" s="2"/>
      <c r="J4901" s="2"/>
      <c r="M4901" s="2"/>
    </row>
    <row r="4902" spans="1:13" x14ac:dyDescent="0.25">
      <c r="A4902" s="2"/>
      <c r="D4902" s="2"/>
      <c r="G4902" s="2"/>
      <c r="J4902" s="2"/>
      <c r="M4902" s="2"/>
    </row>
    <row r="4903" spans="1:13" x14ac:dyDescent="0.25">
      <c r="A4903" s="2"/>
      <c r="D4903" s="2"/>
      <c r="G4903" s="2"/>
      <c r="J4903" s="2"/>
      <c r="M4903" s="2"/>
    </row>
    <row r="4904" spans="1:13" x14ac:dyDescent="0.25">
      <c r="A4904" s="2"/>
      <c r="D4904" s="2"/>
      <c r="G4904" s="2"/>
      <c r="J4904" s="2"/>
      <c r="M4904" s="2"/>
    </row>
    <row r="4905" spans="1:13" x14ac:dyDescent="0.25">
      <c r="A4905" s="2"/>
      <c r="D4905" s="2"/>
      <c r="G4905" s="2"/>
      <c r="J4905" s="2"/>
      <c r="M4905" s="2"/>
    </row>
    <row r="4906" spans="1:13" x14ac:dyDescent="0.25">
      <c r="A4906" s="2"/>
      <c r="D4906" s="2"/>
      <c r="G4906" s="2"/>
      <c r="J4906" s="2"/>
      <c r="M4906" s="2"/>
    </row>
    <row r="4907" spans="1:13" x14ac:dyDescent="0.25">
      <c r="A4907" s="2"/>
      <c r="D4907" s="2"/>
      <c r="G4907" s="2"/>
      <c r="J4907" s="2"/>
      <c r="M4907" s="2"/>
    </row>
    <row r="4908" spans="1:13" x14ac:dyDescent="0.25">
      <c r="A4908" s="2"/>
      <c r="D4908" s="2"/>
      <c r="G4908" s="2"/>
      <c r="J4908" s="2"/>
      <c r="M4908" s="2"/>
    </row>
    <row r="4909" spans="1:13" x14ac:dyDescent="0.25">
      <c r="A4909" s="2"/>
      <c r="D4909" s="2"/>
      <c r="G4909" s="2"/>
      <c r="J4909" s="2"/>
      <c r="M4909" s="2"/>
    </row>
    <row r="4910" spans="1:13" x14ac:dyDescent="0.25">
      <c r="A4910" s="2"/>
      <c r="D4910" s="2"/>
      <c r="G4910" s="2"/>
      <c r="J4910" s="2"/>
      <c r="M4910" s="2"/>
    </row>
    <row r="4911" spans="1:13" x14ac:dyDescent="0.25">
      <c r="A4911" s="2"/>
      <c r="D4911" s="2"/>
      <c r="G4911" s="2"/>
      <c r="J4911" s="2"/>
      <c r="M4911" s="2"/>
    </row>
    <row r="4912" spans="1:13" x14ac:dyDescent="0.25">
      <c r="A4912" s="2"/>
      <c r="D4912" s="2"/>
      <c r="G4912" s="2"/>
      <c r="J4912" s="2"/>
      <c r="M4912" s="2"/>
    </row>
    <row r="4913" spans="1:13" x14ac:dyDescent="0.25">
      <c r="A4913" s="2"/>
      <c r="D4913" s="2"/>
      <c r="G4913" s="2"/>
      <c r="J4913" s="2"/>
      <c r="M4913" s="2"/>
    </row>
    <row r="4914" spans="1:13" x14ac:dyDescent="0.25">
      <c r="A4914" s="2"/>
      <c r="D4914" s="2"/>
      <c r="G4914" s="2"/>
      <c r="J4914" s="2"/>
      <c r="M4914" s="2"/>
    </row>
    <row r="4915" spans="1:13" x14ac:dyDescent="0.25">
      <c r="A4915" s="2"/>
      <c r="D4915" s="2"/>
      <c r="G4915" s="2"/>
      <c r="J4915" s="2"/>
      <c r="M4915" s="2"/>
    </row>
    <row r="4916" spans="1:13" x14ac:dyDescent="0.25">
      <c r="A4916" s="2"/>
      <c r="D4916" s="2"/>
      <c r="G4916" s="2"/>
      <c r="J4916" s="2"/>
      <c r="M4916" s="2"/>
    </row>
    <row r="4917" spans="1:13" x14ac:dyDescent="0.25">
      <c r="A4917" s="2"/>
      <c r="D4917" s="2"/>
      <c r="G4917" s="2"/>
      <c r="J4917" s="2"/>
      <c r="M4917" s="2"/>
    </row>
    <row r="4918" spans="1:13" x14ac:dyDescent="0.25">
      <c r="A4918" s="2"/>
      <c r="D4918" s="2"/>
      <c r="G4918" s="2"/>
      <c r="J4918" s="2"/>
      <c r="M4918" s="2"/>
    </row>
    <row r="4919" spans="1:13" x14ac:dyDescent="0.25">
      <c r="A4919" s="2"/>
      <c r="D4919" s="2"/>
      <c r="G4919" s="2"/>
      <c r="J4919" s="2"/>
      <c r="M4919" s="2"/>
    </row>
    <row r="4920" spans="1:13" x14ac:dyDescent="0.25">
      <c r="A4920" s="2"/>
      <c r="D4920" s="2"/>
      <c r="G4920" s="2"/>
      <c r="J4920" s="2"/>
      <c r="M4920" s="2"/>
    </row>
    <row r="4921" spans="1:13" x14ac:dyDescent="0.25">
      <c r="A4921" s="2"/>
      <c r="D4921" s="2"/>
      <c r="G4921" s="2"/>
      <c r="J4921" s="2"/>
      <c r="M4921" s="2"/>
    </row>
    <row r="4922" spans="1:13" x14ac:dyDescent="0.25">
      <c r="A4922" s="2"/>
      <c r="D4922" s="2"/>
      <c r="G4922" s="2"/>
      <c r="J4922" s="2"/>
      <c r="M4922" s="2"/>
    </row>
    <row r="4923" spans="1:13" x14ac:dyDescent="0.25">
      <c r="A4923" s="2"/>
      <c r="D4923" s="2"/>
      <c r="G4923" s="2"/>
      <c r="J4923" s="2"/>
      <c r="M4923" s="2"/>
    </row>
    <row r="4924" spans="1:13" x14ac:dyDescent="0.25">
      <c r="A4924" s="2"/>
      <c r="D4924" s="2"/>
      <c r="G4924" s="2"/>
      <c r="J4924" s="2"/>
      <c r="M4924" s="2"/>
    </row>
    <row r="4925" spans="1:13" x14ac:dyDescent="0.25">
      <c r="A4925" s="2"/>
      <c r="D4925" s="2"/>
      <c r="G4925" s="2"/>
      <c r="J4925" s="2"/>
      <c r="M4925" s="2"/>
    </row>
    <row r="4926" spans="1:13" x14ac:dyDescent="0.25">
      <c r="A4926" s="2"/>
      <c r="D4926" s="2"/>
      <c r="G4926" s="2"/>
      <c r="J4926" s="2"/>
      <c r="M4926" s="2"/>
    </row>
    <row r="4927" spans="1:13" x14ac:dyDescent="0.25">
      <c r="A4927" s="2"/>
      <c r="D4927" s="2"/>
      <c r="G4927" s="2"/>
      <c r="J4927" s="2"/>
      <c r="M4927" s="2"/>
    </row>
    <row r="4928" spans="1:13" x14ac:dyDescent="0.25">
      <c r="A4928" s="2"/>
      <c r="D4928" s="2"/>
      <c r="G4928" s="2"/>
      <c r="J4928" s="2"/>
      <c r="M4928" s="2"/>
    </row>
    <row r="4929" spans="1:13" x14ac:dyDescent="0.25">
      <c r="A4929" s="2"/>
      <c r="D4929" s="2"/>
      <c r="G4929" s="2"/>
      <c r="J4929" s="2"/>
      <c r="M4929" s="2"/>
    </row>
    <row r="4930" spans="1:13" x14ac:dyDescent="0.25">
      <c r="A4930" s="2"/>
      <c r="D4930" s="2"/>
      <c r="G4930" s="2"/>
      <c r="J4930" s="2"/>
      <c r="M4930" s="2"/>
    </row>
    <row r="4931" spans="1:13" x14ac:dyDescent="0.25">
      <c r="A4931" s="2"/>
      <c r="D4931" s="2"/>
      <c r="G4931" s="2"/>
      <c r="J4931" s="2"/>
      <c r="M4931" s="2"/>
    </row>
    <row r="4932" spans="1:13" x14ac:dyDescent="0.25">
      <c r="A4932" s="2"/>
      <c r="D4932" s="2"/>
      <c r="G4932" s="2"/>
      <c r="J4932" s="2"/>
      <c r="M4932" s="2"/>
    </row>
    <row r="4933" spans="1:13" x14ac:dyDescent="0.25">
      <c r="A4933" s="2"/>
      <c r="D4933" s="2"/>
      <c r="G4933" s="2"/>
      <c r="J4933" s="2"/>
      <c r="M4933" s="2"/>
    </row>
    <row r="4934" spans="1:13" x14ac:dyDescent="0.25">
      <c r="A4934" s="2"/>
      <c r="D4934" s="2"/>
      <c r="G4934" s="2"/>
      <c r="J4934" s="2"/>
      <c r="M4934" s="2"/>
    </row>
    <row r="4935" spans="1:13" x14ac:dyDescent="0.25">
      <c r="A4935" s="2"/>
      <c r="D4935" s="2"/>
      <c r="G4935" s="2"/>
      <c r="J4935" s="2"/>
      <c r="M4935" s="2"/>
    </row>
    <row r="4936" spans="1:13" x14ac:dyDescent="0.25">
      <c r="A4936" s="2"/>
      <c r="D4936" s="2"/>
      <c r="G4936" s="2"/>
      <c r="J4936" s="2"/>
      <c r="M4936" s="2"/>
    </row>
    <row r="4937" spans="1:13" x14ac:dyDescent="0.25">
      <c r="A4937" s="2"/>
      <c r="D4937" s="2"/>
      <c r="G4937" s="2"/>
      <c r="J4937" s="2"/>
      <c r="M4937" s="2"/>
    </row>
    <row r="4938" spans="1:13" x14ac:dyDescent="0.25">
      <c r="A4938" s="2"/>
      <c r="D4938" s="2"/>
      <c r="G4938" s="2"/>
      <c r="J4938" s="2"/>
      <c r="M4938" s="2"/>
    </row>
    <row r="4939" spans="1:13" x14ac:dyDescent="0.25">
      <c r="A4939" s="2"/>
      <c r="D4939" s="2"/>
      <c r="G4939" s="2"/>
      <c r="J4939" s="2"/>
      <c r="M4939" s="2"/>
    </row>
    <row r="4940" spans="1:13" x14ac:dyDescent="0.25">
      <c r="A4940" s="2"/>
      <c r="D4940" s="2"/>
      <c r="G4940" s="2"/>
      <c r="J4940" s="2"/>
      <c r="M4940" s="2"/>
    </row>
    <row r="4941" spans="1:13" x14ac:dyDescent="0.25">
      <c r="A4941" s="2"/>
      <c r="D4941" s="2"/>
      <c r="G4941" s="2"/>
      <c r="J4941" s="2"/>
      <c r="M4941" s="2"/>
    </row>
    <row r="4942" spans="1:13" x14ac:dyDescent="0.25">
      <c r="A4942" s="2"/>
      <c r="D4942" s="2"/>
      <c r="G4942" s="2"/>
      <c r="J4942" s="2"/>
      <c r="M4942" s="2"/>
    </row>
    <row r="4943" spans="1:13" x14ac:dyDescent="0.25">
      <c r="A4943" s="2"/>
      <c r="D4943" s="2"/>
      <c r="G4943" s="2"/>
      <c r="J4943" s="2"/>
      <c r="M4943" s="2"/>
    </row>
    <row r="4944" spans="1:13" x14ac:dyDescent="0.25">
      <c r="A4944" s="2"/>
      <c r="D4944" s="2"/>
      <c r="G4944" s="2"/>
      <c r="J4944" s="2"/>
      <c r="M4944" s="2"/>
    </row>
    <row r="4945" spans="1:13" x14ac:dyDescent="0.25">
      <c r="A4945" s="2"/>
      <c r="D4945" s="2"/>
      <c r="G4945" s="2"/>
      <c r="J4945" s="2"/>
      <c r="M4945" s="2"/>
    </row>
    <row r="4946" spans="1:13" x14ac:dyDescent="0.25">
      <c r="A4946" s="2"/>
      <c r="D4946" s="2"/>
      <c r="G4946" s="2"/>
      <c r="J4946" s="2"/>
      <c r="M4946" s="2"/>
    </row>
    <row r="4947" spans="1:13" x14ac:dyDescent="0.25">
      <c r="A4947" s="2"/>
      <c r="D4947" s="2"/>
      <c r="G4947" s="2"/>
      <c r="J4947" s="2"/>
      <c r="M4947" s="2"/>
    </row>
    <row r="4948" spans="1:13" x14ac:dyDescent="0.25">
      <c r="A4948" s="2"/>
      <c r="D4948" s="2"/>
      <c r="G4948" s="2"/>
      <c r="J4948" s="2"/>
      <c r="M4948" s="2"/>
    </row>
    <row r="4949" spans="1:13" x14ac:dyDescent="0.25">
      <c r="A4949" s="2"/>
      <c r="D4949" s="2"/>
      <c r="G4949" s="2"/>
      <c r="J4949" s="2"/>
      <c r="M4949" s="2"/>
    </row>
    <row r="4950" spans="1:13" x14ac:dyDescent="0.25">
      <c r="A4950" s="2"/>
      <c r="D4950" s="2"/>
      <c r="G4950" s="2"/>
      <c r="J4950" s="2"/>
      <c r="M4950" s="2"/>
    </row>
    <row r="4951" spans="1:13" x14ac:dyDescent="0.25">
      <c r="A4951" s="2"/>
      <c r="D4951" s="2"/>
      <c r="G4951" s="2"/>
      <c r="J4951" s="2"/>
      <c r="M4951" s="2"/>
    </row>
    <row r="4952" spans="1:13" x14ac:dyDescent="0.25">
      <c r="A4952" s="2"/>
      <c r="D4952" s="2"/>
      <c r="G4952" s="2"/>
      <c r="J4952" s="2"/>
      <c r="M4952" s="2"/>
    </row>
    <row r="4953" spans="1:13" x14ac:dyDescent="0.25">
      <c r="A4953" s="2"/>
      <c r="D4953" s="2"/>
      <c r="G4953" s="2"/>
      <c r="J4953" s="2"/>
      <c r="M4953" s="2"/>
    </row>
    <row r="4954" spans="1:13" x14ac:dyDescent="0.25">
      <c r="A4954" s="2"/>
      <c r="D4954" s="2"/>
      <c r="G4954" s="2"/>
      <c r="J4954" s="2"/>
      <c r="M4954" s="2"/>
    </row>
    <row r="4955" spans="1:13" x14ac:dyDescent="0.25">
      <c r="A4955" s="2"/>
      <c r="D4955" s="2"/>
      <c r="G4955" s="2"/>
      <c r="J4955" s="2"/>
      <c r="M4955" s="2"/>
    </row>
    <row r="4956" spans="1:13" x14ac:dyDescent="0.25">
      <c r="A4956" s="2"/>
      <c r="D4956" s="2"/>
      <c r="G4956" s="2"/>
      <c r="J4956" s="2"/>
      <c r="M4956" s="2"/>
    </row>
    <row r="4957" spans="1:13" x14ac:dyDescent="0.25">
      <c r="A4957" s="2"/>
      <c r="D4957" s="2"/>
      <c r="G4957" s="2"/>
      <c r="J4957" s="2"/>
      <c r="M4957" s="2"/>
    </row>
    <row r="4958" spans="1:13" x14ac:dyDescent="0.25">
      <c r="A4958" s="2"/>
      <c r="D4958" s="2"/>
      <c r="G4958" s="2"/>
      <c r="J4958" s="2"/>
      <c r="M4958" s="2"/>
    </row>
    <row r="4959" spans="1:13" x14ac:dyDescent="0.25">
      <c r="A4959" s="2"/>
      <c r="D4959" s="2"/>
      <c r="G4959" s="2"/>
      <c r="J4959" s="2"/>
      <c r="M4959" s="2"/>
    </row>
    <row r="4960" spans="1:13" x14ac:dyDescent="0.25">
      <c r="A4960" s="2"/>
      <c r="D4960" s="2"/>
      <c r="G4960" s="2"/>
      <c r="J4960" s="2"/>
      <c r="M4960" s="2"/>
    </row>
    <row r="4961" spans="1:13" x14ac:dyDescent="0.25">
      <c r="A4961" s="2"/>
      <c r="D4961" s="2"/>
      <c r="G4961" s="2"/>
      <c r="J4961" s="2"/>
      <c r="M4961" s="2"/>
    </row>
    <row r="4962" spans="1:13" x14ac:dyDescent="0.25">
      <c r="A4962" s="2"/>
      <c r="D4962" s="2"/>
      <c r="G4962" s="2"/>
      <c r="J4962" s="2"/>
      <c r="M4962" s="2"/>
    </row>
    <row r="4963" spans="1:13" x14ac:dyDescent="0.25">
      <c r="A4963" s="2"/>
      <c r="D4963" s="2"/>
      <c r="G4963" s="2"/>
      <c r="J4963" s="2"/>
      <c r="M4963" s="2"/>
    </row>
    <row r="4964" spans="1:13" x14ac:dyDescent="0.25">
      <c r="A4964" s="2"/>
      <c r="D4964" s="2"/>
      <c r="G4964" s="2"/>
      <c r="J4964" s="2"/>
      <c r="M4964" s="2"/>
    </row>
    <row r="4965" spans="1:13" x14ac:dyDescent="0.25">
      <c r="A4965" s="2"/>
      <c r="D4965" s="2"/>
      <c r="G4965" s="2"/>
      <c r="J4965" s="2"/>
      <c r="M4965" s="2"/>
    </row>
    <row r="4966" spans="1:13" x14ac:dyDescent="0.25">
      <c r="A4966" s="2"/>
      <c r="D4966" s="2"/>
      <c r="G4966" s="2"/>
      <c r="J4966" s="2"/>
      <c r="M4966" s="2"/>
    </row>
    <row r="4967" spans="1:13" x14ac:dyDescent="0.25">
      <c r="A4967" s="2"/>
      <c r="D4967" s="2"/>
      <c r="G4967" s="2"/>
      <c r="J4967" s="2"/>
      <c r="M4967" s="2"/>
    </row>
    <row r="4968" spans="1:13" x14ac:dyDescent="0.25">
      <c r="A4968" s="2"/>
      <c r="D4968" s="2"/>
      <c r="G4968" s="2"/>
      <c r="J4968" s="2"/>
      <c r="M4968" s="2"/>
    </row>
    <row r="4969" spans="1:13" x14ac:dyDescent="0.25">
      <c r="A4969" s="2"/>
      <c r="D4969" s="2"/>
      <c r="G4969" s="2"/>
      <c r="J4969" s="2"/>
      <c r="M4969" s="2"/>
    </row>
    <row r="4970" spans="1:13" x14ac:dyDescent="0.25">
      <c r="A4970" s="2"/>
      <c r="D4970" s="2"/>
      <c r="G4970" s="2"/>
      <c r="J4970" s="2"/>
      <c r="M4970" s="2"/>
    </row>
    <row r="4971" spans="1:13" x14ac:dyDescent="0.25">
      <c r="A4971" s="2"/>
      <c r="D4971" s="2"/>
      <c r="G4971" s="2"/>
      <c r="J4971" s="2"/>
      <c r="M4971" s="2"/>
    </row>
    <row r="4972" spans="1:13" x14ac:dyDescent="0.25">
      <c r="A4972" s="2"/>
      <c r="D4972" s="2"/>
      <c r="G4972" s="2"/>
      <c r="J4972" s="2"/>
      <c r="M4972" s="2"/>
    </row>
    <row r="4973" spans="1:13" x14ac:dyDescent="0.25">
      <c r="A4973" s="2"/>
      <c r="D4973" s="2"/>
      <c r="G4973" s="2"/>
      <c r="J4973" s="2"/>
      <c r="M4973" s="2"/>
    </row>
    <row r="4974" spans="1:13" x14ac:dyDescent="0.25">
      <c r="A4974" s="2"/>
      <c r="D4974" s="2"/>
      <c r="G4974" s="2"/>
      <c r="J4974" s="2"/>
      <c r="M4974" s="2"/>
    </row>
    <row r="4975" spans="1:13" x14ac:dyDescent="0.25">
      <c r="A4975" s="2"/>
      <c r="D4975" s="2"/>
      <c r="G4975" s="2"/>
      <c r="J4975" s="2"/>
      <c r="M4975" s="2"/>
    </row>
    <row r="4976" spans="1:13" x14ac:dyDescent="0.25">
      <c r="A4976" s="2"/>
      <c r="D4976" s="2"/>
      <c r="G4976" s="2"/>
      <c r="J4976" s="2"/>
      <c r="M4976" s="2"/>
    </row>
    <row r="4977" spans="1:13" x14ac:dyDescent="0.25">
      <c r="A4977" s="2"/>
      <c r="D4977" s="2"/>
      <c r="G4977" s="2"/>
      <c r="J4977" s="2"/>
      <c r="M4977" s="2"/>
    </row>
    <row r="4978" spans="1:13" x14ac:dyDescent="0.25">
      <c r="A4978" s="2"/>
      <c r="D4978" s="2"/>
      <c r="G4978" s="2"/>
      <c r="J4978" s="2"/>
      <c r="M4978" s="2"/>
    </row>
    <row r="4979" spans="1:13" x14ac:dyDescent="0.25">
      <c r="A4979" s="2"/>
      <c r="D4979" s="2"/>
      <c r="G4979" s="2"/>
      <c r="J4979" s="2"/>
      <c r="M4979" s="2"/>
    </row>
    <row r="4980" spans="1:13" x14ac:dyDescent="0.25">
      <c r="A4980" s="2"/>
      <c r="D4980" s="2"/>
      <c r="G4980" s="2"/>
      <c r="J4980" s="2"/>
      <c r="M4980" s="2"/>
    </row>
    <row r="4981" spans="1:13" x14ac:dyDescent="0.25">
      <c r="A4981" s="2"/>
      <c r="D4981" s="2"/>
      <c r="G4981" s="2"/>
      <c r="J4981" s="2"/>
      <c r="M4981" s="2"/>
    </row>
    <row r="4982" spans="1:13" x14ac:dyDescent="0.25">
      <c r="A4982" s="2"/>
      <c r="D4982" s="2"/>
      <c r="G4982" s="2"/>
      <c r="J4982" s="2"/>
      <c r="M4982" s="2"/>
    </row>
    <row r="4983" spans="1:13" x14ac:dyDescent="0.25">
      <c r="A4983" s="2"/>
      <c r="D4983" s="2"/>
      <c r="G4983" s="2"/>
      <c r="J4983" s="2"/>
      <c r="M4983" s="2"/>
    </row>
    <row r="4984" spans="1:13" x14ac:dyDescent="0.25">
      <c r="A4984" s="2"/>
      <c r="D4984" s="2"/>
      <c r="G4984" s="2"/>
      <c r="J4984" s="2"/>
      <c r="M4984" s="2"/>
    </row>
    <row r="4985" spans="1:13" x14ac:dyDescent="0.25">
      <c r="A4985" s="2"/>
      <c r="D4985" s="2"/>
      <c r="G4985" s="2"/>
      <c r="J4985" s="2"/>
      <c r="M4985" s="2"/>
    </row>
    <row r="4986" spans="1:13" x14ac:dyDescent="0.25">
      <c r="A4986" s="2"/>
      <c r="D4986" s="2"/>
      <c r="G4986" s="2"/>
      <c r="J4986" s="2"/>
      <c r="M4986" s="2"/>
    </row>
    <row r="4987" spans="1:13" x14ac:dyDescent="0.25">
      <c r="A4987" s="2"/>
      <c r="D4987" s="2"/>
      <c r="G4987" s="2"/>
      <c r="J4987" s="2"/>
      <c r="M4987" s="2"/>
    </row>
    <row r="4988" spans="1:13" x14ac:dyDescent="0.25">
      <c r="A4988" s="2"/>
      <c r="D4988" s="2"/>
      <c r="G4988" s="2"/>
      <c r="J4988" s="2"/>
      <c r="M4988" s="2"/>
    </row>
    <row r="4989" spans="1:13" x14ac:dyDescent="0.25">
      <c r="A4989" s="2"/>
      <c r="D4989" s="2"/>
      <c r="G4989" s="2"/>
      <c r="J4989" s="2"/>
      <c r="M4989" s="2"/>
    </row>
    <row r="4990" spans="1:13" x14ac:dyDescent="0.25">
      <c r="A4990" s="2"/>
      <c r="D4990" s="2"/>
      <c r="G4990" s="2"/>
      <c r="J4990" s="2"/>
      <c r="M4990" s="2"/>
    </row>
    <row r="4991" spans="1:13" x14ac:dyDescent="0.25">
      <c r="A4991" s="2"/>
      <c r="D4991" s="2"/>
      <c r="G4991" s="2"/>
      <c r="J4991" s="2"/>
      <c r="M4991" s="2"/>
    </row>
    <row r="4992" spans="1:13" x14ac:dyDescent="0.25">
      <c r="A4992" s="2"/>
      <c r="D4992" s="2"/>
      <c r="G4992" s="2"/>
      <c r="J4992" s="2"/>
      <c r="M4992" s="2"/>
    </row>
    <row r="4993" spans="1:13" x14ac:dyDescent="0.25">
      <c r="A4993" s="2"/>
      <c r="D4993" s="2"/>
      <c r="G4993" s="2"/>
      <c r="J4993" s="2"/>
      <c r="M4993" s="2"/>
    </row>
    <row r="4994" spans="1:13" x14ac:dyDescent="0.25">
      <c r="A4994" s="2"/>
      <c r="D4994" s="2"/>
      <c r="G4994" s="2"/>
      <c r="J4994" s="2"/>
      <c r="M4994" s="2"/>
    </row>
    <row r="4995" spans="1:13" x14ac:dyDescent="0.25">
      <c r="A4995" s="2"/>
      <c r="D4995" s="2"/>
      <c r="G4995" s="2"/>
      <c r="J4995" s="2"/>
      <c r="M4995" s="2"/>
    </row>
    <row r="4996" spans="1:13" x14ac:dyDescent="0.25">
      <c r="A4996" s="2"/>
      <c r="D4996" s="2"/>
      <c r="G4996" s="2"/>
      <c r="J4996" s="2"/>
      <c r="M4996" s="2"/>
    </row>
    <row r="4997" spans="1:13" x14ac:dyDescent="0.25">
      <c r="A4997" s="2"/>
      <c r="D4997" s="2"/>
      <c r="G4997" s="2"/>
      <c r="J4997" s="2"/>
      <c r="M4997" s="2"/>
    </row>
    <row r="4998" spans="1:13" x14ac:dyDescent="0.25">
      <c r="A4998" s="2"/>
      <c r="D4998" s="2"/>
      <c r="G4998" s="2"/>
      <c r="J4998" s="2"/>
      <c r="M4998" s="2"/>
    </row>
    <row r="4999" spans="1:13" x14ac:dyDescent="0.25">
      <c r="A4999" s="2"/>
      <c r="D4999" s="2"/>
      <c r="G4999" s="2"/>
      <c r="J4999" s="2"/>
      <c r="M4999" s="2"/>
    </row>
    <row r="5000" spans="1:13" x14ac:dyDescent="0.25">
      <c r="A5000" s="2"/>
      <c r="D5000" s="2"/>
      <c r="G5000" s="2"/>
      <c r="J5000" s="2"/>
      <c r="M5000" s="2"/>
    </row>
    <row r="5001" spans="1:13" x14ac:dyDescent="0.25">
      <c r="A5001" s="2"/>
      <c r="D5001" s="2"/>
      <c r="G5001" s="2"/>
      <c r="J5001" s="2"/>
      <c r="M5001" s="2"/>
    </row>
    <row r="5002" spans="1:13" x14ac:dyDescent="0.25">
      <c r="A5002" s="2"/>
      <c r="D5002" s="2"/>
      <c r="G5002" s="2"/>
      <c r="J5002" s="2"/>
      <c r="M5002" s="2"/>
    </row>
    <row r="5003" spans="1:13" x14ac:dyDescent="0.25">
      <c r="A5003" s="2"/>
      <c r="D5003" s="2"/>
      <c r="G5003" s="2"/>
      <c r="J5003" s="2"/>
      <c r="M5003" s="2"/>
    </row>
    <row r="5004" spans="1:13" x14ac:dyDescent="0.25">
      <c r="A5004" s="2"/>
      <c r="D5004" s="2"/>
      <c r="G5004" s="2"/>
      <c r="J5004" s="2"/>
      <c r="M5004" s="2"/>
    </row>
    <row r="5005" spans="1:13" x14ac:dyDescent="0.25">
      <c r="A5005" s="2"/>
      <c r="D5005" s="2"/>
      <c r="G5005" s="2"/>
      <c r="J5005" s="2"/>
      <c r="M5005" s="2"/>
    </row>
    <row r="5006" spans="1:13" x14ac:dyDescent="0.25">
      <c r="A5006" s="2"/>
      <c r="D5006" s="2"/>
      <c r="G5006" s="2"/>
      <c r="J5006" s="2"/>
      <c r="M5006" s="2"/>
    </row>
    <row r="5007" spans="1:13" x14ac:dyDescent="0.25">
      <c r="A5007" s="2"/>
      <c r="D5007" s="2"/>
      <c r="G5007" s="2"/>
      <c r="J5007" s="2"/>
      <c r="M5007" s="2"/>
    </row>
    <row r="5008" spans="1:13" x14ac:dyDescent="0.25">
      <c r="A5008" s="2"/>
      <c r="D5008" s="2"/>
      <c r="G5008" s="2"/>
      <c r="J5008" s="2"/>
      <c r="M5008" s="2"/>
    </row>
    <row r="5009" spans="1:13" x14ac:dyDescent="0.25">
      <c r="A5009" s="2"/>
      <c r="D5009" s="2"/>
      <c r="G5009" s="2"/>
      <c r="J5009" s="2"/>
      <c r="M5009" s="2"/>
    </row>
    <row r="5010" spans="1:13" x14ac:dyDescent="0.25">
      <c r="A5010" s="2"/>
      <c r="D5010" s="2"/>
      <c r="G5010" s="2"/>
      <c r="J5010" s="2"/>
      <c r="M5010" s="2"/>
    </row>
    <row r="5011" spans="1:13" x14ac:dyDescent="0.25">
      <c r="A5011" s="2"/>
      <c r="D5011" s="2"/>
      <c r="G5011" s="2"/>
      <c r="J5011" s="2"/>
      <c r="M5011" s="2"/>
    </row>
    <row r="5012" spans="1:13" x14ac:dyDescent="0.25">
      <c r="A5012" s="2"/>
      <c r="D5012" s="2"/>
      <c r="G5012" s="2"/>
      <c r="J5012" s="2"/>
      <c r="M5012" s="2"/>
    </row>
    <row r="5013" spans="1:13" x14ac:dyDescent="0.25">
      <c r="A5013" s="2"/>
      <c r="D5013" s="2"/>
      <c r="G5013" s="2"/>
      <c r="J5013" s="2"/>
      <c r="M5013" s="2"/>
    </row>
    <row r="5014" spans="1:13" x14ac:dyDescent="0.25">
      <c r="A5014" s="2"/>
      <c r="D5014" s="2"/>
      <c r="G5014" s="2"/>
      <c r="J5014" s="2"/>
      <c r="M5014" s="2"/>
    </row>
    <row r="5015" spans="1:13" x14ac:dyDescent="0.25">
      <c r="A5015" s="2"/>
      <c r="D5015" s="2"/>
      <c r="G5015" s="2"/>
      <c r="J5015" s="2"/>
      <c r="M5015" s="2"/>
    </row>
    <row r="5016" spans="1:13" x14ac:dyDescent="0.25">
      <c r="A5016" s="2"/>
      <c r="D5016" s="2"/>
      <c r="G5016" s="2"/>
      <c r="J5016" s="2"/>
      <c r="M5016" s="2"/>
    </row>
    <row r="5017" spans="1:13" x14ac:dyDescent="0.25">
      <c r="A5017" s="2"/>
      <c r="D5017" s="2"/>
      <c r="G5017" s="2"/>
      <c r="J5017" s="2"/>
      <c r="M5017" s="2"/>
    </row>
    <row r="5018" spans="1:13" x14ac:dyDescent="0.25">
      <c r="A5018" s="2"/>
      <c r="D5018" s="2"/>
      <c r="G5018" s="2"/>
      <c r="J5018" s="2"/>
      <c r="M5018" s="2"/>
    </row>
    <row r="5019" spans="1:13" x14ac:dyDescent="0.25">
      <c r="A5019" s="2"/>
      <c r="D5019" s="2"/>
      <c r="G5019" s="2"/>
      <c r="J5019" s="2"/>
      <c r="M5019" s="2"/>
    </row>
    <row r="5020" spans="1:13" x14ac:dyDescent="0.25">
      <c r="A5020" s="2"/>
      <c r="D5020" s="2"/>
      <c r="G5020" s="2"/>
      <c r="J5020" s="2"/>
      <c r="M5020" s="2"/>
    </row>
    <row r="5021" spans="1:13" x14ac:dyDescent="0.25">
      <c r="A5021" s="2"/>
      <c r="D5021" s="2"/>
      <c r="G5021" s="2"/>
      <c r="J5021" s="2"/>
      <c r="M5021" s="2"/>
    </row>
    <row r="5022" spans="1:13" x14ac:dyDescent="0.25">
      <c r="A5022" s="2"/>
      <c r="D5022" s="2"/>
      <c r="G5022" s="2"/>
      <c r="J5022" s="2"/>
      <c r="M5022" s="2"/>
    </row>
    <row r="5023" spans="1:13" x14ac:dyDescent="0.25">
      <c r="A5023" s="2"/>
      <c r="D5023" s="2"/>
      <c r="G5023" s="2"/>
      <c r="J5023" s="2"/>
      <c r="M5023" s="2"/>
    </row>
    <row r="5024" spans="1:13" x14ac:dyDescent="0.25">
      <c r="A5024" s="2"/>
      <c r="D5024" s="2"/>
      <c r="G5024" s="2"/>
      <c r="J5024" s="2"/>
      <c r="M5024" s="2"/>
    </row>
    <row r="5025" spans="1:13" x14ac:dyDescent="0.25">
      <c r="A5025" s="2"/>
      <c r="D5025" s="2"/>
      <c r="G5025" s="2"/>
      <c r="J5025" s="2"/>
      <c r="M5025" s="2"/>
    </row>
    <row r="5026" spans="1:13" x14ac:dyDescent="0.25">
      <c r="A5026" s="2"/>
      <c r="D5026" s="2"/>
      <c r="G5026" s="2"/>
      <c r="J5026" s="2"/>
      <c r="M5026" s="2"/>
    </row>
    <row r="5027" spans="1:13" x14ac:dyDescent="0.25">
      <c r="A5027" s="2"/>
      <c r="D5027" s="2"/>
      <c r="G5027" s="2"/>
      <c r="J5027" s="2"/>
      <c r="M5027" s="2"/>
    </row>
    <row r="5028" spans="1:13" x14ac:dyDescent="0.25">
      <c r="A5028" s="2"/>
      <c r="D5028" s="2"/>
      <c r="G5028" s="2"/>
      <c r="J5028" s="2"/>
      <c r="M5028" s="2"/>
    </row>
    <row r="5029" spans="1:13" x14ac:dyDescent="0.25">
      <c r="A5029" s="2"/>
      <c r="D5029" s="2"/>
      <c r="G5029" s="2"/>
      <c r="J5029" s="2"/>
      <c r="M5029" s="2"/>
    </row>
    <row r="5030" spans="1:13" x14ac:dyDescent="0.25">
      <c r="A5030" s="2"/>
      <c r="D5030" s="2"/>
      <c r="G5030" s="2"/>
      <c r="J5030" s="2"/>
      <c r="M5030" s="2"/>
    </row>
    <row r="5031" spans="1:13" x14ac:dyDescent="0.25">
      <c r="A5031" s="2"/>
      <c r="D5031" s="2"/>
      <c r="G5031" s="2"/>
      <c r="J5031" s="2"/>
      <c r="M5031" s="2"/>
    </row>
    <row r="5032" spans="1:13" x14ac:dyDescent="0.25">
      <c r="A5032" s="2"/>
      <c r="D5032" s="2"/>
      <c r="G5032" s="2"/>
      <c r="J5032" s="2"/>
      <c r="M5032" s="2"/>
    </row>
    <row r="5033" spans="1:13" x14ac:dyDescent="0.25">
      <c r="A5033" s="2"/>
      <c r="D5033" s="2"/>
      <c r="G5033" s="2"/>
      <c r="J5033" s="2"/>
      <c r="M5033" s="2"/>
    </row>
    <row r="5034" spans="1:13" x14ac:dyDescent="0.25">
      <c r="A5034" s="2"/>
      <c r="D5034" s="2"/>
      <c r="G5034" s="2"/>
      <c r="J5034" s="2"/>
      <c r="M5034" s="2"/>
    </row>
    <row r="5035" spans="1:13" x14ac:dyDescent="0.25">
      <c r="A5035" s="2"/>
      <c r="D5035" s="2"/>
      <c r="G5035" s="2"/>
      <c r="J5035" s="2"/>
      <c r="M5035" s="2"/>
    </row>
    <row r="5036" spans="1:13" x14ac:dyDescent="0.25">
      <c r="A5036" s="2"/>
      <c r="D5036" s="2"/>
      <c r="G5036" s="2"/>
      <c r="J5036" s="2"/>
      <c r="M5036" s="2"/>
    </row>
    <row r="5037" spans="1:13" x14ac:dyDescent="0.25">
      <c r="A5037" s="2"/>
      <c r="D5037" s="2"/>
      <c r="G5037" s="2"/>
      <c r="J5037" s="2"/>
      <c r="M5037" s="2"/>
    </row>
    <row r="5038" spans="1:13" x14ac:dyDescent="0.25">
      <c r="A5038" s="2"/>
      <c r="D5038" s="2"/>
      <c r="G5038" s="2"/>
      <c r="J5038" s="2"/>
      <c r="M5038" s="2"/>
    </row>
    <row r="5039" spans="1:13" x14ac:dyDescent="0.25">
      <c r="A5039" s="2"/>
      <c r="D5039" s="2"/>
      <c r="G5039" s="2"/>
      <c r="J5039" s="2"/>
      <c r="M5039" s="2"/>
    </row>
    <row r="5040" spans="1:13" x14ac:dyDescent="0.25">
      <c r="A5040" s="2"/>
      <c r="D5040" s="2"/>
      <c r="G5040" s="2"/>
      <c r="J5040" s="2"/>
      <c r="M5040" s="2"/>
    </row>
    <row r="5041" spans="1:13" x14ac:dyDescent="0.25">
      <c r="A5041" s="2"/>
      <c r="D5041" s="2"/>
      <c r="G5041" s="2"/>
      <c r="J5041" s="2"/>
      <c r="M5041" s="2"/>
    </row>
    <row r="5042" spans="1:13" x14ac:dyDescent="0.25">
      <c r="A5042" s="2"/>
      <c r="D5042" s="2"/>
      <c r="G5042" s="2"/>
      <c r="J5042" s="2"/>
      <c r="M5042" s="2"/>
    </row>
    <row r="5043" spans="1:13" x14ac:dyDescent="0.25">
      <c r="A5043" s="2"/>
      <c r="D5043" s="2"/>
      <c r="G5043" s="2"/>
      <c r="J5043" s="2"/>
      <c r="M5043" s="2"/>
    </row>
    <row r="5044" spans="1:13" x14ac:dyDescent="0.25">
      <c r="A5044" s="2"/>
      <c r="D5044" s="2"/>
      <c r="G5044" s="2"/>
      <c r="J5044" s="2"/>
      <c r="M5044" s="2"/>
    </row>
    <row r="5045" spans="1:13" x14ac:dyDescent="0.25">
      <c r="A5045" s="2"/>
      <c r="D5045" s="2"/>
      <c r="G5045" s="2"/>
      <c r="J5045" s="2"/>
      <c r="M5045" s="2"/>
    </row>
    <row r="5046" spans="1:13" x14ac:dyDescent="0.25">
      <c r="A5046" s="2"/>
      <c r="D5046" s="2"/>
      <c r="G5046" s="2"/>
      <c r="J5046" s="2"/>
      <c r="M5046" s="2"/>
    </row>
    <row r="5047" spans="1:13" x14ac:dyDescent="0.25">
      <c r="A5047" s="2"/>
      <c r="D5047" s="2"/>
      <c r="G5047" s="2"/>
      <c r="J5047" s="2"/>
      <c r="M5047" s="2"/>
    </row>
    <row r="5048" spans="1:13" x14ac:dyDescent="0.25">
      <c r="A5048" s="2"/>
      <c r="D5048" s="2"/>
      <c r="G5048" s="2"/>
      <c r="J5048" s="2"/>
      <c r="M5048" s="2"/>
    </row>
    <row r="5049" spans="1:13" x14ac:dyDescent="0.25">
      <c r="A5049" s="2"/>
      <c r="D5049" s="2"/>
      <c r="G5049" s="2"/>
      <c r="J5049" s="2"/>
      <c r="M5049" s="2"/>
    </row>
    <row r="5050" spans="1:13" x14ac:dyDescent="0.25">
      <c r="A5050" s="2"/>
      <c r="D5050" s="2"/>
      <c r="G5050" s="2"/>
      <c r="J5050" s="2"/>
      <c r="M5050" s="2"/>
    </row>
    <row r="5051" spans="1:13" x14ac:dyDescent="0.25">
      <c r="A5051" s="2"/>
      <c r="D5051" s="2"/>
      <c r="G5051" s="2"/>
      <c r="J5051" s="2"/>
      <c r="M5051" s="2"/>
    </row>
    <row r="5052" spans="1:13" x14ac:dyDescent="0.25">
      <c r="A5052" s="2"/>
      <c r="D5052" s="2"/>
      <c r="G5052" s="2"/>
      <c r="J5052" s="2"/>
      <c r="M5052" s="2"/>
    </row>
    <row r="5053" spans="1:13" x14ac:dyDescent="0.25">
      <c r="A5053" s="2"/>
      <c r="D5053" s="2"/>
      <c r="G5053" s="2"/>
      <c r="J5053" s="2"/>
      <c r="M5053" s="2"/>
    </row>
    <row r="5054" spans="1:13" x14ac:dyDescent="0.25">
      <c r="A5054" s="2"/>
      <c r="D5054" s="2"/>
      <c r="G5054" s="2"/>
      <c r="J5054" s="2"/>
      <c r="M5054" s="2"/>
    </row>
    <row r="5055" spans="1:13" x14ac:dyDescent="0.25">
      <c r="A5055" s="2"/>
      <c r="D5055" s="2"/>
      <c r="G5055" s="2"/>
      <c r="J5055" s="2"/>
      <c r="M5055" s="2"/>
    </row>
    <row r="5056" spans="1:13" x14ac:dyDescent="0.25">
      <c r="A5056" s="2"/>
      <c r="D5056" s="2"/>
      <c r="G5056" s="2"/>
      <c r="J5056" s="2"/>
      <c r="M5056" s="2"/>
    </row>
    <row r="5057" spans="1:13" x14ac:dyDescent="0.25">
      <c r="A5057" s="2"/>
      <c r="D5057" s="2"/>
      <c r="G5057" s="2"/>
      <c r="J5057" s="2"/>
      <c r="M5057" s="2"/>
    </row>
    <row r="5058" spans="1:13" x14ac:dyDescent="0.25">
      <c r="A5058" s="2"/>
      <c r="D5058" s="2"/>
      <c r="G5058" s="2"/>
      <c r="J5058" s="2"/>
      <c r="M5058" s="2"/>
    </row>
    <row r="5059" spans="1:13" x14ac:dyDescent="0.25">
      <c r="A5059" s="2"/>
      <c r="D5059" s="2"/>
      <c r="G5059" s="2"/>
      <c r="J5059" s="2"/>
      <c r="M5059" s="2"/>
    </row>
    <row r="5060" spans="1:13" x14ac:dyDescent="0.25">
      <c r="A5060" s="2"/>
      <c r="D5060" s="2"/>
      <c r="G5060" s="2"/>
      <c r="J5060" s="2"/>
      <c r="M5060" s="2"/>
    </row>
    <row r="5061" spans="1:13" x14ac:dyDescent="0.25">
      <c r="A5061" s="2"/>
      <c r="D5061" s="2"/>
      <c r="G5061" s="2"/>
      <c r="J5061" s="2"/>
      <c r="M5061" s="2"/>
    </row>
    <row r="5062" spans="1:13" x14ac:dyDescent="0.25">
      <c r="A5062" s="2"/>
      <c r="D5062" s="2"/>
      <c r="G5062" s="2"/>
      <c r="J5062" s="2"/>
      <c r="M5062" s="2"/>
    </row>
    <row r="5063" spans="1:13" x14ac:dyDescent="0.25">
      <c r="A5063" s="2"/>
      <c r="D5063" s="2"/>
      <c r="G5063" s="2"/>
      <c r="J5063" s="2"/>
      <c r="M5063" s="2"/>
    </row>
    <row r="5064" spans="1:13" x14ac:dyDescent="0.25">
      <c r="A5064" s="2"/>
      <c r="D5064" s="2"/>
      <c r="G5064" s="2"/>
      <c r="J5064" s="2"/>
      <c r="M5064" s="2"/>
    </row>
    <row r="5065" spans="1:13" x14ac:dyDescent="0.25">
      <c r="A5065" s="2"/>
      <c r="D5065" s="2"/>
      <c r="G5065" s="2"/>
      <c r="J5065" s="2"/>
      <c r="M5065" s="2"/>
    </row>
    <row r="5066" spans="1:13" x14ac:dyDescent="0.25">
      <c r="A5066" s="2"/>
      <c r="D5066" s="2"/>
      <c r="G5066" s="2"/>
      <c r="J5066" s="2"/>
      <c r="M5066" s="2"/>
    </row>
    <row r="5067" spans="1:13" x14ac:dyDescent="0.25">
      <c r="A5067" s="2"/>
      <c r="D5067" s="2"/>
      <c r="G5067" s="2"/>
      <c r="J5067" s="2"/>
      <c r="M5067" s="2"/>
    </row>
    <row r="5068" spans="1:13" x14ac:dyDescent="0.25">
      <c r="A5068" s="2"/>
      <c r="D5068" s="2"/>
      <c r="G5068" s="2"/>
      <c r="J5068" s="2"/>
      <c r="M5068" s="2"/>
    </row>
    <row r="5069" spans="1:13" x14ac:dyDescent="0.25">
      <c r="A5069" s="2"/>
      <c r="D5069" s="2"/>
      <c r="G5069" s="2"/>
      <c r="J5069" s="2"/>
      <c r="M5069" s="2"/>
    </row>
    <row r="5070" spans="1:13" x14ac:dyDescent="0.25">
      <c r="A5070" s="2"/>
      <c r="D5070" s="2"/>
      <c r="G5070" s="2"/>
      <c r="J5070" s="2"/>
      <c r="M5070" s="2"/>
    </row>
    <row r="5071" spans="1:13" x14ac:dyDescent="0.25">
      <c r="A5071" s="2"/>
      <c r="D5071" s="2"/>
      <c r="G5071" s="2"/>
      <c r="J5071" s="2"/>
      <c r="M5071" s="2"/>
    </row>
    <row r="5072" spans="1:13" x14ac:dyDescent="0.25">
      <c r="A5072" s="2"/>
      <c r="D5072" s="2"/>
      <c r="G5072" s="2"/>
      <c r="J5072" s="2"/>
      <c r="M5072" s="2"/>
    </row>
    <row r="5073" spans="1:13" x14ac:dyDescent="0.25">
      <c r="A5073" s="2"/>
      <c r="D5073" s="2"/>
      <c r="G5073" s="2"/>
      <c r="J5073" s="2"/>
      <c r="M5073" s="2"/>
    </row>
    <row r="5074" spans="1:13" x14ac:dyDescent="0.25">
      <c r="A5074" s="2"/>
      <c r="D5074" s="2"/>
      <c r="G5074" s="2"/>
      <c r="J5074" s="2"/>
      <c r="M5074" s="2"/>
    </row>
    <row r="5075" spans="1:13" x14ac:dyDescent="0.25">
      <c r="A5075" s="2"/>
      <c r="D5075" s="2"/>
      <c r="G5075" s="2"/>
      <c r="J5075" s="2"/>
      <c r="M5075" s="2"/>
    </row>
    <row r="5076" spans="1:13" x14ac:dyDescent="0.25">
      <c r="A5076" s="2"/>
      <c r="D5076" s="2"/>
      <c r="G5076" s="2"/>
      <c r="J5076" s="2"/>
      <c r="M5076" s="2"/>
    </row>
    <row r="5077" spans="1:13" x14ac:dyDescent="0.25">
      <c r="A5077" s="2"/>
      <c r="D5077" s="2"/>
      <c r="G5077" s="2"/>
      <c r="J5077" s="2"/>
      <c r="M5077" s="2"/>
    </row>
    <row r="5078" spans="1:13" x14ac:dyDescent="0.25">
      <c r="A5078" s="2"/>
      <c r="D5078" s="2"/>
      <c r="G5078" s="2"/>
      <c r="J5078" s="2"/>
      <c r="M5078" s="2"/>
    </row>
    <row r="5079" spans="1:13" x14ac:dyDescent="0.25">
      <c r="A5079" s="2"/>
      <c r="D5079" s="2"/>
      <c r="G5079" s="2"/>
      <c r="J5079" s="2"/>
      <c r="M5079" s="2"/>
    </row>
    <row r="5080" spans="1:13" x14ac:dyDescent="0.25">
      <c r="A5080" s="2"/>
      <c r="D5080" s="2"/>
      <c r="G5080" s="2"/>
      <c r="J5080" s="2"/>
      <c r="M5080" s="2"/>
    </row>
    <row r="5081" spans="1:13" x14ac:dyDescent="0.25">
      <c r="A5081" s="2"/>
      <c r="D5081" s="2"/>
      <c r="G5081" s="2"/>
      <c r="J5081" s="2"/>
      <c r="M5081" s="2"/>
    </row>
    <row r="5082" spans="1:13" x14ac:dyDescent="0.25">
      <c r="A5082" s="2"/>
      <c r="D5082" s="2"/>
      <c r="G5082" s="2"/>
      <c r="J5082" s="2"/>
      <c r="M5082" s="2"/>
    </row>
    <row r="5083" spans="1:13" x14ac:dyDescent="0.25">
      <c r="A5083" s="2"/>
      <c r="D5083" s="2"/>
      <c r="G5083" s="2"/>
      <c r="J5083" s="2"/>
      <c r="M5083" s="2"/>
    </row>
    <row r="5084" spans="1:13" x14ac:dyDescent="0.25">
      <c r="A5084" s="2"/>
      <c r="D5084" s="2"/>
      <c r="G5084" s="2"/>
      <c r="J5084" s="2"/>
      <c r="M5084" s="2"/>
    </row>
    <row r="5085" spans="1:13" x14ac:dyDescent="0.25">
      <c r="A5085" s="2"/>
      <c r="D5085" s="2"/>
      <c r="G5085" s="2"/>
      <c r="J5085" s="2"/>
      <c r="M5085" s="2"/>
    </row>
    <row r="5086" spans="1:13" x14ac:dyDescent="0.25">
      <c r="A5086" s="2"/>
      <c r="D5086" s="2"/>
      <c r="G5086" s="2"/>
      <c r="J5086" s="2"/>
      <c r="M5086" s="2"/>
    </row>
    <row r="5087" spans="1:13" x14ac:dyDescent="0.25">
      <c r="A5087" s="2"/>
      <c r="D5087" s="2"/>
      <c r="G5087" s="2"/>
      <c r="J5087" s="2"/>
      <c r="M5087" s="2"/>
    </row>
    <row r="5088" spans="1:13" x14ac:dyDescent="0.25">
      <c r="A5088" s="2"/>
      <c r="D5088" s="2"/>
      <c r="G5088" s="2"/>
      <c r="J5088" s="2"/>
      <c r="M5088" s="2"/>
    </row>
    <row r="5089" spans="1:13" x14ac:dyDescent="0.25">
      <c r="A5089" s="2"/>
      <c r="D5089" s="2"/>
      <c r="G5089" s="2"/>
      <c r="J5089" s="2"/>
      <c r="M5089" s="2"/>
    </row>
    <row r="5090" spans="1:13" x14ac:dyDescent="0.25">
      <c r="A5090" s="2"/>
      <c r="D5090" s="2"/>
      <c r="G5090" s="2"/>
      <c r="J5090" s="2"/>
      <c r="M5090" s="2"/>
    </row>
    <row r="5091" spans="1:13" x14ac:dyDescent="0.25">
      <c r="A5091" s="2"/>
      <c r="D5091" s="2"/>
      <c r="G5091" s="2"/>
      <c r="J5091" s="2"/>
      <c r="M5091" s="2"/>
    </row>
    <row r="5092" spans="1:13" x14ac:dyDescent="0.25">
      <c r="A5092" s="2"/>
      <c r="D5092" s="2"/>
      <c r="G5092" s="2"/>
      <c r="J5092" s="2"/>
      <c r="M5092" s="2"/>
    </row>
    <row r="5093" spans="1:13" x14ac:dyDescent="0.25">
      <c r="A5093" s="2"/>
      <c r="D5093" s="2"/>
      <c r="G5093" s="2"/>
      <c r="J5093" s="2"/>
      <c r="M5093" s="2"/>
    </row>
    <row r="5094" spans="1:13" x14ac:dyDescent="0.25">
      <c r="A5094" s="2"/>
      <c r="D5094" s="2"/>
      <c r="G5094" s="2"/>
      <c r="J5094" s="2"/>
      <c r="M5094" s="2"/>
    </row>
    <row r="5095" spans="1:13" x14ac:dyDescent="0.25">
      <c r="A5095" s="2"/>
      <c r="D5095" s="2"/>
      <c r="G5095" s="2"/>
      <c r="J5095" s="2"/>
      <c r="M5095" s="2"/>
    </row>
    <row r="5096" spans="1:13" x14ac:dyDescent="0.25">
      <c r="A5096" s="2"/>
      <c r="D5096" s="2"/>
      <c r="G5096" s="2"/>
      <c r="J5096" s="2"/>
      <c r="M5096" s="2"/>
    </row>
    <row r="5097" spans="1:13" x14ac:dyDescent="0.25">
      <c r="A5097" s="2"/>
      <c r="D5097" s="2"/>
      <c r="G5097" s="2"/>
      <c r="J5097" s="2"/>
      <c r="M5097" s="2"/>
    </row>
    <row r="5098" spans="1:13" x14ac:dyDescent="0.25">
      <c r="A5098" s="2"/>
      <c r="D5098" s="2"/>
      <c r="G5098" s="2"/>
      <c r="J5098" s="2"/>
      <c r="M5098" s="2"/>
    </row>
    <row r="5099" spans="1:13" x14ac:dyDescent="0.25">
      <c r="A5099" s="2"/>
      <c r="D5099" s="2"/>
      <c r="G5099" s="2"/>
      <c r="J5099" s="2"/>
      <c r="M5099" s="2"/>
    </row>
    <row r="5100" spans="1:13" x14ac:dyDescent="0.25">
      <c r="A5100" s="2"/>
      <c r="D5100" s="2"/>
      <c r="G5100" s="2"/>
      <c r="J5100" s="2"/>
      <c r="M5100" s="2"/>
    </row>
    <row r="5101" spans="1:13" x14ac:dyDescent="0.25">
      <c r="A5101" s="2"/>
      <c r="D5101" s="2"/>
      <c r="G5101" s="2"/>
      <c r="J5101" s="2"/>
      <c r="M5101" s="2"/>
    </row>
    <row r="5102" spans="1:13" x14ac:dyDescent="0.25">
      <c r="A5102" s="2"/>
      <c r="D5102" s="2"/>
      <c r="G5102" s="2"/>
      <c r="J5102" s="2"/>
      <c r="M5102" s="2"/>
    </row>
    <row r="5103" spans="1:13" x14ac:dyDescent="0.25">
      <c r="A5103" s="2"/>
      <c r="D5103" s="2"/>
      <c r="G5103" s="2"/>
      <c r="J5103" s="2"/>
      <c r="M5103" s="2"/>
    </row>
    <row r="5104" spans="1:13" x14ac:dyDescent="0.25">
      <c r="A5104" s="2"/>
      <c r="D5104" s="2"/>
      <c r="G5104" s="2"/>
      <c r="J5104" s="2"/>
      <c r="M5104" s="2"/>
    </row>
    <row r="5105" spans="1:13" x14ac:dyDescent="0.25">
      <c r="A5105" s="2"/>
      <c r="D5105" s="2"/>
      <c r="G5105" s="2"/>
      <c r="J5105" s="2"/>
      <c r="M5105" s="2"/>
    </row>
    <row r="5106" spans="1:13" x14ac:dyDescent="0.25">
      <c r="A5106" s="2"/>
      <c r="D5106" s="2"/>
      <c r="G5106" s="2"/>
      <c r="J5106" s="2"/>
      <c r="M5106" s="2"/>
    </row>
    <row r="5107" spans="1:13" x14ac:dyDescent="0.25">
      <c r="A5107" s="2"/>
      <c r="D5107" s="2"/>
      <c r="G5107" s="2"/>
      <c r="J5107" s="2"/>
      <c r="M5107" s="2"/>
    </row>
    <row r="5108" spans="1:13" x14ac:dyDescent="0.25">
      <c r="A5108" s="2"/>
      <c r="D5108" s="2"/>
      <c r="G5108" s="2"/>
      <c r="J5108" s="2"/>
      <c r="M5108" s="2"/>
    </row>
    <row r="5109" spans="1:13" x14ac:dyDescent="0.25">
      <c r="A5109" s="2"/>
      <c r="D5109" s="2"/>
      <c r="G5109" s="2"/>
      <c r="J5109" s="2"/>
      <c r="M5109" s="2"/>
    </row>
    <row r="5110" spans="1:13" x14ac:dyDescent="0.25">
      <c r="A5110" s="2"/>
      <c r="D5110" s="2"/>
      <c r="G5110" s="2"/>
      <c r="J5110" s="2"/>
      <c r="M5110" s="2"/>
    </row>
    <row r="5111" spans="1:13" x14ac:dyDescent="0.25">
      <c r="A5111" s="2"/>
      <c r="D5111" s="2"/>
      <c r="G5111" s="2"/>
      <c r="J5111" s="2"/>
      <c r="M5111" s="2"/>
    </row>
    <row r="5112" spans="1:13" x14ac:dyDescent="0.25">
      <c r="A5112" s="2"/>
      <c r="D5112" s="2"/>
      <c r="G5112" s="2"/>
      <c r="J5112" s="2"/>
      <c r="M5112" s="2"/>
    </row>
    <row r="5113" spans="1:13" x14ac:dyDescent="0.25">
      <c r="A5113" s="2"/>
      <c r="D5113" s="2"/>
      <c r="G5113" s="2"/>
      <c r="J5113" s="2"/>
      <c r="M5113" s="2"/>
    </row>
    <row r="5114" spans="1:13" x14ac:dyDescent="0.25">
      <c r="A5114" s="2"/>
      <c r="D5114" s="2"/>
      <c r="G5114" s="2"/>
      <c r="J5114" s="2"/>
      <c r="M5114" s="2"/>
    </row>
    <row r="5115" spans="1:13" x14ac:dyDescent="0.25">
      <c r="A5115" s="2"/>
      <c r="D5115" s="2"/>
      <c r="G5115" s="2"/>
      <c r="J5115" s="2"/>
      <c r="M5115" s="2"/>
    </row>
    <row r="5116" spans="1:13" x14ac:dyDescent="0.25">
      <c r="A5116" s="2"/>
      <c r="D5116" s="2"/>
      <c r="G5116" s="2"/>
      <c r="J5116" s="2"/>
      <c r="M5116" s="2"/>
    </row>
    <row r="5117" spans="1:13" x14ac:dyDescent="0.25">
      <c r="A5117" s="2"/>
      <c r="D5117" s="2"/>
      <c r="G5117" s="2"/>
      <c r="J5117" s="2"/>
      <c r="M5117" s="2"/>
    </row>
    <row r="5118" spans="1:13" x14ac:dyDescent="0.25">
      <c r="A5118" s="2"/>
      <c r="D5118" s="2"/>
      <c r="G5118" s="2"/>
      <c r="J5118" s="2"/>
      <c r="M5118" s="2"/>
    </row>
    <row r="5119" spans="1:13" x14ac:dyDescent="0.25">
      <c r="A5119" s="2"/>
      <c r="D5119" s="2"/>
      <c r="G5119" s="2"/>
      <c r="J5119" s="2"/>
      <c r="M5119" s="2"/>
    </row>
    <row r="5120" spans="1:13" x14ac:dyDescent="0.25">
      <c r="A5120" s="2"/>
      <c r="D5120" s="2"/>
      <c r="G5120" s="2"/>
      <c r="J5120" s="2"/>
      <c r="M5120" s="2"/>
    </row>
    <row r="5121" spans="1:13" x14ac:dyDescent="0.25">
      <c r="A5121" s="2"/>
      <c r="D5121" s="2"/>
      <c r="G5121" s="2"/>
      <c r="J5121" s="2"/>
      <c r="M5121" s="2"/>
    </row>
    <row r="5122" spans="1:13" x14ac:dyDescent="0.25">
      <c r="A5122" s="2"/>
      <c r="D5122" s="2"/>
      <c r="G5122" s="2"/>
      <c r="J5122" s="2"/>
      <c r="M5122" s="2"/>
    </row>
    <row r="5123" spans="1:13" x14ac:dyDescent="0.25">
      <c r="A5123" s="2"/>
      <c r="D5123" s="2"/>
      <c r="G5123" s="2"/>
      <c r="J5123" s="2"/>
      <c r="M5123" s="2"/>
    </row>
    <row r="5124" spans="1:13" x14ac:dyDescent="0.25">
      <c r="A5124" s="2"/>
      <c r="D5124" s="2"/>
      <c r="G5124" s="2"/>
      <c r="J5124" s="2"/>
      <c r="M5124" s="2"/>
    </row>
    <row r="5125" spans="1:13" x14ac:dyDescent="0.25">
      <c r="A5125" s="2"/>
      <c r="D5125" s="2"/>
      <c r="G5125" s="2"/>
      <c r="J5125" s="2"/>
      <c r="M5125" s="2"/>
    </row>
    <row r="5126" spans="1:13" x14ac:dyDescent="0.25">
      <c r="A5126" s="2"/>
      <c r="D5126" s="2"/>
      <c r="G5126" s="2"/>
      <c r="J5126" s="2"/>
      <c r="M5126" s="2"/>
    </row>
    <row r="5127" spans="1:13" x14ac:dyDescent="0.25">
      <c r="A5127" s="2"/>
      <c r="D5127" s="2"/>
      <c r="G5127" s="2"/>
      <c r="J5127" s="2"/>
      <c r="M5127" s="2"/>
    </row>
    <row r="5128" spans="1:13" x14ac:dyDescent="0.25">
      <c r="A5128" s="2"/>
      <c r="D5128" s="2"/>
      <c r="G5128" s="2"/>
      <c r="J5128" s="2"/>
      <c r="M5128" s="2"/>
    </row>
    <row r="5129" spans="1:13" x14ac:dyDescent="0.25">
      <c r="A5129" s="2"/>
      <c r="D5129" s="2"/>
      <c r="G5129" s="2"/>
      <c r="J5129" s="2"/>
      <c r="M5129" s="2"/>
    </row>
    <row r="5130" spans="1:13" x14ac:dyDescent="0.25">
      <c r="A5130" s="2"/>
      <c r="D5130" s="2"/>
      <c r="G5130" s="2"/>
      <c r="J5130" s="2"/>
      <c r="M5130" s="2"/>
    </row>
    <row r="5131" spans="1:13" x14ac:dyDescent="0.25">
      <c r="A5131" s="2"/>
      <c r="D5131" s="2"/>
      <c r="G5131" s="2"/>
      <c r="J5131" s="2"/>
      <c r="M5131" s="2"/>
    </row>
    <row r="5132" spans="1:13" x14ac:dyDescent="0.25">
      <c r="A5132" s="2"/>
      <c r="D5132" s="2"/>
      <c r="G5132" s="2"/>
      <c r="J5132" s="2"/>
      <c r="M5132" s="2"/>
    </row>
    <row r="5133" spans="1:13" x14ac:dyDescent="0.25">
      <c r="A5133" s="2"/>
      <c r="D5133" s="2"/>
      <c r="G5133" s="2"/>
      <c r="J5133" s="2"/>
      <c r="M5133" s="2"/>
    </row>
    <row r="5134" spans="1:13" x14ac:dyDescent="0.25">
      <c r="A5134" s="2"/>
      <c r="D5134" s="2"/>
      <c r="G5134" s="2"/>
      <c r="J5134" s="2"/>
      <c r="M5134" s="2"/>
    </row>
    <row r="5135" spans="1:13" x14ac:dyDescent="0.25">
      <c r="A5135" s="2"/>
      <c r="D5135" s="2"/>
      <c r="G5135" s="2"/>
      <c r="J5135" s="2"/>
      <c r="M5135" s="2"/>
    </row>
    <row r="5136" spans="1:13" x14ac:dyDescent="0.25">
      <c r="A5136" s="2"/>
      <c r="D5136" s="2"/>
      <c r="G5136" s="2"/>
      <c r="J5136" s="2"/>
      <c r="M5136" s="2"/>
    </row>
    <row r="5137" spans="1:13" x14ac:dyDescent="0.25">
      <c r="A5137" s="2"/>
      <c r="D5137" s="2"/>
      <c r="G5137" s="2"/>
      <c r="J5137" s="2"/>
      <c r="M5137" s="2"/>
    </row>
    <row r="5138" spans="1:13" x14ac:dyDescent="0.25">
      <c r="A5138" s="2"/>
      <c r="D5138" s="2"/>
      <c r="G5138" s="2"/>
      <c r="J5138" s="2"/>
      <c r="M5138" s="2"/>
    </row>
    <row r="5139" spans="1:13" x14ac:dyDescent="0.25">
      <c r="A5139" s="2"/>
      <c r="D5139" s="2"/>
      <c r="G5139" s="2"/>
      <c r="J5139" s="2"/>
      <c r="M5139" s="2"/>
    </row>
    <row r="5140" spans="1:13" x14ac:dyDescent="0.25">
      <c r="A5140" s="2"/>
      <c r="D5140" s="2"/>
      <c r="G5140" s="2"/>
      <c r="J5140" s="2"/>
      <c r="M5140" s="2"/>
    </row>
    <row r="5141" spans="1:13" x14ac:dyDescent="0.25">
      <c r="A5141" s="2"/>
      <c r="D5141" s="2"/>
      <c r="G5141" s="2"/>
      <c r="J5141" s="2"/>
      <c r="M5141" s="2"/>
    </row>
    <row r="5142" spans="1:13" x14ac:dyDescent="0.25">
      <c r="A5142" s="2"/>
      <c r="D5142" s="2"/>
      <c r="G5142" s="2"/>
      <c r="J5142" s="2"/>
      <c r="M5142" s="2"/>
    </row>
    <row r="5143" spans="1:13" x14ac:dyDescent="0.25">
      <c r="A5143" s="2"/>
      <c r="D5143" s="2"/>
      <c r="G5143" s="2"/>
      <c r="J5143" s="2"/>
      <c r="M5143" s="2"/>
    </row>
    <row r="5144" spans="1:13" x14ac:dyDescent="0.25">
      <c r="A5144" s="2"/>
      <c r="D5144" s="2"/>
      <c r="G5144" s="2"/>
      <c r="J5144" s="2"/>
      <c r="M5144" s="2"/>
    </row>
    <row r="5145" spans="1:13" x14ac:dyDescent="0.25">
      <c r="A5145" s="2"/>
      <c r="D5145" s="2"/>
      <c r="G5145" s="2"/>
      <c r="J5145" s="2"/>
      <c r="M5145" s="2"/>
    </row>
    <row r="5146" spans="1:13" x14ac:dyDescent="0.25">
      <c r="A5146" s="2"/>
      <c r="D5146" s="2"/>
      <c r="G5146" s="2"/>
      <c r="J5146" s="2"/>
      <c r="M5146" s="2"/>
    </row>
    <row r="5147" spans="1:13" x14ac:dyDescent="0.25">
      <c r="A5147" s="2"/>
      <c r="D5147" s="2"/>
      <c r="G5147" s="2"/>
      <c r="J5147" s="2"/>
      <c r="M5147" s="2"/>
    </row>
    <row r="5148" spans="1:13" x14ac:dyDescent="0.25">
      <c r="A5148" s="2"/>
      <c r="D5148" s="2"/>
      <c r="G5148" s="2"/>
      <c r="J5148" s="2"/>
      <c r="M5148" s="2"/>
    </row>
    <row r="5149" spans="1:13" x14ac:dyDescent="0.25">
      <c r="A5149" s="2"/>
      <c r="D5149" s="2"/>
      <c r="G5149" s="2"/>
      <c r="J5149" s="2"/>
      <c r="M5149" s="2"/>
    </row>
    <row r="5150" spans="1:13" x14ac:dyDescent="0.25">
      <c r="A5150" s="2"/>
      <c r="D5150" s="2"/>
      <c r="G5150" s="2"/>
      <c r="J5150" s="2"/>
      <c r="M5150" s="2"/>
    </row>
    <row r="5151" spans="1:13" x14ac:dyDescent="0.25">
      <c r="A5151" s="2"/>
      <c r="D5151" s="2"/>
      <c r="G5151" s="2"/>
      <c r="J5151" s="2"/>
      <c r="M5151" s="2"/>
    </row>
    <row r="5152" spans="1:13" x14ac:dyDescent="0.25">
      <c r="A5152" s="2"/>
      <c r="D5152" s="2"/>
      <c r="G5152" s="2"/>
      <c r="J5152" s="2"/>
      <c r="M5152" s="2"/>
    </row>
    <row r="5153" spans="1:13" x14ac:dyDescent="0.25">
      <c r="A5153" s="2"/>
      <c r="D5153" s="2"/>
      <c r="G5153" s="2"/>
      <c r="J5153" s="2"/>
      <c r="M5153" s="2"/>
    </row>
    <row r="5154" spans="1:13" x14ac:dyDescent="0.25">
      <c r="A5154" s="2"/>
      <c r="D5154" s="2"/>
      <c r="G5154" s="2"/>
      <c r="J5154" s="2"/>
      <c r="M5154" s="2"/>
    </row>
    <row r="5155" spans="1:13" x14ac:dyDescent="0.25">
      <c r="A5155" s="2"/>
      <c r="D5155" s="2"/>
      <c r="G5155" s="2"/>
      <c r="J5155" s="2"/>
      <c r="M5155" s="2"/>
    </row>
    <row r="5156" spans="1:13" x14ac:dyDescent="0.25">
      <c r="A5156" s="2"/>
      <c r="D5156" s="2"/>
      <c r="G5156" s="2"/>
      <c r="J5156" s="2"/>
      <c r="M5156" s="2"/>
    </row>
    <row r="5157" spans="1:13" x14ac:dyDescent="0.25">
      <c r="A5157" s="2"/>
      <c r="D5157" s="2"/>
      <c r="G5157" s="2"/>
      <c r="J5157" s="2"/>
      <c r="M5157" s="2"/>
    </row>
    <row r="5158" spans="1:13" x14ac:dyDescent="0.25">
      <c r="A5158" s="2"/>
      <c r="D5158" s="2"/>
      <c r="G5158" s="2"/>
      <c r="J5158" s="2"/>
      <c r="M5158" s="2"/>
    </row>
    <row r="5159" spans="1:13" x14ac:dyDescent="0.25">
      <c r="A5159" s="2"/>
      <c r="D5159" s="2"/>
      <c r="G5159" s="2"/>
      <c r="J5159" s="2"/>
      <c r="M5159" s="2"/>
    </row>
    <row r="5160" spans="1:13" x14ac:dyDescent="0.25">
      <c r="A5160" s="2"/>
      <c r="D5160" s="2"/>
      <c r="G5160" s="2"/>
      <c r="J5160" s="2"/>
      <c r="M5160" s="2"/>
    </row>
    <row r="5161" spans="1:13" x14ac:dyDescent="0.25">
      <c r="A5161" s="2"/>
      <c r="D5161" s="2"/>
      <c r="G5161" s="2"/>
      <c r="J5161" s="2"/>
      <c r="M5161" s="2"/>
    </row>
    <row r="5162" spans="1:13" x14ac:dyDescent="0.25">
      <c r="A5162" s="2"/>
      <c r="D5162" s="2"/>
      <c r="G5162" s="2"/>
      <c r="J5162" s="2"/>
      <c r="M5162" s="2"/>
    </row>
    <row r="5163" spans="1:13" x14ac:dyDescent="0.25">
      <c r="A5163" s="2"/>
      <c r="D5163" s="2"/>
      <c r="G5163" s="2"/>
      <c r="J5163" s="2"/>
      <c r="M5163" s="2"/>
    </row>
    <row r="5164" spans="1:13" x14ac:dyDescent="0.25">
      <c r="A5164" s="2"/>
      <c r="D5164" s="2"/>
      <c r="G5164" s="2"/>
      <c r="J5164" s="2"/>
      <c r="M5164" s="2"/>
    </row>
    <row r="5165" spans="1:13" x14ac:dyDescent="0.25">
      <c r="A5165" s="2"/>
      <c r="D5165" s="2"/>
      <c r="G5165" s="2"/>
      <c r="J5165" s="2"/>
      <c r="M5165" s="2"/>
    </row>
    <row r="5166" spans="1:13" x14ac:dyDescent="0.25">
      <c r="A5166" s="2"/>
      <c r="D5166" s="2"/>
      <c r="G5166" s="2"/>
      <c r="J5166" s="2"/>
      <c r="M5166" s="2"/>
    </row>
    <row r="5167" spans="1:13" x14ac:dyDescent="0.25">
      <c r="A5167" s="2"/>
      <c r="D5167" s="2"/>
      <c r="G5167" s="2"/>
      <c r="J5167" s="2"/>
      <c r="M5167" s="2"/>
    </row>
    <row r="5168" spans="1:13" x14ac:dyDescent="0.25">
      <c r="A5168" s="2"/>
      <c r="D5168" s="2"/>
      <c r="G5168" s="2"/>
      <c r="J5168" s="2"/>
      <c r="M5168" s="2"/>
    </row>
    <row r="5169" spans="1:13" x14ac:dyDescent="0.25">
      <c r="A5169" s="2"/>
      <c r="D5169" s="2"/>
      <c r="G5169" s="2"/>
      <c r="J5169" s="2"/>
      <c r="M5169" s="2"/>
    </row>
    <row r="5170" spans="1:13" x14ac:dyDescent="0.25">
      <c r="A5170" s="2"/>
      <c r="D5170" s="2"/>
      <c r="G5170" s="2"/>
      <c r="J5170" s="2"/>
      <c r="M5170" s="2"/>
    </row>
    <row r="5171" spans="1:13" x14ac:dyDescent="0.25">
      <c r="A5171" s="2"/>
      <c r="D5171" s="2"/>
      <c r="G5171" s="2"/>
      <c r="J5171" s="2"/>
      <c r="M5171" s="2"/>
    </row>
    <row r="5172" spans="1:13" x14ac:dyDescent="0.25">
      <c r="A5172" s="2"/>
      <c r="D5172" s="2"/>
      <c r="G5172" s="2"/>
      <c r="J5172" s="2"/>
      <c r="M5172" s="2"/>
    </row>
    <row r="5173" spans="1:13" x14ac:dyDescent="0.25">
      <c r="A5173" s="2"/>
      <c r="D5173" s="2"/>
      <c r="G5173" s="2"/>
      <c r="J5173" s="2"/>
      <c r="M5173" s="2"/>
    </row>
    <row r="5174" spans="1:13" x14ac:dyDescent="0.25">
      <c r="A5174" s="2"/>
      <c r="D5174" s="2"/>
      <c r="G5174" s="2"/>
      <c r="J5174" s="2"/>
      <c r="M5174" s="2"/>
    </row>
    <row r="5175" spans="1:13" x14ac:dyDescent="0.25">
      <c r="A5175" s="2"/>
      <c r="D5175" s="2"/>
      <c r="G5175" s="2"/>
      <c r="J5175" s="2"/>
      <c r="M5175" s="2"/>
    </row>
    <row r="5176" spans="1:13" x14ac:dyDescent="0.25">
      <c r="A5176" s="2"/>
      <c r="D5176" s="2"/>
      <c r="G5176" s="2"/>
      <c r="J5176" s="2"/>
      <c r="M5176" s="2"/>
    </row>
    <row r="5177" spans="1:13" x14ac:dyDescent="0.25">
      <c r="A5177" s="2"/>
      <c r="D5177" s="2"/>
      <c r="G5177" s="2"/>
      <c r="J5177" s="2"/>
      <c r="M5177" s="2"/>
    </row>
    <row r="5178" spans="1:13" x14ac:dyDescent="0.25">
      <c r="A5178" s="2"/>
      <c r="D5178" s="2"/>
      <c r="G5178" s="2"/>
      <c r="J5178" s="2"/>
      <c r="M5178" s="2"/>
    </row>
    <row r="5179" spans="1:13" x14ac:dyDescent="0.25">
      <c r="A5179" s="2"/>
      <c r="D5179" s="2"/>
      <c r="G5179" s="2"/>
      <c r="J5179" s="2"/>
      <c r="M5179" s="2"/>
    </row>
    <row r="5180" spans="1:13" x14ac:dyDescent="0.25">
      <c r="A5180" s="2"/>
      <c r="D5180" s="2"/>
      <c r="G5180" s="2"/>
      <c r="J5180" s="2"/>
      <c r="M5180" s="2"/>
    </row>
    <row r="5181" spans="1:13" x14ac:dyDescent="0.25">
      <c r="A5181" s="2"/>
      <c r="D5181" s="2"/>
      <c r="G5181" s="2"/>
      <c r="J5181" s="2"/>
      <c r="M5181" s="2"/>
    </row>
    <row r="5182" spans="1:13" x14ac:dyDescent="0.25">
      <c r="A5182" s="2"/>
      <c r="D5182" s="2"/>
      <c r="G5182" s="2"/>
      <c r="J5182" s="2"/>
      <c r="M5182" s="2"/>
    </row>
    <row r="5183" spans="1:13" x14ac:dyDescent="0.25">
      <c r="A5183" s="2"/>
      <c r="D5183" s="2"/>
      <c r="G5183" s="2"/>
      <c r="J5183" s="2"/>
      <c r="M5183" s="2"/>
    </row>
    <row r="5184" spans="1:13" x14ac:dyDescent="0.25">
      <c r="A5184" s="2"/>
      <c r="D5184" s="2"/>
      <c r="G5184" s="2"/>
      <c r="J5184" s="2"/>
      <c r="M5184" s="2"/>
    </row>
    <row r="5185" spans="1:13" x14ac:dyDescent="0.25">
      <c r="A5185" s="2"/>
      <c r="D5185" s="2"/>
      <c r="G5185" s="2"/>
      <c r="J5185" s="2"/>
      <c r="M5185" s="2"/>
    </row>
    <row r="5186" spans="1:13" x14ac:dyDescent="0.25">
      <c r="A5186" s="2"/>
      <c r="D5186" s="2"/>
      <c r="G5186" s="2"/>
      <c r="J5186" s="2"/>
      <c r="M5186" s="2"/>
    </row>
    <row r="5187" spans="1:13" x14ac:dyDescent="0.25">
      <c r="A5187" s="2"/>
      <c r="D5187" s="2"/>
      <c r="G5187" s="2"/>
      <c r="J5187" s="2"/>
      <c r="M5187" s="2"/>
    </row>
    <row r="5188" spans="1:13" x14ac:dyDescent="0.25">
      <c r="A5188" s="2"/>
      <c r="D5188" s="2"/>
      <c r="G5188" s="2"/>
      <c r="J5188" s="2"/>
      <c r="M5188" s="2"/>
    </row>
    <row r="5189" spans="1:13" x14ac:dyDescent="0.25">
      <c r="A5189" s="2"/>
      <c r="D5189" s="2"/>
      <c r="G5189" s="2"/>
      <c r="J5189" s="2"/>
      <c r="M5189" s="2"/>
    </row>
    <row r="5190" spans="1:13" x14ac:dyDescent="0.25">
      <c r="A5190" s="2"/>
      <c r="D5190" s="2"/>
      <c r="G5190" s="2"/>
      <c r="J5190" s="2"/>
      <c r="M5190" s="2"/>
    </row>
    <row r="5191" spans="1:13" x14ac:dyDescent="0.25">
      <c r="A5191" s="2"/>
      <c r="D5191" s="2"/>
      <c r="G5191" s="2"/>
      <c r="J5191" s="2"/>
      <c r="M5191" s="2"/>
    </row>
    <row r="5192" spans="1:13" x14ac:dyDescent="0.25">
      <c r="A5192" s="2"/>
      <c r="D5192" s="2"/>
      <c r="G5192" s="2"/>
      <c r="J5192" s="2"/>
      <c r="M5192" s="2"/>
    </row>
    <row r="5193" spans="1:13" x14ac:dyDescent="0.25">
      <c r="A5193" s="2"/>
      <c r="D5193" s="2"/>
      <c r="G5193" s="2"/>
      <c r="J5193" s="2"/>
      <c r="M5193" s="2"/>
    </row>
    <row r="5194" spans="1:13" x14ac:dyDescent="0.25">
      <c r="A5194" s="2"/>
      <c r="D5194" s="2"/>
      <c r="G5194" s="2"/>
      <c r="J5194" s="2"/>
      <c r="M5194" s="2"/>
    </row>
    <row r="5195" spans="1:13" x14ac:dyDescent="0.25">
      <c r="A5195" s="2"/>
      <c r="D5195" s="2"/>
      <c r="G5195" s="2"/>
      <c r="J5195" s="2"/>
      <c r="M5195" s="2"/>
    </row>
    <row r="5196" spans="1:13" x14ac:dyDescent="0.25">
      <c r="A5196" s="2"/>
      <c r="D5196" s="2"/>
      <c r="G5196" s="2"/>
      <c r="J5196" s="2"/>
      <c r="M5196" s="2"/>
    </row>
    <row r="5197" spans="1:13" x14ac:dyDescent="0.25">
      <c r="A5197" s="2"/>
      <c r="D5197" s="2"/>
      <c r="G5197" s="2"/>
      <c r="J5197" s="2"/>
      <c r="M5197" s="2"/>
    </row>
    <row r="5198" spans="1:13" x14ac:dyDescent="0.25">
      <c r="A5198" s="2"/>
      <c r="D5198" s="2"/>
      <c r="G5198" s="2"/>
      <c r="J5198" s="2"/>
      <c r="M5198" s="2"/>
    </row>
    <row r="5199" spans="1:13" x14ac:dyDescent="0.25">
      <c r="A5199" s="2"/>
      <c r="D5199" s="2"/>
      <c r="G5199" s="2"/>
      <c r="J5199" s="2"/>
      <c r="M5199" s="2"/>
    </row>
    <row r="5200" spans="1:13" x14ac:dyDescent="0.25">
      <c r="A5200" s="2"/>
      <c r="D5200" s="2"/>
      <c r="G5200" s="2"/>
      <c r="J5200" s="2"/>
      <c r="M5200" s="2"/>
    </row>
    <row r="5201" spans="1:13" x14ac:dyDescent="0.25">
      <c r="A5201" s="2"/>
      <c r="D5201" s="2"/>
      <c r="G5201" s="2"/>
      <c r="J5201" s="2"/>
      <c r="M5201" s="2"/>
    </row>
    <row r="5202" spans="1:13" x14ac:dyDescent="0.25">
      <c r="A5202" s="2"/>
      <c r="D5202" s="2"/>
      <c r="G5202" s="2"/>
      <c r="J5202" s="2"/>
      <c r="M5202" s="2"/>
    </row>
    <row r="5203" spans="1:13" x14ac:dyDescent="0.25">
      <c r="A5203" s="2"/>
      <c r="D5203" s="2"/>
      <c r="G5203" s="2"/>
      <c r="J5203" s="2"/>
      <c r="M5203" s="2"/>
    </row>
    <row r="5204" spans="1:13" x14ac:dyDescent="0.25">
      <c r="A5204" s="2"/>
      <c r="D5204" s="2"/>
      <c r="G5204" s="2"/>
      <c r="J5204" s="2"/>
      <c r="M5204" s="2"/>
    </row>
    <row r="5205" spans="1:13" x14ac:dyDescent="0.25">
      <c r="A5205" s="2"/>
      <c r="D5205" s="2"/>
      <c r="G5205" s="2"/>
      <c r="J5205" s="2"/>
      <c r="M5205" s="2"/>
    </row>
    <row r="5206" spans="1:13" x14ac:dyDescent="0.25">
      <c r="A5206" s="2"/>
      <c r="D5206" s="2"/>
      <c r="G5206" s="2"/>
      <c r="J5206" s="2"/>
      <c r="M5206" s="2"/>
    </row>
    <row r="5207" spans="1:13" x14ac:dyDescent="0.25">
      <c r="A5207" s="2"/>
      <c r="D5207" s="2"/>
      <c r="G5207" s="2"/>
      <c r="J5207" s="2"/>
      <c r="M5207" s="2"/>
    </row>
    <row r="5208" spans="1:13" x14ac:dyDescent="0.25">
      <c r="A5208" s="2"/>
      <c r="D5208" s="2"/>
      <c r="G5208" s="2"/>
      <c r="J5208" s="2"/>
      <c r="M5208" s="2"/>
    </row>
    <row r="5209" spans="1:13" x14ac:dyDescent="0.25">
      <c r="A5209" s="2"/>
      <c r="D5209" s="2"/>
      <c r="G5209" s="2"/>
      <c r="J5209" s="2"/>
      <c r="M5209" s="2"/>
    </row>
    <row r="5210" spans="1:13" x14ac:dyDescent="0.25">
      <c r="A5210" s="2"/>
      <c r="D5210" s="2"/>
      <c r="G5210" s="2"/>
      <c r="J5210" s="2"/>
      <c r="M5210" s="2"/>
    </row>
    <row r="5211" spans="1:13" x14ac:dyDescent="0.25">
      <c r="A5211" s="2"/>
      <c r="D5211" s="2"/>
      <c r="G5211" s="2"/>
      <c r="J5211" s="2"/>
      <c r="M5211" s="2"/>
    </row>
    <row r="5212" spans="1:13" x14ac:dyDescent="0.25">
      <c r="A5212" s="2"/>
      <c r="D5212" s="2"/>
      <c r="G5212" s="2"/>
      <c r="J5212" s="2"/>
      <c r="M5212" s="2"/>
    </row>
    <row r="5213" spans="1:13" x14ac:dyDescent="0.25">
      <c r="A5213" s="2"/>
      <c r="D5213" s="2"/>
      <c r="G5213" s="2"/>
      <c r="J5213" s="2"/>
      <c r="M5213" s="2"/>
    </row>
    <row r="5214" spans="1:13" x14ac:dyDescent="0.25">
      <c r="A5214" s="2"/>
      <c r="D5214" s="2"/>
      <c r="G5214" s="2"/>
      <c r="J5214" s="2"/>
      <c r="M5214" s="2"/>
    </row>
    <row r="5215" spans="1:13" x14ac:dyDescent="0.25">
      <c r="A5215" s="2"/>
      <c r="D5215" s="2"/>
      <c r="G5215" s="2"/>
      <c r="J5215" s="2"/>
      <c r="M5215" s="2"/>
    </row>
    <row r="5216" spans="1:13" x14ac:dyDescent="0.25">
      <c r="A5216" s="2"/>
      <c r="D5216" s="2"/>
      <c r="G5216" s="2"/>
      <c r="J5216" s="2"/>
      <c r="M5216" s="2"/>
    </row>
    <row r="5217" spans="1:13" x14ac:dyDescent="0.25">
      <c r="A5217" s="2"/>
      <c r="D5217" s="2"/>
      <c r="G5217" s="2"/>
      <c r="J5217" s="2"/>
      <c r="M5217" s="2"/>
    </row>
    <row r="5218" spans="1:13" x14ac:dyDescent="0.25">
      <c r="A5218" s="2"/>
      <c r="D5218" s="2"/>
      <c r="G5218" s="2"/>
      <c r="J5218" s="2"/>
      <c r="M5218" s="2"/>
    </row>
    <row r="5219" spans="1:13" x14ac:dyDescent="0.25">
      <c r="A5219" s="2"/>
      <c r="D5219" s="2"/>
      <c r="G5219" s="2"/>
      <c r="J5219" s="2"/>
      <c r="M5219" s="2"/>
    </row>
    <row r="5220" spans="1:13" x14ac:dyDescent="0.25">
      <c r="A5220" s="2"/>
      <c r="D5220" s="2"/>
      <c r="G5220" s="2"/>
      <c r="J5220" s="2"/>
      <c r="M5220" s="2"/>
    </row>
    <row r="5221" spans="1:13" x14ac:dyDescent="0.25">
      <c r="A5221" s="2"/>
      <c r="D5221" s="2"/>
      <c r="G5221" s="2"/>
      <c r="J5221" s="2"/>
      <c r="M5221" s="2"/>
    </row>
    <row r="5222" spans="1:13" x14ac:dyDescent="0.25">
      <c r="A5222" s="2"/>
      <c r="D5222" s="2"/>
      <c r="G5222" s="2"/>
      <c r="J5222" s="2"/>
      <c r="M5222" s="2"/>
    </row>
    <row r="5223" spans="1:13" x14ac:dyDescent="0.25">
      <c r="A5223" s="2"/>
      <c r="D5223" s="2"/>
      <c r="G5223" s="2"/>
      <c r="J5223" s="2"/>
      <c r="M5223" s="2"/>
    </row>
    <row r="5224" spans="1:13" x14ac:dyDescent="0.25">
      <c r="A5224" s="2"/>
      <c r="D5224" s="2"/>
      <c r="G5224" s="2"/>
      <c r="J5224" s="2"/>
      <c r="M5224" s="2"/>
    </row>
    <row r="5225" spans="1:13" x14ac:dyDescent="0.25">
      <c r="A5225" s="2"/>
      <c r="D5225" s="2"/>
      <c r="G5225" s="2"/>
      <c r="J5225" s="2"/>
      <c r="M5225" s="2"/>
    </row>
    <row r="5226" spans="1:13" x14ac:dyDescent="0.25">
      <c r="A5226" s="2"/>
      <c r="D5226" s="2"/>
      <c r="G5226" s="2"/>
      <c r="J5226" s="2"/>
      <c r="M5226" s="2"/>
    </row>
    <row r="5227" spans="1:13" x14ac:dyDescent="0.25">
      <c r="A5227" s="2"/>
      <c r="D5227" s="2"/>
      <c r="G5227" s="2"/>
      <c r="J5227" s="2"/>
      <c r="M5227" s="2"/>
    </row>
    <row r="5228" spans="1:13" x14ac:dyDescent="0.25">
      <c r="A5228" s="2"/>
      <c r="D5228" s="2"/>
      <c r="G5228" s="2"/>
      <c r="J5228" s="2"/>
      <c r="M5228" s="2"/>
    </row>
    <row r="5229" spans="1:13" x14ac:dyDescent="0.25">
      <c r="A5229" s="2"/>
      <c r="D5229" s="2"/>
      <c r="G5229" s="2"/>
      <c r="J5229" s="2"/>
      <c r="M5229" s="2"/>
    </row>
    <row r="5230" spans="1:13" x14ac:dyDescent="0.25">
      <c r="A5230" s="2"/>
      <c r="D5230" s="2"/>
      <c r="G5230" s="2"/>
      <c r="J5230" s="2"/>
      <c r="M5230" s="2"/>
    </row>
    <row r="5231" spans="1:13" x14ac:dyDescent="0.25">
      <c r="A5231" s="2"/>
      <c r="D5231" s="2"/>
      <c r="G5231" s="2"/>
      <c r="J5231" s="2"/>
      <c r="M5231" s="2"/>
    </row>
    <row r="5232" spans="1:13" x14ac:dyDescent="0.25">
      <c r="A5232" s="2"/>
      <c r="D5232" s="2"/>
      <c r="G5232" s="2"/>
      <c r="J5232" s="2"/>
      <c r="M5232" s="2"/>
    </row>
    <row r="5233" spans="1:13" x14ac:dyDescent="0.25">
      <c r="A5233" s="2"/>
      <c r="D5233" s="2"/>
      <c r="G5233" s="2"/>
      <c r="J5233" s="2"/>
      <c r="M5233" s="2"/>
    </row>
    <row r="5234" spans="1:13" x14ac:dyDescent="0.25">
      <c r="A5234" s="2"/>
      <c r="D5234" s="2"/>
      <c r="G5234" s="2"/>
      <c r="J5234" s="2"/>
      <c r="M5234" s="2"/>
    </row>
    <row r="5235" spans="1:13" x14ac:dyDescent="0.25">
      <c r="A5235" s="2"/>
      <c r="D5235" s="2"/>
      <c r="G5235" s="2"/>
      <c r="J5235" s="2"/>
      <c r="M5235" s="2"/>
    </row>
    <row r="5236" spans="1:13" x14ac:dyDescent="0.25">
      <c r="A5236" s="2"/>
      <c r="D5236" s="2"/>
      <c r="G5236" s="2"/>
      <c r="J5236" s="2"/>
      <c r="M5236" s="2"/>
    </row>
    <row r="5237" spans="1:13" x14ac:dyDescent="0.25">
      <c r="A5237" s="2"/>
      <c r="D5237" s="2"/>
      <c r="G5237" s="2"/>
      <c r="J5237" s="2"/>
      <c r="M5237" s="2"/>
    </row>
    <row r="5238" spans="1:13" x14ac:dyDescent="0.25">
      <c r="A5238" s="2"/>
      <c r="D5238" s="2"/>
      <c r="G5238" s="2"/>
      <c r="J5238" s="2"/>
      <c r="M5238" s="2"/>
    </row>
    <row r="5239" spans="1:13" x14ac:dyDescent="0.25">
      <c r="A5239" s="2"/>
      <c r="D5239" s="2"/>
      <c r="G5239" s="2"/>
      <c r="J5239" s="2"/>
      <c r="M5239" s="2"/>
    </row>
    <row r="5240" spans="1:13" x14ac:dyDescent="0.25">
      <c r="A5240" s="2"/>
      <c r="D5240" s="2"/>
      <c r="G5240" s="2"/>
      <c r="J5240" s="2"/>
      <c r="M5240" s="2"/>
    </row>
    <row r="5241" spans="1:13" x14ac:dyDescent="0.25">
      <c r="A5241" s="2"/>
      <c r="D5241" s="2"/>
      <c r="G5241" s="2"/>
      <c r="J5241" s="2"/>
      <c r="M5241" s="2"/>
    </row>
    <row r="5242" spans="1:13" x14ac:dyDescent="0.25">
      <c r="A5242" s="2"/>
      <c r="D5242" s="2"/>
      <c r="G5242" s="2"/>
      <c r="J5242" s="2"/>
      <c r="M5242" s="2"/>
    </row>
    <row r="5243" spans="1:13" x14ac:dyDescent="0.25">
      <c r="A5243" s="2"/>
      <c r="D5243" s="2"/>
      <c r="G5243" s="2"/>
      <c r="J5243" s="2"/>
      <c r="M5243" s="2"/>
    </row>
    <row r="5244" spans="1:13" x14ac:dyDescent="0.25">
      <c r="A5244" s="2"/>
      <c r="D5244" s="2"/>
      <c r="G5244" s="2"/>
      <c r="J5244" s="2"/>
      <c r="M5244" s="2"/>
    </row>
    <row r="5245" spans="1:13" x14ac:dyDescent="0.25">
      <c r="A5245" s="2"/>
      <c r="D5245" s="2"/>
      <c r="G5245" s="2"/>
      <c r="J5245" s="2"/>
      <c r="M5245" s="2"/>
    </row>
    <row r="5246" spans="1:13" x14ac:dyDescent="0.25">
      <c r="A5246" s="2"/>
      <c r="D5246" s="2"/>
      <c r="G5246" s="2"/>
      <c r="J5246" s="2"/>
      <c r="M5246" s="2"/>
    </row>
    <row r="5247" spans="1:13" x14ac:dyDescent="0.25">
      <c r="A5247" s="2"/>
      <c r="D5247" s="2"/>
      <c r="G5247" s="2"/>
      <c r="J5247" s="2"/>
      <c r="M5247" s="2"/>
    </row>
    <row r="5248" spans="1:13" x14ac:dyDescent="0.25">
      <c r="A5248" s="2"/>
      <c r="D5248" s="2"/>
      <c r="G5248" s="2"/>
      <c r="J5248" s="2"/>
      <c r="M5248" s="2"/>
    </row>
    <row r="5249" spans="1:13" x14ac:dyDescent="0.25">
      <c r="A5249" s="2"/>
      <c r="D5249" s="2"/>
      <c r="G5249" s="2"/>
      <c r="J5249" s="2"/>
      <c r="M5249" s="2"/>
    </row>
    <row r="5250" spans="1:13" x14ac:dyDescent="0.25">
      <c r="A5250" s="2"/>
      <c r="D5250" s="2"/>
      <c r="G5250" s="2"/>
      <c r="J5250" s="2"/>
      <c r="M5250" s="2"/>
    </row>
    <row r="5251" spans="1:13" x14ac:dyDescent="0.25">
      <c r="A5251" s="2"/>
      <c r="D5251" s="2"/>
      <c r="G5251" s="2"/>
      <c r="J5251" s="2"/>
      <c r="M5251" s="2"/>
    </row>
    <row r="5252" spans="1:13" x14ac:dyDescent="0.25">
      <c r="A5252" s="2"/>
      <c r="D5252" s="2"/>
      <c r="G5252" s="2"/>
      <c r="J5252" s="2"/>
      <c r="M5252" s="2"/>
    </row>
    <row r="5253" spans="1:13" x14ac:dyDescent="0.25">
      <c r="A5253" s="2"/>
      <c r="D5253" s="2"/>
      <c r="G5253" s="2"/>
      <c r="J5253" s="2"/>
      <c r="M5253" s="2"/>
    </row>
    <row r="5254" spans="1:13" x14ac:dyDescent="0.25">
      <c r="A5254" s="2"/>
      <c r="D5254" s="2"/>
      <c r="G5254" s="2"/>
      <c r="J5254" s="2"/>
      <c r="M5254" s="2"/>
    </row>
    <row r="5255" spans="1:13" x14ac:dyDescent="0.25">
      <c r="A5255" s="2"/>
      <c r="D5255" s="2"/>
      <c r="G5255" s="2"/>
      <c r="J5255" s="2"/>
      <c r="M5255" s="2"/>
    </row>
    <row r="5256" spans="1:13" x14ac:dyDescent="0.25">
      <c r="A5256" s="2"/>
      <c r="D5256" s="2"/>
      <c r="G5256" s="2"/>
      <c r="J5256" s="2"/>
      <c r="M5256" s="2"/>
    </row>
    <row r="5257" spans="1:13" x14ac:dyDescent="0.25">
      <c r="A5257" s="2"/>
      <c r="D5257" s="2"/>
      <c r="G5257" s="2"/>
      <c r="J5257" s="2"/>
      <c r="M5257" s="2"/>
    </row>
    <row r="5258" spans="1:13" x14ac:dyDescent="0.25">
      <c r="A5258" s="2"/>
      <c r="D5258" s="2"/>
      <c r="G5258" s="2"/>
      <c r="J5258" s="2"/>
      <c r="M5258" s="2"/>
    </row>
    <row r="5259" spans="1:13" x14ac:dyDescent="0.25">
      <c r="A5259" s="2"/>
      <c r="D5259" s="2"/>
      <c r="G5259" s="2"/>
      <c r="J5259" s="2"/>
      <c r="M5259" s="2"/>
    </row>
    <row r="5260" spans="1:13" x14ac:dyDescent="0.25">
      <c r="A5260" s="2"/>
      <c r="D5260" s="2"/>
      <c r="G5260" s="2"/>
      <c r="J5260" s="2"/>
      <c r="M5260" s="2"/>
    </row>
    <row r="5261" spans="1:13" x14ac:dyDescent="0.25">
      <c r="A5261" s="2"/>
      <c r="D5261" s="2"/>
      <c r="G5261" s="2"/>
      <c r="J5261" s="2"/>
      <c r="M5261" s="2"/>
    </row>
    <row r="5262" spans="1:13" x14ac:dyDescent="0.25">
      <c r="A5262" s="2"/>
      <c r="D5262" s="2"/>
      <c r="G5262" s="2"/>
      <c r="J5262" s="2"/>
      <c r="M5262" s="2"/>
    </row>
    <row r="5263" spans="1:13" x14ac:dyDescent="0.25">
      <c r="A5263" s="2"/>
      <c r="D5263" s="2"/>
      <c r="G5263" s="2"/>
      <c r="J5263" s="2"/>
      <c r="M5263" s="2"/>
    </row>
    <row r="5264" spans="1:13" x14ac:dyDescent="0.25">
      <c r="A5264" s="2"/>
      <c r="D5264" s="2"/>
      <c r="G5264" s="2"/>
      <c r="J5264" s="2"/>
      <c r="M5264" s="2"/>
    </row>
    <row r="5265" spans="1:13" x14ac:dyDescent="0.25">
      <c r="A5265" s="2"/>
      <c r="D5265" s="2"/>
      <c r="G5265" s="2"/>
      <c r="J5265" s="2"/>
      <c r="M5265" s="2"/>
    </row>
    <row r="5266" spans="1:13" x14ac:dyDescent="0.25">
      <c r="A5266" s="2"/>
      <c r="D5266" s="2"/>
      <c r="G5266" s="2"/>
      <c r="J5266" s="2"/>
      <c r="M5266" s="2"/>
    </row>
    <row r="5267" spans="1:13" x14ac:dyDescent="0.25">
      <c r="A5267" s="2"/>
      <c r="D5267" s="2"/>
      <c r="G5267" s="2"/>
      <c r="J5267" s="2"/>
      <c r="M5267" s="2"/>
    </row>
    <row r="5268" spans="1:13" x14ac:dyDescent="0.25">
      <c r="A5268" s="2"/>
      <c r="D5268" s="2"/>
      <c r="G5268" s="2"/>
      <c r="J5268" s="2"/>
      <c r="M5268" s="2"/>
    </row>
    <row r="5269" spans="1:13" x14ac:dyDescent="0.25">
      <c r="A5269" s="2"/>
      <c r="D5269" s="2"/>
      <c r="G5269" s="2"/>
      <c r="J5269" s="2"/>
      <c r="M5269" s="2"/>
    </row>
    <row r="5270" spans="1:13" x14ac:dyDescent="0.25">
      <c r="A5270" s="2"/>
      <c r="D5270" s="2"/>
      <c r="G5270" s="2"/>
      <c r="J5270" s="2"/>
      <c r="M5270" s="2"/>
    </row>
    <row r="5271" spans="1:13" x14ac:dyDescent="0.25">
      <c r="A5271" s="2"/>
      <c r="D5271" s="2"/>
      <c r="G5271" s="2"/>
      <c r="J5271" s="2"/>
      <c r="M5271" s="2"/>
    </row>
    <row r="5272" spans="1:13" x14ac:dyDescent="0.25">
      <c r="A5272" s="2"/>
      <c r="D5272" s="2"/>
      <c r="G5272" s="2"/>
      <c r="J5272" s="2"/>
      <c r="M5272" s="2"/>
    </row>
    <row r="5273" spans="1:13" x14ac:dyDescent="0.25">
      <c r="A5273" s="2"/>
      <c r="D5273" s="2"/>
      <c r="G5273" s="2"/>
      <c r="J5273" s="2"/>
      <c r="M5273" s="2"/>
    </row>
    <row r="5274" spans="1:13" x14ac:dyDescent="0.25">
      <c r="A5274" s="2"/>
      <c r="D5274" s="2"/>
      <c r="G5274" s="2"/>
      <c r="J5274" s="2"/>
      <c r="M5274" s="2"/>
    </row>
    <row r="5275" spans="1:13" x14ac:dyDescent="0.25">
      <c r="A5275" s="2"/>
      <c r="D5275" s="2"/>
      <c r="G5275" s="2"/>
      <c r="J5275" s="2"/>
      <c r="M5275" s="2"/>
    </row>
    <row r="5276" spans="1:13" x14ac:dyDescent="0.25">
      <c r="A5276" s="2"/>
      <c r="D5276" s="2"/>
      <c r="G5276" s="2"/>
      <c r="J5276" s="2"/>
      <c r="M5276" s="2"/>
    </row>
    <row r="5277" spans="1:13" x14ac:dyDescent="0.25">
      <c r="A5277" s="2"/>
      <c r="D5277" s="2"/>
      <c r="G5277" s="2"/>
      <c r="J5277" s="2"/>
      <c r="M5277" s="2"/>
    </row>
    <row r="5278" spans="1:13" x14ac:dyDescent="0.25">
      <c r="A5278" s="2"/>
      <c r="D5278" s="2"/>
      <c r="G5278" s="2"/>
      <c r="J5278" s="2"/>
      <c r="M5278" s="2"/>
    </row>
    <row r="5279" spans="1:13" x14ac:dyDescent="0.25">
      <c r="A5279" s="2"/>
      <c r="D5279" s="2"/>
      <c r="G5279" s="2"/>
      <c r="J5279" s="2"/>
      <c r="M5279" s="2"/>
    </row>
    <row r="5280" spans="1:13" x14ac:dyDescent="0.25">
      <c r="A5280" s="2"/>
      <c r="D5280" s="2"/>
      <c r="G5280" s="2"/>
      <c r="J5280" s="2"/>
      <c r="M5280" s="2"/>
    </row>
    <row r="5281" spans="1:13" x14ac:dyDescent="0.25">
      <c r="A5281" s="2"/>
      <c r="D5281" s="2"/>
      <c r="G5281" s="2"/>
      <c r="J5281" s="2"/>
      <c r="M5281" s="2"/>
    </row>
    <row r="5282" spans="1:13" x14ac:dyDescent="0.25">
      <c r="A5282" s="2"/>
      <c r="D5282" s="2"/>
      <c r="G5282" s="2"/>
      <c r="J5282" s="2"/>
      <c r="M5282" s="2"/>
    </row>
    <row r="5283" spans="1:13" x14ac:dyDescent="0.25">
      <c r="A5283" s="2"/>
      <c r="D5283" s="2"/>
      <c r="G5283" s="2"/>
      <c r="J5283" s="2"/>
      <c r="M5283" s="2"/>
    </row>
    <row r="5284" spans="1:13" x14ac:dyDescent="0.25">
      <c r="A5284" s="2"/>
      <c r="D5284" s="2"/>
      <c r="G5284" s="2"/>
      <c r="J5284" s="2"/>
      <c r="M5284" s="2"/>
    </row>
    <row r="5285" spans="1:13" x14ac:dyDescent="0.25">
      <c r="A5285" s="2"/>
      <c r="D5285" s="2"/>
      <c r="G5285" s="2"/>
      <c r="J5285" s="2"/>
      <c r="M5285" s="2"/>
    </row>
    <row r="5286" spans="1:13" x14ac:dyDescent="0.25">
      <c r="A5286" s="2"/>
      <c r="D5286" s="2"/>
      <c r="G5286" s="2"/>
      <c r="J5286" s="2"/>
      <c r="M5286" s="2"/>
    </row>
    <row r="5287" spans="1:13" x14ac:dyDescent="0.25">
      <c r="A5287" s="2"/>
      <c r="D5287" s="2"/>
      <c r="G5287" s="2"/>
      <c r="J5287" s="2"/>
      <c r="M5287" s="2"/>
    </row>
    <row r="5288" spans="1:13" x14ac:dyDescent="0.25">
      <c r="A5288" s="2"/>
      <c r="D5288" s="2"/>
      <c r="G5288" s="2"/>
      <c r="J5288" s="2"/>
      <c r="M5288" s="2"/>
    </row>
    <row r="5289" spans="1:13" x14ac:dyDescent="0.25">
      <c r="A5289" s="2"/>
      <c r="D5289" s="2"/>
      <c r="G5289" s="2"/>
      <c r="J5289" s="2"/>
      <c r="M5289" s="2"/>
    </row>
    <row r="5290" spans="1:13" x14ac:dyDescent="0.25">
      <c r="A5290" s="2"/>
      <c r="D5290" s="2"/>
      <c r="G5290" s="2"/>
      <c r="J5290" s="2"/>
      <c r="M5290" s="2"/>
    </row>
    <row r="5291" spans="1:13" x14ac:dyDescent="0.25">
      <c r="A5291" s="2"/>
      <c r="D5291" s="2"/>
      <c r="G5291" s="2"/>
      <c r="J5291" s="2"/>
      <c r="M5291" s="2"/>
    </row>
    <row r="5292" spans="1:13" x14ac:dyDescent="0.25">
      <c r="A5292" s="2"/>
      <c r="D5292" s="2"/>
      <c r="G5292" s="2"/>
      <c r="J5292" s="2"/>
      <c r="M5292" s="2"/>
    </row>
    <row r="5293" spans="1:13" x14ac:dyDescent="0.25">
      <c r="A5293" s="2"/>
      <c r="D5293" s="2"/>
      <c r="G5293" s="2"/>
      <c r="J5293" s="2"/>
      <c r="M5293" s="2"/>
    </row>
    <row r="5294" spans="1:13" x14ac:dyDescent="0.25">
      <c r="A5294" s="2"/>
      <c r="D5294" s="2"/>
      <c r="G5294" s="2"/>
      <c r="J5294" s="2"/>
      <c r="M5294" s="2"/>
    </row>
    <row r="5295" spans="1:13" x14ac:dyDescent="0.25">
      <c r="A5295" s="2"/>
      <c r="D5295" s="2"/>
      <c r="G5295" s="2"/>
      <c r="J5295" s="2"/>
      <c r="M5295" s="2"/>
    </row>
    <row r="5296" spans="1:13" x14ac:dyDescent="0.25">
      <c r="A5296" s="2"/>
      <c r="D5296" s="2"/>
      <c r="G5296" s="2"/>
      <c r="J5296" s="2"/>
      <c r="M5296" s="2"/>
    </row>
    <row r="5297" spans="1:13" x14ac:dyDescent="0.25">
      <c r="A5297" s="2"/>
      <c r="D5297" s="2"/>
      <c r="G5297" s="2"/>
      <c r="J5297" s="2"/>
      <c r="M5297" s="2"/>
    </row>
    <row r="5298" spans="1:13" x14ac:dyDescent="0.25">
      <c r="A5298" s="2"/>
      <c r="D5298" s="2"/>
      <c r="G5298" s="2"/>
      <c r="J5298" s="2"/>
      <c r="M5298" s="2"/>
    </row>
    <row r="5299" spans="1:13" x14ac:dyDescent="0.25">
      <c r="A5299" s="2"/>
      <c r="D5299" s="2"/>
      <c r="G5299" s="2"/>
      <c r="J5299" s="2"/>
      <c r="M5299" s="2"/>
    </row>
    <row r="5300" spans="1:13" x14ac:dyDescent="0.25">
      <c r="A5300" s="2"/>
      <c r="D5300" s="2"/>
      <c r="G5300" s="2"/>
      <c r="J5300" s="2"/>
      <c r="M5300" s="2"/>
    </row>
    <row r="5301" spans="1:13" x14ac:dyDescent="0.25">
      <c r="A5301" s="2"/>
      <c r="D5301" s="2"/>
      <c r="G5301" s="2"/>
      <c r="J5301" s="2"/>
      <c r="M5301" s="2"/>
    </row>
    <row r="5302" spans="1:13" x14ac:dyDescent="0.25">
      <c r="A5302" s="2"/>
      <c r="D5302" s="2"/>
      <c r="G5302" s="2"/>
      <c r="J5302" s="2"/>
      <c r="M5302" s="2"/>
    </row>
    <row r="5303" spans="1:13" x14ac:dyDescent="0.25">
      <c r="A5303" s="2"/>
      <c r="D5303" s="2"/>
      <c r="G5303" s="2"/>
      <c r="J5303" s="2"/>
      <c r="M5303" s="2"/>
    </row>
    <row r="5304" spans="1:13" x14ac:dyDescent="0.25">
      <c r="A5304" s="2"/>
      <c r="D5304" s="2"/>
      <c r="G5304" s="2"/>
      <c r="J5304" s="2"/>
      <c r="M5304" s="2"/>
    </row>
    <row r="5305" spans="1:13" x14ac:dyDescent="0.25">
      <c r="A5305" s="2"/>
      <c r="D5305" s="2"/>
      <c r="G5305" s="2"/>
      <c r="J5305" s="2"/>
      <c r="M5305" s="2"/>
    </row>
    <row r="5306" spans="1:13" x14ac:dyDescent="0.25">
      <c r="A5306" s="2"/>
      <c r="D5306" s="2"/>
      <c r="G5306" s="2"/>
      <c r="J5306" s="2"/>
      <c r="M5306" s="2"/>
    </row>
    <row r="5307" spans="1:13" x14ac:dyDescent="0.25">
      <c r="A5307" s="2"/>
      <c r="D5307" s="2"/>
      <c r="G5307" s="2"/>
      <c r="J5307" s="2"/>
      <c r="M5307" s="2"/>
    </row>
    <row r="5308" spans="1:13" x14ac:dyDescent="0.25">
      <c r="A5308" s="2"/>
      <c r="D5308" s="2"/>
      <c r="G5308" s="2"/>
      <c r="J5308" s="2"/>
      <c r="M5308" s="2"/>
    </row>
    <row r="5309" spans="1:13" x14ac:dyDescent="0.25">
      <c r="A5309" s="2"/>
      <c r="D5309" s="2"/>
      <c r="G5309" s="2"/>
      <c r="J5309" s="2"/>
      <c r="M5309" s="2"/>
    </row>
    <row r="5310" spans="1:13" x14ac:dyDescent="0.25">
      <c r="A5310" s="2"/>
      <c r="D5310" s="2"/>
      <c r="G5310" s="2"/>
      <c r="J5310" s="2"/>
      <c r="M5310" s="2"/>
    </row>
    <row r="5311" spans="1:13" x14ac:dyDescent="0.25">
      <c r="A5311" s="2"/>
      <c r="D5311" s="2"/>
      <c r="G5311" s="2"/>
      <c r="J5311" s="2"/>
      <c r="M5311" s="2"/>
    </row>
    <row r="5312" spans="1:13" x14ac:dyDescent="0.25">
      <c r="A5312" s="2"/>
      <c r="D5312" s="2"/>
      <c r="G5312" s="2"/>
      <c r="J5312" s="2"/>
      <c r="M5312" s="2"/>
    </row>
    <row r="5313" spans="1:13" x14ac:dyDescent="0.25">
      <c r="A5313" s="2"/>
      <c r="D5313" s="2"/>
      <c r="G5313" s="2"/>
      <c r="J5313" s="2"/>
      <c r="M5313" s="2"/>
    </row>
    <row r="5314" spans="1:13" x14ac:dyDescent="0.25">
      <c r="A5314" s="2"/>
      <c r="D5314" s="2"/>
      <c r="G5314" s="2"/>
      <c r="J5314" s="2"/>
      <c r="M5314" s="2"/>
    </row>
    <row r="5315" spans="1:13" x14ac:dyDescent="0.25">
      <c r="A5315" s="2"/>
      <c r="D5315" s="2"/>
      <c r="G5315" s="2"/>
      <c r="J5315" s="2"/>
      <c r="M5315" s="2"/>
    </row>
    <row r="5316" spans="1:13" x14ac:dyDescent="0.25">
      <c r="A5316" s="2"/>
      <c r="D5316" s="2"/>
      <c r="G5316" s="2"/>
      <c r="J5316" s="2"/>
      <c r="M5316" s="2"/>
    </row>
    <row r="5317" spans="1:13" x14ac:dyDescent="0.25">
      <c r="A5317" s="2"/>
      <c r="D5317" s="2"/>
      <c r="G5317" s="2"/>
      <c r="J5317" s="2"/>
      <c r="M5317" s="2"/>
    </row>
    <row r="5318" spans="1:13" x14ac:dyDescent="0.25">
      <c r="A5318" s="2"/>
      <c r="D5318" s="2"/>
      <c r="G5318" s="2"/>
      <c r="J5318" s="2"/>
      <c r="M5318" s="2"/>
    </row>
    <row r="5319" spans="1:13" x14ac:dyDescent="0.25">
      <c r="A5319" s="2"/>
      <c r="D5319" s="2"/>
      <c r="G5319" s="2"/>
      <c r="J5319" s="2"/>
      <c r="M5319" s="2"/>
    </row>
    <row r="5320" spans="1:13" x14ac:dyDescent="0.25">
      <c r="A5320" s="2"/>
      <c r="D5320" s="2"/>
      <c r="G5320" s="2"/>
      <c r="J5320" s="2"/>
      <c r="M5320" s="2"/>
    </row>
    <row r="5321" spans="1:13" x14ac:dyDescent="0.25">
      <c r="A5321" s="2"/>
      <c r="D5321" s="2"/>
      <c r="G5321" s="2"/>
      <c r="J5321" s="2"/>
      <c r="M5321" s="2"/>
    </row>
    <row r="5322" spans="1:13" x14ac:dyDescent="0.25">
      <c r="A5322" s="2"/>
      <c r="D5322" s="2"/>
      <c r="G5322" s="2"/>
      <c r="J5322" s="2"/>
      <c r="M5322" s="2"/>
    </row>
    <row r="5323" spans="1:13" x14ac:dyDescent="0.25">
      <c r="A5323" s="2"/>
      <c r="D5323" s="2"/>
      <c r="G5323" s="2"/>
      <c r="J5323" s="2"/>
      <c r="M5323" s="2"/>
    </row>
    <row r="5324" spans="1:13" x14ac:dyDescent="0.25">
      <c r="A5324" s="2"/>
      <c r="D5324" s="2"/>
      <c r="G5324" s="2"/>
      <c r="J5324" s="2"/>
      <c r="M5324" s="2"/>
    </row>
    <row r="5325" spans="1:13" x14ac:dyDescent="0.25">
      <c r="A5325" s="2"/>
      <c r="D5325" s="2"/>
      <c r="G5325" s="2"/>
      <c r="J5325" s="2"/>
      <c r="M5325" s="2"/>
    </row>
    <row r="5326" spans="1:13" x14ac:dyDescent="0.25">
      <c r="A5326" s="2"/>
      <c r="D5326" s="2"/>
      <c r="G5326" s="2"/>
      <c r="J5326" s="2"/>
      <c r="M5326" s="2"/>
    </row>
    <row r="5327" spans="1:13" x14ac:dyDescent="0.25">
      <c r="A5327" s="2"/>
      <c r="D5327" s="2"/>
      <c r="G5327" s="2"/>
      <c r="J5327" s="2"/>
      <c r="M5327" s="2"/>
    </row>
    <row r="5328" spans="1:13" x14ac:dyDescent="0.25">
      <c r="A5328" s="2"/>
      <c r="D5328" s="2"/>
      <c r="G5328" s="2"/>
      <c r="J5328" s="2"/>
      <c r="M5328" s="2"/>
    </row>
    <row r="5329" spans="1:13" x14ac:dyDescent="0.25">
      <c r="A5329" s="2"/>
      <c r="D5329" s="2"/>
      <c r="G5329" s="2"/>
      <c r="J5329" s="2"/>
      <c r="M5329" s="2"/>
    </row>
    <row r="5330" spans="1:13" x14ac:dyDescent="0.25">
      <c r="A5330" s="2"/>
      <c r="D5330" s="2"/>
      <c r="G5330" s="2"/>
      <c r="J5330" s="2"/>
      <c r="M5330" s="2"/>
    </row>
    <row r="5331" spans="1:13" x14ac:dyDescent="0.25">
      <c r="A5331" s="2"/>
      <c r="D5331" s="2"/>
      <c r="G5331" s="2"/>
      <c r="J5331" s="2"/>
      <c r="M5331" s="2"/>
    </row>
    <row r="5332" spans="1:13" x14ac:dyDescent="0.25">
      <c r="A5332" s="2"/>
      <c r="D5332" s="2"/>
      <c r="G5332" s="2"/>
      <c r="J5332" s="2"/>
      <c r="M5332" s="2"/>
    </row>
    <row r="5333" spans="1:13" x14ac:dyDescent="0.25">
      <c r="A5333" s="2"/>
      <c r="D5333" s="2"/>
      <c r="G5333" s="2"/>
      <c r="J5333" s="2"/>
      <c r="M5333" s="2"/>
    </row>
    <row r="5334" spans="1:13" x14ac:dyDescent="0.25">
      <c r="A5334" s="2"/>
      <c r="D5334" s="2"/>
      <c r="G5334" s="2"/>
      <c r="J5334" s="2"/>
      <c r="M5334" s="2"/>
    </row>
    <row r="5335" spans="1:13" x14ac:dyDescent="0.25">
      <c r="A5335" s="2"/>
      <c r="D5335" s="2"/>
      <c r="G5335" s="2"/>
      <c r="J5335" s="2"/>
      <c r="M5335" s="2"/>
    </row>
    <row r="5336" spans="1:13" x14ac:dyDescent="0.25">
      <c r="A5336" s="2"/>
      <c r="D5336" s="2"/>
      <c r="G5336" s="2"/>
      <c r="J5336" s="2"/>
      <c r="M5336" s="2"/>
    </row>
    <row r="5337" spans="1:13" x14ac:dyDescent="0.25">
      <c r="A5337" s="2"/>
      <c r="D5337" s="2"/>
      <c r="G5337" s="2"/>
      <c r="J5337" s="2"/>
      <c r="M5337" s="2"/>
    </row>
    <row r="5338" spans="1:13" x14ac:dyDescent="0.25">
      <c r="A5338" s="2"/>
      <c r="D5338" s="2"/>
      <c r="G5338" s="2"/>
      <c r="J5338" s="2"/>
      <c r="M5338" s="2"/>
    </row>
    <row r="5339" spans="1:13" x14ac:dyDescent="0.25">
      <c r="A5339" s="2"/>
      <c r="D5339" s="2"/>
      <c r="G5339" s="2"/>
      <c r="J5339" s="2"/>
      <c r="M5339" s="2"/>
    </row>
    <row r="5340" spans="1:13" x14ac:dyDescent="0.25">
      <c r="A5340" s="2"/>
      <c r="D5340" s="2"/>
      <c r="G5340" s="2"/>
      <c r="J5340" s="2"/>
      <c r="M5340" s="2"/>
    </row>
    <row r="5341" spans="1:13" x14ac:dyDescent="0.25">
      <c r="A5341" s="2"/>
      <c r="D5341" s="2"/>
      <c r="G5341" s="2"/>
      <c r="J5341" s="2"/>
      <c r="M5341" s="2"/>
    </row>
    <row r="5342" spans="1:13" x14ac:dyDescent="0.25">
      <c r="A5342" s="2"/>
      <c r="D5342" s="2"/>
      <c r="G5342" s="2"/>
      <c r="J5342" s="2"/>
      <c r="M5342" s="2"/>
    </row>
    <row r="5343" spans="1:13" x14ac:dyDescent="0.25">
      <c r="A5343" s="2"/>
      <c r="D5343" s="2"/>
      <c r="G5343" s="2"/>
      <c r="J5343" s="2"/>
      <c r="M5343" s="2"/>
    </row>
    <row r="5344" spans="1:13" x14ac:dyDescent="0.25">
      <c r="A5344" s="2"/>
      <c r="D5344" s="2"/>
      <c r="G5344" s="2"/>
      <c r="J5344" s="2"/>
      <c r="M5344" s="2"/>
    </row>
    <row r="5345" spans="1:13" x14ac:dyDescent="0.25">
      <c r="A5345" s="2"/>
      <c r="D5345" s="2"/>
      <c r="G5345" s="2"/>
      <c r="J5345" s="2"/>
      <c r="M5345" s="2"/>
    </row>
    <row r="5346" spans="1:13" x14ac:dyDescent="0.25">
      <c r="A5346" s="2"/>
      <c r="D5346" s="2"/>
      <c r="G5346" s="2"/>
      <c r="J5346" s="2"/>
      <c r="M5346" s="2"/>
    </row>
    <row r="5347" spans="1:13" x14ac:dyDescent="0.25">
      <c r="A5347" s="2"/>
      <c r="D5347" s="2"/>
      <c r="G5347" s="2"/>
      <c r="J5347" s="2"/>
      <c r="M5347" s="2"/>
    </row>
    <row r="5348" spans="1:13" x14ac:dyDescent="0.25">
      <c r="A5348" s="2"/>
      <c r="D5348" s="2"/>
      <c r="G5348" s="2"/>
      <c r="J5348" s="2"/>
      <c r="M5348" s="2"/>
    </row>
    <row r="5349" spans="1:13" x14ac:dyDescent="0.25">
      <c r="A5349" s="2"/>
      <c r="D5349" s="2"/>
      <c r="G5349" s="2"/>
      <c r="J5349" s="2"/>
      <c r="M5349" s="2"/>
    </row>
    <row r="5350" spans="1:13" x14ac:dyDescent="0.25">
      <c r="A5350" s="2"/>
      <c r="D5350" s="2"/>
      <c r="G5350" s="2"/>
      <c r="J5350" s="2"/>
      <c r="M5350" s="2"/>
    </row>
    <row r="5351" spans="1:13" x14ac:dyDescent="0.25">
      <c r="A5351" s="2"/>
      <c r="D5351" s="2"/>
      <c r="G5351" s="2"/>
      <c r="J5351" s="2"/>
      <c r="M5351" s="2"/>
    </row>
    <row r="5352" spans="1:13" x14ac:dyDescent="0.25">
      <c r="A5352" s="2"/>
      <c r="D5352" s="2"/>
      <c r="G5352" s="2"/>
      <c r="J5352" s="2"/>
      <c r="M5352" s="2"/>
    </row>
    <row r="5353" spans="1:13" x14ac:dyDescent="0.25">
      <c r="A5353" s="2"/>
      <c r="D5353" s="2"/>
      <c r="G5353" s="2"/>
      <c r="J5353" s="2"/>
      <c r="M5353" s="2"/>
    </row>
    <row r="5354" spans="1:13" x14ac:dyDescent="0.25">
      <c r="A5354" s="2"/>
      <c r="D5354" s="2"/>
      <c r="G5354" s="2"/>
      <c r="J5354" s="2"/>
      <c r="M5354" s="2"/>
    </row>
    <row r="5355" spans="1:13" x14ac:dyDescent="0.25">
      <c r="A5355" s="2"/>
      <c r="D5355" s="2"/>
      <c r="G5355" s="2"/>
      <c r="J5355" s="2"/>
      <c r="M5355" s="2"/>
    </row>
    <row r="5356" spans="1:13" x14ac:dyDescent="0.25">
      <c r="A5356" s="2"/>
      <c r="D5356" s="2"/>
      <c r="G5356" s="2"/>
      <c r="J5356" s="2"/>
      <c r="M5356" s="2"/>
    </row>
    <row r="5357" spans="1:13" x14ac:dyDescent="0.25">
      <c r="A5357" s="2"/>
      <c r="D5357" s="2"/>
      <c r="G5357" s="2"/>
      <c r="J5357" s="2"/>
      <c r="M5357" s="2"/>
    </row>
    <row r="5358" spans="1:13" x14ac:dyDescent="0.25">
      <c r="A5358" s="2"/>
      <c r="D5358" s="2"/>
      <c r="G5358" s="2"/>
      <c r="J5358" s="2"/>
      <c r="M5358" s="2"/>
    </row>
    <row r="5359" spans="1:13" x14ac:dyDescent="0.25">
      <c r="A5359" s="2"/>
      <c r="D5359" s="2"/>
      <c r="G5359" s="2"/>
      <c r="J5359" s="2"/>
      <c r="M5359" s="2"/>
    </row>
    <row r="5360" spans="1:13" x14ac:dyDescent="0.25">
      <c r="A5360" s="2"/>
      <c r="D5360" s="2"/>
      <c r="G5360" s="2"/>
      <c r="J5360" s="2"/>
      <c r="M5360" s="2"/>
    </row>
    <row r="5361" spans="1:13" x14ac:dyDescent="0.25">
      <c r="A5361" s="2"/>
      <c r="D5361" s="2"/>
      <c r="G5361" s="2"/>
      <c r="J5361" s="2"/>
      <c r="M5361" s="2"/>
    </row>
    <row r="5362" spans="1:13" x14ac:dyDescent="0.25">
      <c r="A5362" s="2"/>
      <c r="D5362" s="2"/>
      <c r="G5362" s="2"/>
      <c r="J5362" s="2"/>
      <c r="M5362" s="2"/>
    </row>
    <row r="5363" spans="1:13" x14ac:dyDescent="0.25">
      <c r="A5363" s="2"/>
      <c r="D5363" s="2"/>
      <c r="G5363" s="2"/>
      <c r="J5363" s="2"/>
      <c r="M5363" s="2"/>
    </row>
    <row r="5364" spans="1:13" x14ac:dyDescent="0.25">
      <c r="A5364" s="2"/>
      <c r="D5364" s="2"/>
      <c r="G5364" s="2"/>
      <c r="J5364" s="2"/>
      <c r="M5364" s="2"/>
    </row>
    <row r="5365" spans="1:13" x14ac:dyDescent="0.25">
      <c r="A5365" s="2"/>
      <c r="D5365" s="2"/>
      <c r="G5365" s="2"/>
      <c r="J5365" s="2"/>
      <c r="M5365" s="2"/>
    </row>
    <row r="5366" spans="1:13" x14ac:dyDescent="0.25">
      <c r="A5366" s="2"/>
      <c r="D5366" s="2"/>
      <c r="G5366" s="2"/>
      <c r="J5366" s="2"/>
      <c r="M5366" s="2"/>
    </row>
    <row r="5367" spans="1:13" x14ac:dyDescent="0.25">
      <c r="A5367" s="2"/>
      <c r="D5367" s="2"/>
      <c r="G5367" s="2"/>
      <c r="J5367" s="2"/>
      <c r="M5367" s="2"/>
    </row>
    <row r="5368" spans="1:13" x14ac:dyDescent="0.25">
      <c r="A5368" s="2"/>
      <c r="D5368" s="2"/>
      <c r="G5368" s="2"/>
      <c r="J5368" s="2"/>
      <c r="M5368" s="2"/>
    </row>
    <row r="5369" spans="1:13" x14ac:dyDescent="0.25">
      <c r="A5369" s="2"/>
      <c r="D5369" s="2"/>
      <c r="G5369" s="2"/>
      <c r="J5369" s="2"/>
      <c r="M5369" s="2"/>
    </row>
    <row r="5370" spans="1:13" x14ac:dyDescent="0.25">
      <c r="A5370" s="2"/>
      <c r="D5370" s="2"/>
      <c r="G5370" s="2"/>
      <c r="J5370" s="2"/>
      <c r="M5370" s="2"/>
    </row>
    <row r="5371" spans="1:13" x14ac:dyDescent="0.25">
      <c r="A5371" s="2"/>
      <c r="D5371" s="2"/>
      <c r="G5371" s="2"/>
      <c r="J5371" s="2"/>
      <c r="M5371" s="2"/>
    </row>
    <row r="5372" spans="1:13" x14ac:dyDescent="0.25">
      <c r="A5372" s="2"/>
      <c r="D5372" s="2"/>
      <c r="G5372" s="2"/>
      <c r="J5372" s="2"/>
      <c r="M5372" s="2"/>
    </row>
    <row r="5373" spans="1:13" x14ac:dyDescent="0.25">
      <c r="A5373" s="2"/>
      <c r="D5373" s="2"/>
      <c r="G5373" s="2"/>
      <c r="J5373" s="2"/>
      <c r="M5373" s="2"/>
    </row>
    <row r="5374" spans="1:13" x14ac:dyDescent="0.25">
      <c r="A5374" s="2"/>
      <c r="D5374" s="2"/>
      <c r="G5374" s="2"/>
      <c r="J5374" s="2"/>
      <c r="M5374" s="2"/>
    </row>
    <row r="5375" spans="1:13" x14ac:dyDescent="0.25">
      <c r="A5375" s="2"/>
      <c r="D5375" s="2"/>
      <c r="G5375" s="2"/>
      <c r="J5375" s="2"/>
      <c r="M5375" s="2"/>
    </row>
    <row r="5376" spans="1:13" x14ac:dyDescent="0.25">
      <c r="A5376" s="2"/>
      <c r="D5376" s="2"/>
      <c r="G5376" s="2"/>
      <c r="J5376" s="2"/>
      <c r="M5376" s="2"/>
    </row>
    <row r="5377" spans="1:13" x14ac:dyDescent="0.25">
      <c r="A5377" s="2"/>
      <c r="D5377" s="2"/>
      <c r="G5377" s="2"/>
      <c r="J5377" s="2"/>
      <c r="M5377" s="2"/>
    </row>
    <row r="5378" spans="1:13" x14ac:dyDescent="0.25">
      <c r="A5378" s="2"/>
      <c r="D5378" s="2"/>
      <c r="G5378" s="2"/>
      <c r="J5378" s="2"/>
      <c r="M5378" s="2"/>
    </row>
    <row r="5379" spans="1:13" x14ac:dyDescent="0.25">
      <c r="A5379" s="2"/>
      <c r="D5379" s="2"/>
      <c r="G5379" s="2"/>
      <c r="J5379" s="2"/>
      <c r="M5379" s="2"/>
    </row>
    <row r="5380" spans="1:13" x14ac:dyDescent="0.25">
      <c r="A5380" s="2"/>
      <c r="D5380" s="2"/>
      <c r="G5380" s="2"/>
      <c r="J5380" s="2"/>
      <c r="M5380" s="2"/>
    </row>
    <row r="5381" spans="1:13" x14ac:dyDescent="0.25">
      <c r="A5381" s="2"/>
      <c r="D5381" s="2"/>
      <c r="G5381" s="2"/>
      <c r="J5381" s="2"/>
      <c r="M5381" s="2"/>
    </row>
    <row r="5382" spans="1:13" x14ac:dyDescent="0.25">
      <c r="A5382" s="2"/>
      <c r="D5382" s="2"/>
      <c r="G5382" s="2"/>
      <c r="J5382" s="2"/>
      <c r="M5382" s="2"/>
    </row>
    <row r="5383" spans="1:13" x14ac:dyDescent="0.25">
      <c r="A5383" s="2"/>
      <c r="D5383" s="2"/>
      <c r="G5383" s="2"/>
      <c r="J5383" s="2"/>
      <c r="M5383" s="2"/>
    </row>
    <row r="5384" spans="1:13" x14ac:dyDescent="0.25">
      <c r="A5384" s="2"/>
      <c r="D5384" s="2"/>
      <c r="G5384" s="2"/>
      <c r="J5384" s="2"/>
      <c r="M5384" s="2"/>
    </row>
    <row r="5385" spans="1:13" x14ac:dyDescent="0.25">
      <c r="A5385" s="2"/>
      <c r="D5385" s="2"/>
      <c r="G5385" s="2"/>
      <c r="J5385" s="2"/>
      <c r="M5385" s="2"/>
    </row>
    <row r="5386" spans="1:13" x14ac:dyDescent="0.25">
      <c r="A5386" s="2"/>
      <c r="D5386" s="2"/>
      <c r="G5386" s="2"/>
      <c r="J5386" s="2"/>
      <c r="M5386" s="2"/>
    </row>
    <row r="5387" spans="1:13" x14ac:dyDescent="0.25">
      <c r="A5387" s="2"/>
      <c r="D5387" s="2"/>
      <c r="G5387" s="2"/>
      <c r="J5387" s="2"/>
      <c r="M5387" s="2"/>
    </row>
    <row r="5388" spans="1:13" x14ac:dyDescent="0.25">
      <c r="A5388" s="2"/>
      <c r="D5388" s="2"/>
      <c r="G5388" s="2"/>
      <c r="J5388" s="2"/>
      <c r="M5388" s="2"/>
    </row>
    <row r="5389" spans="1:13" x14ac:dyDescent="0.25">
      <c r="A5389" s="2"/>
      <c r="D5389" s="2"/>
      <c r="G5389" s="2"/>
      <c r="J5389" s="2"/>
      <c r="M5389" s="2"/>
    </row>
    <row r="5390" spans="1:13" x14ac:dyDescent="0.25">
      <c r="A5390" s="2"/>
      <c r="D5390" s="2"/>
      <c r="G5390" s="2"/>
      <c r="J5390" s="2"/>
      <c r="M5390" s="2"/>
    </row>
    <row r="5391" spans="1:13" x14ac:dyDescent="0.25">
      <c r="A5391" s="2"/>
      <c r="D5391" s="2"/>
      <c r="G5391" s="2"/>
      <c r="J5391" s="2"/>
      <c r="M5391" s="2"/>
    </row>
    <row r="5392" spans="1:13" x14ac:dyDescent="0.25">
      <c r="A5392" s="2"/>
      <c r="D5392" s="2"/>
      <c r="G5392" s="2"/>
      <c r="J5392" s="2"/>
      <c r="M5392" s="2"/>
    </row>
    <row r="5393" spans="1:13" x14ac:dyDescent="0.25">
      <c r="A5393" s="2"/>
      <c r="D5393" s="2"/>
      <c r="G5393" s="2"/>
      <c r="J5393" s="2"/>
      <c r="M5393" s="2"/>
    </row>
    <row r="5394" spans="1:13" x14ac:dyDescent="0.25">
      <c r="A5394" s="2"/>
      <c r="D5394" s="2"/>
      <c r="G5394" s="2"/>
      <c r="J5394" s="2"/>
      <c r="M5394" s="2"/>
    </row>
    <row r="5395" spans="1:13" x14ac:dyDescent="0.25">
      <c r="A5395" s="2"/>
      <c r="D5395" s="2"/>
      <c r="G5395" s="2"/>
      <c r="J5395" s="2"/>
      <c r="M5395" s="2"/>
    </row>
    <row r="5396" spans="1:13" x14ac:dyDescent="0.25">
      <c r="A5396" s="2"/>
      <c r="D5396" s="2"/>
      <c r="G5396" s="2"/>
      <c r="J5396" s="2"/>
      <c r="M5396" s="2"/>
    </row>
    <row r="5397" spans="1:13" x14ac:dyDescent="0.25">
      <c r="A5397" s="2"/>
      <c r="D5397" s="2"/>
      <c r="G5397" s="2"/>
      <c r="J5397" s="2"/>
      <c r="M5397" s="2"/>
    </row>
    <row r="5398" spans="1:13" x14ac:dyDescent="0.25">
      <c r="A5398" s="2"/>
      <c r="D5398" s="2"/>
      <c r="G5398" s="2"/>
      <c r="J5398" s="2"/>
      <c r="M5398" s="2"/>
    </row>
    <row r="5399" spans="1:13" x14ac:dyDescent="0.25">
      <c r="A5399" s="2"/>
      <c r="D5399" s="2"/>
      <c r="G5399" s="2"/>
      <c r="J5399" s="2"/>
      <c r="M5399" s="2"/>
    </row>
    <row r="5400" spans="1:13" x14ac:dyDescent="0.25">
      <c r="A5400" s="2"/>
      <c r="D5400" s="2"/>
      <c r="G5400" s="2"/>
      <c r="J5400" s="2"/>
      <c r="M5400" s="2"/>
    </row>
    <row r="5401" spans="1:13" x14ac:dyDescent="0.25">
      <c r="A5401" s="2"/>
      <c r="D5401" s="2"/>
      <c r="G5401" s="2"/>
      <c r="J5401" s="2"/>
      <c r="M5401" s="2"/>
    </row>
    <row r="5402" spans="1:13" x14ac:dyDescent="0.25">
      <c r="A5402" s="2"/>
      <c r="D5402" s="2"/>
      <c r="G5402" s="2"/>
      <c r="J5402" s="2"/>
      <c r="M5402" s="2"/>
    </row>
    <row r="5403" spans="1:13" x14ac:dyDescent="0.25">
      <c r="A5403" s="2"/>
      <c r="D5403" s="2"/>
      <c r="G5403" s="2"/>
      <c r="J5403" s="2"/>
      <c r="M5403" s="2"/>
    </row>
    <row r="5404" spans="1:13" x14ac:dyDescent="0.25">
      <c r="A5404" s="2"/>
      <c r="D5404" s="2"/>
      <c r="G5404" s="2"/>
      <c r="J5404" s="2"/>
      <c r="M5404" s="2"/>
    </row>
    <row r="5405" spans="1:13" x14ac:dyDescent="0.25">
      <c r="A5405" s="2"/>
      <c r="D5405" s="2"/>
      <c r="G5405" s="2"/>
      <c r="J5405" s="2"/>
      <c r="M5405" s="2"/>
    </row>
    <row r="5406" spans="1:13" x14ac:dyDescent="0.25">
      <c r="A5406" s="2"/>
      <c r="D5406" s="2"/>
      <c r="G5406" s="2"/>
      <c r="J5406" s="2"/>
      <c r="M5406" s="2"/>
    </row>
    <row r="5407" spans="1:13" x14ac:dyDescent="0.25">
      <c r="A5407" s="2"/>
      <c r="D5407" s="2"/>
      <c r="G5407" s="2"/>
      <c r="J5407" s="2"/>
      <c r="M5407" s="2"/>
    </row>
    <row r="5408" spans="1:13" x14ac:dyDescent="0.25">
      <c r="A5408" s="2"/>
      <c r="D5408" s="2"/>
      <c r="G5408" s="2"/>
      <c r="J5408" s="2"/>
      <c r="M5408" s="2"/>
    </row>
    <row r="5409" spans="1:13" x14ac:dyDescent="0.25">
      <c r="A5409" s="2"/>
      <c r="D5409" s="2"/>
      <c r="G5409" s="2"/>
      <c r="J5409" s="2"/>
      <c r="M5409" s="2"/>
    </row>
    <row r="5410" spans="1:13" x14ac:dyDescent="0.25">
      <c r="A5410" s="2"/>
      <c r="D5410" s="2"/>
      <c r="G5410" s="2"/>
      <c r="J5410" s="2"/>
      <c r="M5410" s="2"/>
    </row>
    <row r="5411" spans="1:13" x14ac:dyDescent="0.25">
      <c r="A5411" s="2"/>
      <c r="D5411" s="2"/>
      <c r="G5411" s="2"/>
      <c r="J5411" s="2"/>
      <c r="M5411" s="2"/>
    </row>
    <row r="5412" spans="1:13" x14ac:dyDescent="0.25">
      <c r="A5412" s="2"/>
      <c r="D5412" s="2"/>
      <c r="G5412" s="2"/>
      <c r="J5412" s="2"/>
      <c r="M5412" s="2"/>
    </row>
    <row r="5413" spans="1:13" x14ac:dyDescent="0.25">
      <c r="A5413" s="2"/>
      <c r="D5413" s="2"/>
      <c r="G5413" s="2"/>
      <c r="J5413" s="2"/>
      <c r="M5413" s="2"/>
    </row>
    <row r="5414" spans="1:13" x14ac:dyDescent="0.25">
      <c r="A5414" s="2"/>
      <c r="D5414" s="2"/>
      <c r="G5414" s="2"/>
      <c r="J5414" s="2"/>
      <c r="M5414" s="2"/>
    </row>
    <row r="5415" spans="1:13" x14ac:dyDescent="0.25">
      <c r="A5415" s="2"/>
      <c r="D5415" s="2"/>
      <c r="G5415" s="2"/>
      <c r="J5415" s="2"/>
      <c r="M5415" s="2"/>
    </row>
    <row r="5416" spans="1:13" x14ac:dyDescent="0.25">
      <c r="A5416" s="2"/>
      <c r="D5416" s="2"/>
      <c r="G5416" s="2"/>
      <c r="J5416" s="2"/>
      <c r="M5416" s="2"/>
    </row>
    <row r="5417" spans="1:13" x14ac:dyDescent="0.25">
      <c r="A5417" s="2"/>
      <c r="D5417" s="2"/>
      <c r="G5417" s="2"/>
      <c r="J5417" s="2"/>
      <c r="M5417" s="2"/>
    </row>
    <row r="5418" spans="1:13" x14ac:dyDescent="0.25">
      <c r="A5418" s="2"/>
      <c r="D5418" s="2"/>
      <c r="G5418" s="2"/>
      <c r="J5418" s="2"/>
      <c r="M5418" s="2"/>
    </row>
    <row r="5419" spans="1:13" x14ac:dyDescent="0.25">
      <c r="A5419" s="2"/>
      <c r="D5419" s="2"/>
      <c r="G5419" s="2"/>
      <c r="J5419" s="2"/>
      <c r="M5419" s="2"/>
    </row>
    <row r="5420" spans="1:13" x14ac:dyDescent="0.25">
      <c r="A5420" s="2"/>
      <c r="D5420" s="2"/>
      <c r="G5420" s="2"/>
      <c r="J5420" s="2"/>
      <c r="M5420" s="2"/>
    </row>
    <row r="5421" spans="1:13" x14ac:dyDescent="0.25">
      <c r="A5421" s="2"/>
      <c r="D5421" s="2"/>
      <c r="G5421" s="2"/>
      <c r="J5421" s="2"/>
      <c r="M5421" s="2"/>
    </row>
    <row r="5422" spans="1:13" x14ac:dyDescent="0.25">
      <c r="A5422" s="2"/>
      <c r="D5422" s="2"/>
      <c r="G5422" s="2"/>
      <c r="J5422" s="2"/>
      <c r="M5422" s="2"/>
    </row>
    <row r="5423" spans="1:13" x14ac:dyDescent="0.25">
      <c r="A5423" s="2"/>
      <c r="D5423" s="2"/>
      <c r="G5423" s="2"/>
      <c r="J5423" s="2"/>
      <c r="M5423" s="2"/>
    </row>
    <row r="5424" spans="1:13" x14ac:dyDescent="0.25">
      <c r="A5424" s="2"/>
      <c r="D5424" s="2"/>
      <c r="G5424" s="2"/>
      <c r="J5424" s="2"/>
      <c r="M5424" s="2"/>
    </row>
    <row r="5425" spans="1:13" x14ac:dyDescent="0.25">
      <c r="A5425" s="2"/>
      <c r="D5425" s="2"/>
      <c r="G5425" s="2"/>
      <c r="J5425" s="2"/>
      <c r="M5425" s="2"/>
    </row>
    <row r="5426" spans="1:13" x14ac:dyDescent="0.25">
      <c r="A5426" s="2"/>
      <c r="D5426" s="2"/>
      <c r="G5426" s="2"/>
      <c r="J5426" s="2"/>
      <c r="M5426" s="2"/>
    </row>
    <row r="5427" spans="1:13" x14ac:dyDescent="0.25">
      <c r="A5427" s="2"/>
      <c r="D5427" s="2"/>
      <c r="G5427" s="2"/>
      <c r="J5427" s="2"/>
      <c r="M5427" s="2"/>
    </row>
    <row r="5428" spans="1:13" x14ac:dyDescent="0.25">
      <c r="A5428" s="2"/>
      <c r="D5428" s="2"/>
      <c r="G5428" s="2"/>
      <c r="J5428" s="2"/>
      <c r="M5428" s="2"/>
    </row>
    <row r="5429" spans="1:13" x14ac:dyDescent="0.25">
      <c r="A5429" s="2"/>
      <c r="D5429" s="2"/>
      <c r="G5429" s="2"/>
      <c r="J5429" s="2"/>
      <c r="M5429" s="2"/>
    </row>
    <row r="5430" spans="1:13" x14ac:dyDescent="0.25">
      <c r="A5430" s="2"/>
      <c r="D5430" s="2"/>
      <c r="G5430" s="2"/>
      <c r="J5430" s="2"/>
      <c r="M5430" s="2"/>
    </row>
    <row r="5431" spans="1:13" x14ac:dyDescent="0.25">
      <c r="A5431" s="2"/>
      <c r="D5431" s="2"/>
      <c r="G5431" s="2"/>
      <c r="J5431" s="2"/>
      <c r="M5431" s="2"/>
    </row>
    <row r="5432" spans="1:13" x14ac:dyDescent="0.25">
      <c r="A5432" s="2"/>
      <c r="D5432" s="2"/>
      <c r="G5432" s="2"/>
      <c r="J5432" s="2"/>
      <c r="M5432" s="2"/>
    </row>
    <row r="5433" spans="1:13" x14ac:dyDescent="0.25">
      <c r="A5433" s="2"/>
      <c r="D5433" s="2"/>
      <c r="G5433" s="2"/>
      <c r="J5433" s="2"/>
      <c r="M5433" s="2"/>
    </row>
    <row r="5434" spans="1:13" x14ac:dyDescent="0.25">
      <c r="A5434" s="2"/>
      <c r="D5434" s="2"/>
      <c r="G5434" s="2"/>
      <c r="J5434" s="2"/>
      <c r="M5434" s="2"/>
    </row>
    <row r="5435" spans="1:13" x14ac:dyDescent="0.25">
      <c r="A5435" s="2"/>
      <c r="D5435" s="2"/>
      <c r="G5435" s="2"/>
      <c r="J5435" s="2"/>
      <c r="M5435" s="2"/>
    </row>
    <row r="5436" spans="1:13" x14ac:dyDescent="0.25">
      <c r="A5436" s="2"/>
      <c r="D5436" s="2"/>
      <c r="G5436" s="2"/>
      <c r="J5436" s="2"/>
      <c r="M5436" s="2"/>
    </row>
    <row r="5437" spans="1:13" x14ac:dyDescent="0.25">
      <c r="A5437" s="2"/>
      <c r="D5437" s="2"/>
      <c r="G5437" s="2"/>
      <c r="J5437" s="2"/>
      <c r="M5437" s="2"/>
    </row>
    <row r="5438" spans="1:13" x14ac:dyDescent="0.25">
      <c r="A5438" s="2"/>
      <c r="D5438" s="2"/>
      <c r="G5438" s="2"/>
      <c r="J5438" s="2"/>
      <c r="M5438" s="2"/>
    </row>
    <row r="5439" spans="1:13" x14ac:dyDescent="0.25">
      <c r="A5439" s="2"/>
      <c r="D5439" s="2"/>
      <c r="G5439" s="2"/>
      <c r="J5439" s="2"/>
      <c r="M5439" s="2"/>
    </row>
    <row r="5440" spans="1:13" x14ac:dyDescent="0.25">
      <c r="A5440" s="2"/>
      <c r="D5440" s="2"/>
      <c r="G5440" s="2"/>
      <c r="J5440" s="2"/>
      <c r="M5440" s="2"/>
    </row>
    <row r="5441" spans="1:13" x14ac:dyDescent="0.25">
      <c r="A5441" s="2"/>
      <c r="D5441" s="2"/>
      <c r="G5441" s="2"/>
      <c r="J5441" s="2"/>
      <c r="M5441" s="2"/>
    </row>
    <row r="5442" spans="1:13" x14ac:dyDescent="0.25">
      <c r="A5442" s="2"/>
      <c r="D5442" s="2"/>
      <c r="G5442" s="2"/>
      <c r="J5442" s="2"/>
      <c r="M5442" s="2"/>
    </row>
    <row r="5443" spans="1:13" x14ac:dyDescent="0.25">
      <c r="A5443" s="2"/>
      <c r="D5443" s="2"/>
      <c r="G5443" s="2"/>
      <c r="J5443" s="2"/>
      <c r="M5443" s="2"/>
    </row>
    <row r="5444" spans="1:13" x14ac:dyDescent="0.25">
      <c r="A5444" s="2"/>
      <c r="D5444" s="2"/>
      <c r="G5444" s="2"/>
      <c r="J5444" s="2"/>
      <c r="M5444" s="2"/>
    </row>
    <row r="5445" spans="1:13" x14ac:dyDescent="0.25">
      <c r="A5445" s="2"/>
      <c r="D5445" s="2"/>
      <c r="G5445" s="2"/>
      <c r="J5445" s="2"/>
      <c r="M5445" s="2"/>
    </row>
    <row r="5446" spans="1:13" x14ac:dyDescent="0.25">
      <c r="A5446" s="2"/>
      <c r="D5446" s="2"/>
      <c r="G5446" s="2"/>
      <c r="J5446" s="2"/>
      <c r="M5446" s="2"/>
    </row>
    <row r="5447" spans="1:13" x14ac:dyDescent="0.25">
      <c r="A5447" s="2"/>
      <c r="D5447" s="2"/>
      <c r="G5447" s="2"/>
      <c r="J5447" s="2"/>
      <c r="M5447" s="2"/>
    </row>
    <row r="5448" spans="1:13" x14ac:dyDescent="0.25">
      <c r="A5448" s="2"/>
      <c r="D5448" s="2"/>
      <c r="G5448" s="2"/>
      <c r="J5448" s="2"/>
      <c r="M5448" s="2"/>
    </row>
    <row r="5449" spans="1:13" x14ac:dyDescent="0.25">
      <c r="A5449" s="2"/>
      <c r="D5449" s="2"/>
      <c r="G5449" s="2"/>
      <c r="J5449" s="2"/>
      <c r="M5449" s="2"/>
    </row>
    <row r="5450" spans="1:13" x14ac:dyDescent="0.25">
      <c r="A5450" s="2"/>
      <c r="D5450" s="2"/>
      <c r="G5450" s="2"/>
      <c r="J5450" s="2"/>
      <c r="M5450" s="2"/>
    </row>
    <row r="5451" spans="1:13" x14ac:dyDescent="0.25">
      <c r="A5451" s="2"/>
      <c r="D5451" s="2"/>
      <c r="G5451" s="2"/>
      <c r="J5451" s="2"/>
      <c r="M5451" s="2"/>
    </row>
    <row r="5452" spans="1:13" x14ac:dyDescent="0.25">
      <c r="A5452" s="2"/>
      <c r="D5452" s="2"/>
      <c r="G5452" s="2"/>
      <c r="J5452" s="2"/>
      <c r="M5452" s="2"/>
    </row>
    <row r="5453" spans="1:13" x14ac:dyDescent="0.25">
      <c r="A5453" s="2"/>
      <c r="D5453" s="2"/>
      <c r="G5453" s="2"/>
      <c r="J5453" s="2"/>
      <c r="M5453" s="2"/>
    </row>
    <row r="5454" spans="1:13" x14ac:dyDescent="0.25">
      <c r="A5454" s="2"/>
      <c r="D5454" s="2"/>
      <c r="G5454" s="2"/>
      <c r="J5454" s="2"/>
      <c r="M5454" s="2"/>
    </row>
    <row r="5455" spans="1:13" x14ac:dyDescent="0.25">
      <c r="A5455" s="2"/>
      <c r="D5455" s="2"/>
      <c r="G5455" s="2"/>
      <c r="J5455" s="2"/>
      <c r="M5455" s="2"/>
    </row>
    <row r="5456" spans="1:13" x14ac:dyDescent="0.25">
      <c r="A5456" s="2"/>
      <c r="D5456" s="2"/>
      <c r="G5456" s="2"/>
      <c r="J5456" s="2"/>
      <c r="M5456" s="2"/>
    </row>
    <row r="5457" spans="1:13" x14ac:dyDescent="0.25">
      <c r="A5457" s="2"/>
      <c r="D5457" s="2"/>
      <c r="G5457" s="2"/>
      <c r="J5457" s="2"/>
      <c r="M5457" s="2"/>
    </row>
    <row r="5458" spans="1:13" x14ac:dyDescent="0.25">
      <c r="A5458" s="2"/>
      <c r="D5458" s="2"/>
      <c r="G5458" s="2"/>
      <c r="J5458" s="2"/>
      <c r="M5458" s="2"/>
    </row>
    <row r="5459" spans="1:13" x14ac:dyDescent="0.25">
      <c r="A5459" s="2"/>
      <c r="D5459" s="2"/>
      <c r="G5459" s="2"/>
      <c r="J5459" s="2"/>
      <c r="M5459" s="2"/>
    </row>
    <row r="5460" spans="1:13" x14ac:dyDescent="0.25">
      <c r="A5460" s="2"/>
      <c r="D5460" s="2"/>
      <c r="G5460" s="2"/>
      <c r="J5460" s="2"/>
      <c r="M5460" s="2"/>
    </row>
    <row r="5461" spans="1:13" x14ac:dyDescent="0.25">
      <c r="A5461" s="2"/>
      <c r="D5461" s="2"/>
      <c r="G5461" s="2"/>
      <c r="J5461" s="2"/>
      <c r="M5461" s="2"/>
    </row>
    <row r="5462" spans="1:13" x14ac:dyDescent="0.25">
      <c r="A5462" s="2"/>
      <c r="D5462" s="2"/>
      <c r="G5462" s="2"/>
      <c r="J5462" s="2"/>
      <c r="M5462" s="2"/>
    </row>
    <row r="5463" spans="1:13" x14ac:dyDescent="0.25">
      <c r="A5463" s="2"/>
      <c r="D5463" s="2"/>
      <c r="G5463" s="2"/>
      <c r="J5463" s="2"/>
      <c r="M5463" s="2"/>
    </row>
    <row r="5464" spans="1:13" x14ac:dyDescent="0.25">
      <c r="A5464" s="2"/>
      <c r="D5464" s="2"/>
      <c r="G5464" s="2"/>
      <c r="J5464" s="2"/>
      <c r="M5464" s="2"/>
    </row>
    <row r="5465" spans="1:13" x14ac:dyDescent="0.25">
      <c r="A5465" s="2"/>
      <c r="D5465" s="2"/>
      <c r="G5465" s="2"/>
      <c r="J5465" s="2"/>
      <c r="M5465" s="2"/>
    </row>
    <row r="5466" spans="1:13" x14ac:dyDescent="0.25">
      <c r="A5466" s="2"/>
      <c r="D5466" s="2"/>
      <c r="G5466" s="2"/>
      <c r="J5466" s="2"/>
      <c r="M5466" s="2"/>
    </row>
    <row r="5467" spans="1:13" x14ac:dyDescent="0.25">
      <c r="A5467" s="2"/>
      <c r="D5467" s="2"/>
      <c r="G5467" s="2"/>
      <c r="J5467" s="2"/>
      <c r="M5467" s="2"/>
    </row>
    <row r="5468" spans="1:13" x14ac:dyDescent="0.25">
      <c r="A5468" s="2"/>
      <c r="D5468" s="2"/>
      <c r="G5468" s="2"/>
      <c r="J5468" s="2"/>
      <c r="M5468" s="2"/>
    </row>
    <row r="5469" spans="1:13" x14ac:dyDescent="0.25">
      <c r="A5469" s="2"/>
      <c r="D5469" s="2"/>
      <c r="G5469" s="2"/>
      <c r="J5469" s="2"/>
      <c r="M5469" s="2"/>
    </row>
    <row r="5470" spans="1:13" x14ac:dyDescent="0.25">
      <c r="A5470" s="2"/>
      <c r="D5470" s="2"/>
      <c r="G5470" s="2"/>
      <c r="J5470" s="2"/>
      <c r="M5470" s="2"/>
    </row>
    <row r="5471" spans="1:13" x14ac:dyDescent="0.25">
      <c r="A5471" s="2"/>
      <c r="D5471" s="2"/>
      <c r="G5471" s="2"/>
      <c r="J5471" s="2"/>
      <c r="M5471" s="2"/>
    </row>
    <row r="5472" spans="1:13" x14ac:dyDescent="0.25">
      <c r="A5472" s="2"/>
      <c r="D5472" s="2"/>
      <c r="G5472" s="2"/>
      <c r="J5472" s="2"/>
      <c r="M5472" s="2"/>
    </row>
    <row r="5473" spans="1:13" x14ac:dyDescent="0.25">
      <c r="A5473" s="2"/>
      <c r="D5473" s="2"/>
      <c r="G5473" s="2"/>
      <c r="J5473" s="2"/>
      <c r="M5473" s="2"/>
    </row>
    <row r="5474" spans="1:13" x14ac:dyDescent="0.25">
      <c r="A5474" s="2"/>
      <c r="D5474" s="2"/>
      <c r="G5474" s="2"/>
      <c r="J5474" s="2"/>
      <c r="M5474" s="2"/>
    </row>
    <row r="5475" spans="1:13" x14ac:dyDescent="0.25">
      <c r="A5475" s="2"/>
      <c r="D5475" s="2"/>
      <c r="G5475" s="2"/>
      <c r="J5475" s="2"/>
      <c r="M5475" s="2"/>
    </row>
    <row r="5476" spans="1:13" x14ac:dyDescent="0.25">
      <c r="A5476" s="2"/>
      <c r="D5476" s="2"/>
      <c r="G5476" s="2"/>
      <c r="J5476" s="2"/>
      <c r="M5476" s="2"/>
    </row>
    <row r="5477" spans="1:13" x14ac:dyDescent="0.25">
      <c r="A5477" s="2"/>
      <c r="D5477" s="2"/>
      <c r="G5477" s="2"/>
      <c r="J5477" s="2"/>
      <c r="M5477" s="2"/>
    </row>
    <row r="5478" spans="1:13" x14ac:dyDescent="0.25">
      <c r="A5478" s="2"/>
      <c r="D5478" s="2"/>
      <c r="G5478" s="2"/>
      <c r="J5478" s="2"/>
      <c r="M5478" s="2"/>
    </row>
    <row r="5479" spans="1:13" x14ac:dyDescent="0.25">
      <c r="A5479" s="2"/>
      <c r="D5479" s="2"/>
      <c r="G5479" s="2"/>
      <c r="J5479" s="2"/>
      <c r="M5479" s="2"/>
    </row>
    <row r="5480" spans="1:13" x14ac:dyDescent="0.25">
      <c r="A5480" s="2"/>
      <c r="D5480" s="2"/>
      <c r="G5480" s="2"/>
      <c r="J5480" s="2"/>
      <c r="M5480" s="2"/>
    </row>
    <row r="5481" spans="1:13" x14ac:dyDescent="0.25">
      <c r="A5481" s="2"/>
      <c r="D5481" s="2"/>
      <c r="G5481" s="2"/>
      <c r="J5481" s="2"/>
      <c r="M5481" s="2"/>
    </row>
    <row r="5482" spans="1:13" x14ac:dyDescent="0.25">
      <c r="A5482" s="2"/>
      <c r="D5482" s="2"/>
      <c r="G5482" s="2"/>
      <c r="J5482" s="2"/>
      <c r="M5482" s="2"/>
    </row>
    <row r="5483" spans="1:13" x14ac:dyDescent="0.25">
      <c r="A5483" s="2"/>
      <c r="D5483" s="2"/>
      <c r="G5483" s="2"/>
      <c r="J5483" s="2"/>
      <c r="M5483" s="2"/>
    </row>
    <row r="5484" spans="1:13" x14ac:dyDescent="0.25">
      <c r="A5484" s="2"/>
      <c r="D5484" s="2"/>
      <c r="G5484" s="2"/>
      <c r="J5484" s="2"/>
      <c r="M5484" s="2"/>
    </row>
    <row r="5485" spans="1:13" x14ac:dyDescent="0.25">
      <c r="A5485" s="2"/>
      <c r="D5485" s="2"/>
      <c r="G5485" s="2"/>
      <c r="J5485" s="2"/>
      <c r="M5485" s="2"/>
    </row>
    <row r="5486" spans="1:13" x14ac:dyDescent="0.25">
      <c r="A5486" s="2"/>
      <c r="D5486" s="2"/>
      <c r="G5486" s="2"/>
      <c r="J5486" s="2"/>
      <c r="M5486" s="2"/>
    </row>
    <row r="5487" spans="1:13" x14ac:dyDescent="0.25">
      <c r="A5487" s="2"/>
      <c r="D5487" s="2"/>
      <c r="G5487" s="2"/>
      <c r="J5487" s="2"/>
      <c r="M5487" s="2"/>
    </row>
    <row r="5488" spans="1:13" x14ac:dyDescent="0.25">
      <c r="A5488" s="2"/>
      <c r="D5488" s="2"/>
      <c r="G5488" s="2"/>
      <c r="J5488" s="2"/>
      <c r="M5488" s="2"/>
    </row>
    <row r="5489" spans="1:13" x14ac:dyDescent="0.25">
      <c r="A5489" s="2"/>
      <c r="D5489" s="2"/>
      <c r="G5489" s="2"/>
      <c r="J5489" s="2"/>
      <c r="M5489" s="2"/>
    </row>
    <row r="5490" spans="1:13" x14ac:dyDescent="0.25">
      <c r="A5490" s="2"/>
      <c r="D5490" s="2"/>
      <c r="G5490" s="2"/>
      <c r="J5490" s="2"/>
      <c r="M5490" s="2"/>
    </row>
    <row r="5491" spans="1:13" x14ac:dyDescent="0.25">
      <c r="A5491" s="2"/>
      <c r="D5491" s="2"/>
      <c r="G5491" s="2"/>
      <c r="J5491" s="2"/>
      <c r="M5491" s="2"/>
    </row>
    <row r="5492" spans="1:13" x14ac:dyDescent="0.25">
      <c r="A5492" s="2"/>
      <c r="D5492" s="2"/>
      <c r="G5492" s="2"/>
      <c r="J5492" s="2"/>
      <c r="M5492" s="2"/>
    </row>
    <row r="5493" spans="1:13" x14ac:dyDescent="0.25">
      <c r="A5493" s="2"/>
      <c r="D5493" s="2"/>
      <c r="G5493" s="2"/>
      <c r="J5493" s="2"/>
      <c r="M5493" s="2"/>
    </row>
    <row r="5494" spans="1:13" x14ac:dyDescent="0.25">
      <c r="A5494" s="2"/>
      <c r="D5494" s="2"/>
      <c r="G5494" s="2"/>
      <c r="J5494" s="2"/>
      <c r="M5494" s="2"/>
    </row>
    <row r="5495" spans="1:13" x14ac:dyDescent="0.25">
      <c r="A5495" s="2"/>
      <c r="D5495" s="2"/>
      <c r="G5495" s="2"/>
      <c r="J5495" s="2"/>
      <c r="M5495" s="2"/>
    </row>
    <row r="5496" spans="1:13" x14ac:dyDescent="0.25">
      <c r="A5496" s="2"/>
      <c r="D5496" s="2"/>
      <c r="G5496" s="2"/>
      <c r="J5496" s="2"/>
      <c r="M5496" s="2"/>
    </row>
    <row r="5497" spans="1:13" x14ac:dyDescent="0.25">
      <c r="A5497" s="2"/>
      <c r="D5497" s="2"/>
      <c r="G5497" s="2"/>
      <c r="J5497" s="2"/>
      <c r="M5497" s="2"/>
    </row>
    <row r="5498" spans="1:13" x14ac:dyDescent="0.25">
      <c r="A5498" s="2"/>
      <c r="D5498" s="2"/>
      <c r="G5498" s="2"/>
      <c r="J5498" s="2"/>
      <c r="M5498" s="2"/>
    </row>
    <row r="5499" spans="1:13" x14ac:dyDescent="0.25">
      <c r="A5499" s="2"/>
      <c r="D5499" s="2"/>
      <c r="G5499" s="2"/>
      <c r="J5499" s="2"/>
      <c r="M5499" s="2"/>
    </row>
    <row r="5500" spans="1:13" x14ac:dyDescent="0.25">
      <c r="A5500" s="2"/>
      <c r="D5500" s="2"/>
      <c r="G5500" s="2"/>
      <c r="J5500" s="2"/>
      <c r="M5500" s="2"/>
    </row>
    <row r="5501" spans="1:13" x14ac:dyDescent="0.25">
      <c r="A5501" s="2"/>
      <c r="D5501" s="2"/>
      <c r="G5501" s="2"/>
      <c r="J5501" s="2"/>
      <c r="M5501" s="2"/>
    </row>
    <row r="5502" spans="1:13" x14ac:dyDescent="0.25">
      <c r="A5502" s="2"/>
      <c r="D5502" s="2"/>
      <c r="G5502" s="2"/>
      <c r="J5502" s="2"/>
      <c r="M5502" s="2"/>
    </row>
    <row r="5503" spans="1:13" x14ac:dyDescent="0.25">
      <c r="A5503" s="2"/>
      <c r="D5503" s="2"/>
      <c r="G5503" s="2"/>
      <c r="J5503" s="2"/>
      <c r="M5503" s="2"/>
    </row>
    <row r="5504" spans="1:13" x14ac:dyDescent="0.25">
      <c r="A5504" s="2"/>
      <c r="D5504" s="2"/>
      <c r="G5504" s="2"/>
      <c r="J5504" s="2"/>
      <c r="M5504" s="2"/>
    </row>
    <row r="5505" spans="1:13" x14ac:dyDescent="0.25">
      <c r="A5505" s="2"/>
      <c r="D5505" s="2"/>
      <c r="G5505" s="2"/>
      <c r="J5505" s="2"/>
      <c r="M5505" s="2"/>
    </row>
    <row r="5506" spans="1:13" x14ac:dyDescent="0.25">
      <c r="A5506" s="2"/>
      <c r="D5506" s="2"/>
      <c r="G5506" s="2"/>
      <c r="J5506" s="2"/>
      <c r="M5506" s="2"/>
    </row>
    <row r="5507" spans="1:13" x14ac:dyDescent="0.25">
      <c r="A5507" s="2"/>
      <c r="D5507" s="2"/>
      <c r="G5507" s="2"/>
      <c r="J5507" s="2"/>
      <c r="M5507" s="2"/>
    </row>
    <row r="5508" spans="1:13" x14ac:dyDescent="0.25">
      <c r="A5508" s="2"/>
      <c r="D5508" s="2"/>
      <c r="G5508" s="2"/>
      <c r="J5508" s="2"/>
      <c r="M5508" s="2"/>
    </row>
    <row r="5509" spans="1:13" x14ac:dyDescent="0.25">
      <c r="A5509" s="2"/>
      <c r="D5509" s="2"/>
      <c r="G5509" s="2"/>
      <c r="J5509" s="2"/>
      <c r="M5509" s="2"/>
    </row>
    <row r="5510" spans="1:13" x14ac:dyDescent="0.25">
      <c r="A5510" s="2"/>
      <c r="D5510" s="2"/>
      <c r="G5510" s="2"/>
      <c r="J5510" s="2"/>
      <c r="M5510" s="2"/>
    </row>
    <row r="5511" spans="1:13" x14ac:dyDescent="0.25">
      <c r="A5511" s="2"/>
      <c r="D5511" s="2"/>
      <c r="G5511" s="2"/>
      <c r="J5511" s="2"/>
      <c r="M5511" s="2"/>
    </row>
    <row r="5512" spans="1:13" x14ac:dyDescent="0.25">
      <c r="A5512" s="2"/>
      <c r="D5512" s="2"/>
      <c r="G5512" s="2"/>
      <c r="J5512" s="2"/>
      <c r="M5512" s="2"/>
    </row>
    <row r="5513" spans="1:13" x14ac:dyDescent="0.25">
      <c r="A5513" s="2"/>
      <c r="D5513" s="2"/>
      <c r="G5513" s="2"/>
      <c r="J5513" s="2"/>
      <c r="M5513" s="2"/>
    </row>
    <row r="5514" spans="1:13" x14ac:dyDescent="0.25">
      <c r="A5514" s="2"/>
      <c r="D5514" s="2"/>
      <c r="G5514" s="2"/>
      <c r="J5514" s="2"/>
      <c r="M5514" s="2"/>
    </row>
    <row r="5515" spans="1:13" x14ac:dyDescent="0.25">
      <c r="A5515" s="2"/>
      <c r="D5515" s="2"/>
      <c r="G5515" s="2"/>
      <c r="J5515" s="2"/>
      <c r="M5515" s="2"/>
    </row>
    <row r="5516" spans="1:13" x14ac:dyDescent="0.25">
      <c r="A5516" s="2"/>
      <c r="D5516" s="2"/>
      <c r="G5516" s="2"/>
      <c r="J5516" s="2"/>
      <c r="M5516" s="2"/>
    </row>
    <row r="5517" spans="1:13" x14ac:dyDescent="0.25">
      <c r="A5517" s="2"/>
      <c r="D5517" s="2"/>
      <c r="G5517" s="2"/>
      <c r="J5517" s="2"/>
      <c r="M5517" s="2"/>
    </row>
    <row r="5518" spans="1:13" x14ac:dyDescent="0.25">
      <c r="A5518" s="2"/>
      <c r="D5518" s="2"/>
      <c r="G5518" s="2"/>
      <c r="J5518" s="2"/>
      <c r="M5518" s="2"/>
    </row>
    <row r="5519" spans="1:13" x14ac:dyDescent="0.25">
      <c r="A5519" s="2"/>
      <c r="D5519" s="2"/>
      <c r="G5519" s="2"/>
      <c r="J5519" s="2"/>
      <c r="M5519" s="2"/>
    </row>
    <row r="5520" spans="1:13" x14ac:dyDescent="0.25">
      <c r="A5520" s="2"/>
      <c r="D5520" s="2"/>
      <c r="G5520" s="2"/>
      <c r="J5520" s="2"/>
      <c r="M5520" s="2"/>
    </row>
    <row r="5521" spans="1:13" x14ac:dyDescent="0.25">
      <c r="A5521" s="2"/>
      <c r="D5521" s="2"/>
      <c r="G5521" s="2"/>
      <c r="J5521" s="2"/>
      <c r="M5521" s="2"/>
    </row>
    <row r="5522" spans="1:13" x14ac:dyDescent="0.25">
      <c r="A5522" s="2"/>
      <c r="D5522" s="2"/>
      <c r="G5522" s="2"/>
      <c r="J5522" s="2"/>
      <c r="M5522" s="2"/>
    </row>
    <row r="5523" spans="1:13" x14ac:dyDescent="0.25">
      <c r="A5523" s="2"/>
      <c r="D5523" s="2"/>
      <c r="G5523" s="2"/>
      <c r="J5523" s="2"/>
      <c r="M5523" s="2"/>
    </row>
    <row r="5524" spans="1:13" x14ac:dyDescent="0.25">
      <c r="A5524" s="2"/>
      <c r="D5524" s="2"/>
      <c r="G5524" s="2"/>
      <c r="J5524" s="2"/>
      <c r="M5524" s="2"/>
    </row>
    <row r="5525" spans="1:13" x14ac:dyDescent="0.25">
      <c r="A5525" s="2"/>
      <c r="D5525" s="2"/>
      <c r="G5525" s="2"/>
      <c r="J5525" s="2"/>
      <c r="M5525" s="2"/>
    </row>
    <row r="5526" spans="1:13" x14ac:dyDescent="0.25">
      <c r="A5526" s="2"/>
      <c r="D5526" s="2"/>
      <c r="G5526" s="2"/>
      <c r="J5526" s="2"/>
      <c r="M5526" s="2"/>
    </row>
    <row r="5527" spans="1:13" x14ac:dyDescent="0.25">
      <c r="A5527" s="2"/>
      <c r="D5527" s="2"/>
      <c r="G5527" s="2"/>
      <c r="J5527" s="2"/>
      <c r="M5527" s="2"/>
    </row>
    <row r="5528" spans="1:13" x14ac:dyDescent="0.25">
      <c r="A5528" s="2"/>
      <c r="D5528" s="2"/>
      <c r="G5528" s="2"/>
      <c r="J5528" s="2"/>
      <c r="M5528" s="2"/>
    </row>
    <row r="5529" spans="1:13" x14ac:dyDescent="0.25">
      <c r="A5529" s="2"/>
      <c r="D5529" s="2"/>
      <c r="G5529" s="2"/>
      <c r="J5529" s="2"/>
      <c r="M5529" s="2"/>
    </row>
    <row r="5530" spans="1:13" x14ac:dyDescent="0.25">
      <c r="A5530" s="2"/>
      <c r="D5530" s="2"/>
      <c r="G5530" s="2"/>
      <c r="J5530" s="2"/>
      <c r="M5530" s="2"/>
    </row>
    <row r="5531" spans="1:13" x14ac:dyDescent="0.25">
      <c r="A5531" s="2"/>
      <c r="D5531" s="2"/>
      <c r="G5531" s="2"/>
      <c r="J5531" s="2"/>
      <c r="M5531" s="2"/>
    </row>
    <row r="5532" spans="1:13" x14ac:dyDescent="0.25">
      <c r="A5532" s="2"/>
      <c r="D5532" s="2"/>
      <c r="G5532" s="2"/>
      <c r="J5532" s="2"/>
      <c r="M5532" s="2"/>
    </row>
    <row r="5533" spans="1:13" x14ac:dyDescent="0.25">
      <c r="A5533" s="2"/>
      <c r="D5533" s="2"/>
      <c r="G5533" s="2"/>
      <c r="J5533" s="2"/>
      <c r="M5533" s="2"/>
    </row>
    <row r="5534" spans="1:13" x14ac:dyDescent="0.25">
      <c r="A5534" s="2"/>
      <c r="D5534" s="2"/>
      <c r="G5534" s="2"/>
      <c r="J5534" s="2"/>
      <c r="M5534" s="2"/>
    </row>
    <row r="5535" spans="1:13" x14ac:dyDescent="0.25">
      <c r="A5535" s="2"/>
      <c r="D5535" s="2"/>
      <c r="G5535" s="2"/>
      <c r="J5535" s="2"/>
      <c r="M5535" s="2"/>
    </row>
    <row r="5536" spans="1:13" x14ac:dyDescent="0.25">
      <c r="A5536" s="2"/>
      <c r="D5536" s="2"/>
      <c r="G5536" s="2"/>
      <c r="J5536" s="2"/>
      <c r="M5536" s="2"/>
    </row>
    <row r="5537" spans="1:13" x14ac:dyDescent="0.25">
      <c r="A5537" s="2"/>
      <c r="D5537" s="2"/>
      <c r="G5537" s="2"/>
      <c r="J5537" s="2"/>
      <c r="M5537" s="2"/>
    </row>
    <row r="5538" spans="1:13" x14ac:dyDescent="0.25">
      <c r="A5538" s="2"/>
      <c r="D5538" s="2"/>
      <c r="G5538" s="2"/>
      <c r="J5538" s="2"/>
      <c r="M5538" s="2"/>
    </row>
    <row r="5539" spans="1:13" x14ac:dyDescent="0.25">
      <c r="A5539" s="2"/>
      <c r="D5539" s="2"/>
      <c r="G5539" s="2"/>
      <c r="J5539" s="2"/>
      <c r="M5539" s="2"/>
    </row>
    <row r="5540" spans="1:13" x14ac:dyDescent="0.25">
      <c r="A5540" s="2"/>
      <c r="D5540" s="2"/>
      <c r="G5540" s="2"/>
      <c r="J5540" s="2"/>
      <c r="M5540" s="2"/>
    </row>
    <row r="5541" spans="1:13" x14ac:dyDescent="0.25">
      <c r="A5541" s="2"/>
      <c r="D5541" s="2"/>
      <c r="G5541" s="2"/>
      <c r="J5541" s="2"/>
      <c r="M5541" s="2"/>
    </row>
    <row r="5542" spans="1:13" x14ac:dyDescent="0.25">
      <c r="A5542" s="2"/>
      <c r="D5542" s="2"/>
      <c r="G5542" s="2"/>
      <c r="J5542" s="2"/>
      <c r="M5542" s="2"/>
    </row>
    <row r="5543" spans="1:13" x14ac:dyDescent="0.25">
      <c r="A5543" s="2"/>
      <c r="D5543" s="2"/>
      <c r="G5543" s="2"/>
      <c r="J5543" s="2"/>
      <c r="M5543" s="2"/>
    </row>
    <row r="5544" spans="1:13" x14ac:dyDescent="0.25">
      <c r="A5544" s="2"/>
      <c r="D5544" s="2"/>
      <c r="G5544" s="2"/>
      <c r="J5544" s="2"/>
      <c r="M5544" s="2"/>
    </row>
    <row r="5545" spans="1:13" x14ac:dyDescent="0.25">
      <c r="A5545" s="2"/>
      <c r="D5545" s="2"/>
      <c r="G5545" s="2"/>
      <c r="J5545" s="2"/>
      <c r="M5545" s="2"/>
    </row>
    <row r="5546" spans="1:13" x14ac:dyDescent="0.25">
      <c r="A5546" s="2"/>
      <c r="D5546" s="2"/>
      <c r="G5546" s="2"/>
      <c r="J5546" s="2"/>
      <c r="M5546" s="2"/>
    </row>
    <row r="5547" spans="1:13" x14ac:dyDescent="0.25">
      <c r="A5547" s="2"/>
      <c r="D5547" s="2"/>
      <c r="G5547" s="2"/>
      <c r="J5547" s="2"/>
      <c r="M5547" s="2"/>
    </row>
    <row r="5548" spans="1:13" x14ac:dyDescent="0.25">
      <c r="A5548" s="2"/>
      <c r="D5548" s="2"/>
      <c r="G5548" s="2"/>
      <c r="J5548" s="2"/>
      <c r="M5548" s="2"/>
    </row>
    <row r="5549" spans="1:13" x14ac:dyDescent="0.25">
      <c r="A5549" s="2"/>
      <c r="D5549" s="2"/>
      <c r="G5549" s="2"/>
      <c r="J5549" s="2"/>
      <c r="M5549" s="2"/>
    </row>
    <row r="5550" spans="1:13" x14ac:dyDescent="0.25">
      <c r="A5550" s="2"/>
      <c r="D5550" s="2"/>
      <c r="G5550" s="2"/>
      <c r="J5550" s="2"/>
      <c r="M5550" s="2"/>
    </row>
    <row r="5551" spans="1:13" x14ac:dyDescent="0.25">
      <c r="A5551" s="2"/>
      <c r="D5551" s="2"/>
      <c r="G5551" s="2"/>
      <c r="J5551" s="2"/>
      <c r="M5551" s="2"/>
    </row>
    <row r="5552" spans="1:13" x14ac:dyDescent="0.25">
      <c r="A5552" s="2"/>
      <c r="D5552" s="2"/>
      <c r="G5552" s="2"/>
      <c r="J5552" s="2"/>
      <c r="M5552" s="2"/>
    </row>
    <row r="5553" spans="1:13" x14ac:dyDescent="0.25">
      <c r="A5553" s="2"/>
      <c r="D5553" s="2"/>
      <c r="G5553" s="2"/>
      <c r="J5553" s="2"/>
      <c r="M5553" s="2"/>
    </row>
    <row r="5554" spans="1:13" x14ac:dyDescent="0.25">
      <c r="A5554" s="2"/>
      <c r="D5554" s="2"/>
      <c r="G5554" s="2"/>
      <c r="J5554" s="2"/>
      <c r="M5554" s="2"/>
    </row>
    <row r="5555" spans="1:13" x14ac:dyDescent="0.25">
      <c r="A5555" s="2"/>
      <c r="D5555" s="2"/>
      <c r="G5555" s="2"/>
      <c r="J5555" s="2"/>
      <c r="M5555" s="2"/>
    </row>
    <row r="5556" spans="1:13" x14ac:dyDescent="0.25">
      <c r="A5556" s="2"/>
      <c r="D5556" s="2"/>
      <c r="G5556" s="2"/>
      <c r="J5556" s="2"/>
      <c r="M5556" s="2"/>
    </row>
    <row r="5557" spans="1:13" x14ac:dyDescent="0.25">
      <c r="A5557" s="2"/>
      <c r="D5557" s="2"/>
      <c r="G5557" s="2"/>
      <c r="J5557" s="2"/>
      <c r="M5557" s="2"/>
    </row>
    <row r="5558" spans="1:13" x14ac:dyDescent="0.25">
      <c r="A5558" s="2"/>
      <c r="D5558" s="2"/>
      <c r="G5558" s="2"/>
      <c r="J5558" s="2"/>
      <c r="M5558" s="2"/>
    </row>
    <row r="5559" spans="1:13" x14ac:dyDescent="0.25">
      <c r="A5559" s="2"/>
      <c r="D5559" s="2"/>
      <c r="G5559" s="2"/>
      <c r="J5559" s="2"/>
      <c r="M5559" s="2"/>
    </row>
    <row r="5560" spans="1:13" x14ac:dyDescent="0.25">
      <c r="A5560" s="2"/>
      <c r="D5560" s="2"/>
      <c r="G5560" s="2"/>
      <c r="J5560" s="2"/>
      <c r="M5560" s="2"/>
    </row>
    <row r="5561" spans="1:13" x14ac:dyDescent="0.25">
      <c r="A5561" s="2"/>
      <c r="D5561" s="2"/>
      <c r="G5561" s="2"/>
      <c r="J5561" s="2"/>
      <c r="M5561" s="2"/>
    </row>
    <row r="5562" spans="1:13" x14ac:dyDescent="0.25">
      <c r="A5562" s="2"/>
      <c r="D5562" s="2"/>
      <c r="G5562" s="2"/>
      <c r="J5562" s="2"/>
      <c r="M5562" s="2"/>
    </row>
    <row r="5563" spans="1:13" x14ac:dyDescent="0.25">
      <c r="A5563" s="2"/>
      <c r="D5563" s="2"/>
      <c r="G5563" s="2"/>
      <c r="J5563" s="2"/>
      <c r="M5563" s="2"/>
    </row>
    <row r="5564" spans="1:13" x14ac:dyDescent="0.25">
      <c r="A5564" s="2"/>
      <c r="D5564" s="2"/>
      <c r="G5564" s="2"/>
      <c r="J5564" s="2"/>
      <c r="M5564" s="2"/>
    </row>
    <row r="5565" spans="1:13" x14ac:dyDescent="0.25">
      <c r="A5565" s="2"/>
      <c r="D5565" s="2"/>
      <c r="G5565" s="2"/>
      <c r="J5565" s="2"/>
      <c r="M5565" s="2"/>
    </row>
    <row r="5566" spans="1:13" x14ac:dyDescent="0.25">
      <c r="A5566" s="2"/>
      <c r="D5566" s="2"/>
      <c r="G5566" s="2"/>
      <c r="J5566" s="2"/>
      <c r="M5566" s="2"/>
    </row>
    <row r="5567" spans="1:13" x14ac:dyDescent="0.25">
      <c r="A5567" s="2"/>
      <c r="D5567" s="2"/>
      <c r="G5567" s="2"/>
      <c r="J5567" s="2"/>
      <c r="M5567" s="2"/>
    </row>
    <row r="5568" spans="1:13" x14ac:dyDescent="0.25">
      <c r="A5568" s="2"/>
      <c r="D5568" s="2"/>
      <c r="G5568" s="2"/>
      <c r="J5568" s="2"/>
      <c r="M5568" s="2"/>
    </row>
    <row r="5569" spans="1:13" x14ac:dyDescent="0.25">
      <c r="A5569" s="2"/>
      <c r="D5569" s="2"/>
      <c r="G5569" s="2"/>
      <c r="J5569" s="2"/>
      <c r="M5569" s="2"/>
    </row>
    <row r="5570" spans="1:13" x14ac:dyDescent="0.25">
      <c r="A5570" s="2"/>
      <c r="D5570" s="2"/>
      <c r="G5570" s="2"/>
      <c r="J5570" s="2"/>
      <c r="M5570" s="2"/>
    </row>
    <row r="5571" spans="1:13" x14ac:dyDescent="0.25">
      <c r="A5571" s="2"/>
      <c r="D5571" s="2"/>
      <c r="G5571" s="2"/>
      <c r="J5571" s="2"/>
      <c r="M5571" s="2"/>
    </row>
    <row r="5572" spans="1:13" x14ac:dyDescent="0.25">
      <c r="A5572" s="2"/>
      <c r="D5572" s="2"/>
      <c r="G5572" s="2"/>
      <c r="J5572" s="2"/>
      <c r="M5572" s="2"/>
    </row>
    <row r="5573" spans="1:13" x14ac:dyDescent="0.25">
      <c r="A5573" s="2"/>
      <c r="D5573" s="2"/>
      <c r="G5573" s="2"/>
      <c r="J5573" s="2"/>
      <c r="M5573" s="2"/>
    </row>
    <row r="5574" spans="1:13" x14ac:dyDescent="0.25">
      <c r="A5574" s="2"/>
      <c r="D5574" s="2"/>
      <c r="G5574" s="2"/>
      <c r="J5574" s="2"/>
      <c r="M5574" s="2"/>
    </row>
    <row r="5575" spans="1:13" x14ac:dyDescent="0.25">
      <c r="A5575" s="2"/>
      <c r="D5575" s="2"/>
      <c r="G5575" s="2"/>
      <c r="J5575" s="2"/>
      <c r="M5575" s="2"/>
    </row>
    <row r="5576" spans="1:13" x14ac:dyDescent="0.25">
      <c r="A5576" s="2"/>
      <c r="D5576" s="2"/>
      <c r="G5576" s="2"/>
      <c r="J5576" s="2"/>
      <c r="M5576" s="2"/>
    </row>
    <row r="5577" spans="1:13" x14ac:dyDescent="0.25">
      <c r="A5577" s="2"/>
      <c r="D5577" s="2"/>
      <c r="G5577" s="2"/>
      <c r="J5577" s="2"/>
      <c r="M5577" s="2"/>
    </row>
    <row r="5578" spans="1:13" x14ac:dyDescent="0.25">
      <c r="A5578" s="2"/>
      <c r="D5578" s="2"/>
      <c r="G5578" s="2"/>
      <c r="J5578" s="2"/>
      <c r="M5578" s="2"/>
    </row>
    <row r="5579" spans="1:13" x14ac:dyDescent="0.25">
      <c r="A5579" s="2"/>
      <c r="D5579" s="2"/>
      <c r="G5579" s="2"/>
      <c r="J5579" s="2"/>
      <c r="M5579" s="2"/>
    </row>
    <row r="5580" spans="1:13" x14ac:dyDescent="0.25">
      <c r="A5580" s="2"/>
      <c r="D5580" s="2"/>
      <c r="G5580" s="2"/>
      <c r="J5580" s="2"/>
      <c r="M5580" s="2"/>
    </row>
    <row r="5581" spans="1:13" x14ac:dyDescent="0.25">
      <c r="A5581" s="2"/>
      <c r="D5581" s="2"/>
      <c r="G5581" s="2"/>
      <c r="J5581" s="2"/>
      <c r="M5581" s="2"/>
    </row>
    <row r="5582" spans="1:13" x14ac:dyDescent="0.25">
      <c r="A5582" s="2"/>
      <c r="D5582" s="2"/>
      <c r="G5582" s="2"/>
      <c r="J5582" s="2"/>
      <c r="M5582" s="2"/>
    </row>
    <row r="5583" spans="1:13" x14ac:dyDescent="0.25">
      <c r="A5583" s="2"/>
      <c r="D5583" s="2"/>
      <c r="G5583" s="2"/>
      <c r="J5583" s="2"/>
      <c r="M5583" s="2"/>
    </row>
    <row r="5584" spans="1:13" x14ac:dyDescent="0.25">
      <c r="A5584" s="2"/>
      <c r="D5584" s="2"/>
      <c r="G5584" s="2"/>
      <c r="J5584" s="2"/>
      <c r="M5584" s="2"/>
    </row>
    <row r="5585" spans="1:13" x14ac:dyDescent="0.25">
      <c r="A5585" s="2"/>
      <c r="D5585" s="2"/>
      <c r="G5585" s="2"/>
      <c r="J5585" s="2"/>
      <c r="M5585" s="2"/>
    </row>
    <row r="5586" spans="1:13" x14ac:dyDescent="0.25">
      <c r="A5586" s="2"/>
      <c r="D5586" s="2"/>
      <c r="G5586" s="2"/>
      <c r="J5586" s="2"/>
      <c r="M5586" s="2"/>
    </row>
    <row r="5587" spans="1:13" x14ac:dyDescent="0.25">
      <c r="A5587" s="2"/>
      <c r="D5587" s="2"/>
      <c r="G5587" s="2"/>
      <c r="J5587" s="2"/>
      <c r="M5587" s="2"/>
    </row>
    <row r="5588" spans="1:13" x14ac:dyDescent="0.25">
      <c r="A5588" s="2"/>
      <c r="D5588" s="2"/>
      <c r="G5588" s="2"/>
      <c r="J5588" s="2"/>
      <c r="M5588" s="2"/>
    </row>
    <row r="5589" spans="1:13" x14ac:dyDescent="0.25">
      <c r="A5589" s="2"/>
      <c r="D5589" s="2"/>
      <c r="G5589" s="2"/>
      <c r="J5589" s="2"/>
      <c r="M5589" s="2"/>
    </row>
    <row r="5590" spans="1:13" x14ac:dyDescent="0.25">
      <c r="A5590" s="2"/>
      <c r="D5590" s="2"/>
      <c r="G5590" s="2"/>
      <c r="J5590" s="2"/>
      <c r="M5590" s="2"/>
    </row>
    <row r="5591" spans="1:13" x14ac:dyDescent="0.25">
      <c r="A5591" s="2"/>
      <c r="D5591" s="2"/>
      <c r="G5591" s="2"/>
      <c r="J5591" s="2"/>
      <c r="M5591" s="2"/>
    </row>
    <row r="5592" spans="1:13" x14ac:dyDescent="0.25">
      <c r="A5592" s="2"/>
      <c r="D5592" s="2"/>
      <c r="G5592" s="2"/>
      <c r="J5592" s="2"/>
      <c r="M5592" s="2"/>
    </row>
    <row r="5593" spans="1:13" x14ac:dyDescent="0.25">
      <c r="A5593" s="2"/>
      <c r="D5593" s="2"/>
      <c r="G5593" s="2"/>
      <c r="J5593" s="2"/>
      <c r="M5593" s="2"/>
    </row>
    <row r="5594" spans="1:13" x14ac:dyDescent="0.25">
      <c r="A5594" s="2"/>
      <c r="D5594" s="2"/>
      <c r="G5594" s="2"/>
      <c r="J5594" s="2"/>
      <c r="M5594" s="2"/>
    </row>
    <row r="5595" spans="1:13" x14ac:dyDescent="0.25">
      <c r="A5595" s="2"/>
      <c r="D5595" s="2"/>
      <c r="G5595" s="2"/>
      <c r="J5595" s="2"/>
      <c r="M5595" s="2"/>
    </row>
    <row r="5596" spans="1:13" x14ac:dyDescent="0.25">
      <c r="A5596" s="2"/>
      <c r="D5596" s="2"/>
      <c r="G5596" s="2"/>
      <c r="J5596" s="2"/>
      <c r="M5596" s="2"/>
    </row>
    <row r="5597" spans="1:13" x14ac:dyDescent="0.25">
      <c r="A5597" s="2"/>
      <c r="D5597" s="2"/>
      <c r="G5597" s="2"/>
      <c r="J5597" s="2"/>
      <c r="M5597" s="2"/>
    </row>
    <row r="5598" spans="1:13" x14ac:dyDescent="0.25">
      <c r="A5598" s="2"/>
      <c r="D5598" s="2"/>
      <c r="G5598" s="2"/>
      <c r="J5598" s="2"/>
      <c r="M5598" s="2"/>
    </row>
    <row r="5599" spans="1:13" x14ac:dyDescent="0.25">
      <c r="A5599" s="2"/>
      <c r="D5599" s="2"/>
      <c r="G5599" s="2"/>
      <c r="J5599" s="2"/>
      <c r="M5599" s="2"/>
    </row>
    <row r="5600" spans="1:13" x14ac:dyDescent="0.25">
      <c r="A5600" s="2"/>
      <c r="D5600" s="2"/>
      <c r="G5600" s="2"/>
      <c r="J5600" s="2"/>
      <c r="M5600" s="2"/>
    </row>
    <row r="5601" spans="1:13" x14ac:dyDescent="0.25">
      <c r="A5601" s="2"/>
      <c r="D5601" s="2"/>
      <c r="G5601" s="2"/>
      <c r="J5601" s="2"/>
      <c r="M5601" s="2"/>
    </row>
    <row r="5602" spans="1:13" x14ac:dyDescent="0.25">
      <c r="A5602" s="2"/>
      <c r="D5602" s="2"/>
      <c r="G5602" s="2"/>
      <c r="J5602" s="2"/>
      <c r="M5602" s="2"/>
    </row>
    <row r="5603" spans="1:13" x14ac:dyDescent="0.25">
      <c r="A5603" s="2"/>
      <c r="D5603" s="2"/>
      <c r="G5603" s="2"/>
      <c r="J5603" s="2"/>
      <c r="M5603" s="2"/>
    </row>
    <row r="5604" spans="1:13" x14ac:dyDescent="0.25">
      <c r="A5604" s="2"/>
      <c r="D5604" s="2"/>
      <c r="G5604" s="2"/>
      <c r="J5604" s="2"/>
      <c r="M5604" s="2"/>
    </row>
    <row r="5605" spans="1:13" x14ac:dyDescent="0.25">
      <c r="A5605" s="2"/>
      <c r="D5605" s="2"/>
      <c r="G5605" s="2"/>
      <c r="J5605" s="2"/>
      <c r="M5605" s="2"/>
    </row>
    <row r="5606" spans="1:13" x14ac:dyDescent="0.25">
      <c r="A5606" s="2"/>
      <c r="D5606" s="2"/>
      <c r="G5606" s="2"/>
      <c r="J5606" s="2"/>
      <c r="M5606" s="2"/>
    </row>
    <row r="5607" spans="1:13" x14ac:dyDescent="0.25">
      <c r="A5607" s="2"/>
      <c r="D5607" s="2"/>
      <c r="G5607" s="2"/>
      <c r="J5607" s="2"/>
      <c r="M5607" s="2"/>
    </row>
    <row r="5608" spans="1:13" x14ac:dyDescent="0.25">
      <c r="A5608" s="2"/>
      <c r="D5608" s="2"/>
      <c r="G5608" s="2"/>
      <c r="J5608" s="2"/>
      <c r="M5608" s="2"/>
    </row>
    <row r="5609" spans="1:13" x14ac:dyDescent="0.25">
      <c r="A5609" s="2"/>
      <c r="D5609" s="2"/>
      <c r="G5609" s="2"/>
      <c r="J5609" s="2"/>
      <c r="M5609" s="2"/>
    </row>
    <row r="5610" spans="1:13" x14ac:dyDescent="0.25">
      <c r="A5610" s="2"/>
      <c r="D5610" s="2"/>
      <c r="G5610" s="2"/>
      <c r="J5610" s="2"/>
      <c r="M5610" s="2"/>
    </row>
    <row r="5611" spans="1:13" x14ac:dyDescent="0.25">
      <c r="A5611" s="2"/>
      <c r="D5611" s="2"/>
      <c r="G5611" s="2"/>
      <c r="J5611" s="2"/>
      <c r="M5611" s="2"/>
    </row>
    <row r="5612" spans="1:13" x14ac:dyDescent="0.25">
      <c r="A5612" s="2"/>
      <c r="D5612" s="2"/>
      <c r="G5612" s="2"/>
      <c r="J5612" s="2"/>
      <c r="M5612" s="2"/>
    </row>
    <row r="5613" spans="1:13" x14ac:dyDescent="0.25">
      <c r="A5613" s="2"/>
      <c r="D5613" s="2"/>
      <c r="G5613" s="2"/>
      <c r="J5613" s="2"/>
      <c r="M5613" s="2"/>
    </row>
    <row r="5614" spans="1:13" x14ac:dyDescent="0.25">
      <c r="A5614" s="2"/>
      <c r="D5614" s="2"/>
      <c r="G5614" s="2"/>
      <c r="J5614" s="2"/>
      <c r="M5614" s="2"/>
    </row>
    <row r="5615" spans="1:13" x14ac:dyDescent="0.25">
      <c r="A5615" s="2"/>
      <c r="D5615" s="2"/>
      <c r="G5615" s="2"/>
      <c r="J5615" s="2"/>
      <c r="M5615" s="2"/>
    </row>
    <row r="5616" spans="1:13" x14ac:dyDescent="0.25">
      <c r="A5616" s="2"/>
      <c r="D5616" s="2"/>
      <c r="G5616" s="2"/>
      <c r="J5616" s="2"/>
      <c r="M5616" s="2"/>
    </row>
    <row r="5617" spans="1:13" x14ac:dyDescent="0.25">
      <c r="A5617" s="2"/>
      <c r="D5617" s="2"/>
      <c r="G5617" s="2"/>
      <c r="J5617" s="2"/>
      <c r="M5617" s="2"/>
    </row>
    <row r="5618" spans="1:13" x14ac:dyDescent="0.25">
      <c r="A5618" s="2"/>
      <c r="D5618" s="2"/>
      <c r="G5618" s="2"/>
      <c r="J5618" s="2"/>
      <c r="M5618" s="2"/>
    </row>
    <row r="5619" spans="1:13" x14ac:dyDescent="0.25">
      <c r="A5619" s="2"/>
      <c r="D5619" s="2"/>
      <c r="G5619" s="2"/>
      <c r="J5619" s="2"/>
      <c r="M5619" s="2"/>
    </row>
    <row r="5620" spans="1:13" x14ac:dyDescent="0.25">
      <c r="A5620" s="2"/>
      <c r="D5620" s="2"/>
      <c r="G5620" s="2"/>
      <c r="J5620" s="2"/>
      <c r="M5620" s="2"/>
    </row>
    <row r="5621" spans="1:13" x14ac:dyDescent="0.25">
      <c r="A5621" s="2"/>
      <c r="D5621" s="2"/>
      <c r="G5621" s="2"/>
      <c r="J5621" s="2"/>
      <c r="M5621" s="2"/>
    </row>
    <row r="5622" spans="1:13" x14ac:dyDescent="0.25">
      <c r="A5622" s="2"/>
      <c r="D5622" s="2"/>
      <c r="G5622" s="2"/>
      <c r="J5622" s="2"/>
      <c r="M5622" s="2"/>
    </row>
    <row r="5623" spans="1:13" x14ac:dyDescent="0.25">
      <c r="A5623" s="2"/>
      <c r="D5623" s="2"/>
      <c r="G5623" s="2"/>
      <c r="J5623" s="2"/>
      <c r="M5623" s="2"/>
    </row>
    <row r="5624" spans="1:13" x14ac:dyDescent="0.25">
      <c r="A5624" s="2"/>
      <c r="D5624" s="2"/>
      <c r="G5624" s="2"/>
      <c r="J5624" s="2"/>
      <c r="M5624" s="2"/>
    </row>
    <row r="5625" spans="1:13" x14ac:dyDescent="0.25">
      <c r="A5625" s="2"/>
      <c r="D5625" s="2"/>
      <c r="G5625" s="2"/>
      <c r="J5625" s="2"/>
      <c r="M5625" s="2"/>
    </row>
    <row r="5626" spans="1:13" x14ac:dyDescent="0.25">
      <c r="A5626" s="2"/>
      <c r="D5626" s="2"/>
      <c r="G5626" s="2"/>
      <c r="J5626" s="2"/>
      <c r="M5626" s="2"/>
    </row>
    <row r="5627" spans="1:13" x14ac:dyDescent="0.25">
      <c r="A5627" s="2"/>
      <c r="D5627" s="2"/>
      <c r="G5627" s="2"/>
      <c r="J5627" s="2"/>
      <c r="M5627" s="2"/>
    </row>
    <row r="5628" spans="1:13" x14ac:dyDescent="0.25">
      <c r="A5628" s="2"/>
      <c r="D5628" s="2"/>
      <c r="G5628" s="2"/>
      <c r="J5628" s="2"/>
      <c r="M5628" s="2"/>
    </row>
    <row r="5629" spans="1:13" x14ac:dyDescent="0.25">
      <c r="A5629" s="2"/>
      <c r="D5629" s="2"/>
      <c r="G5629" s="2"/>
      <c r="J5629" s="2"/>
      <c r="M5629" s="2"/>
    </row>
    <row r="5630" spans="1:13" x14ac:dyDescent="0.25">
      <c r="A5630" s="2"/>
      <c r="D5630" s="2"/>
      <c r="G5630" s="2"/>
      <c r="J5630" s="2"/>
      <c r="M5630" s="2"/>
    </row>
    <row r="5631" spans="1:13" x14ac:dyDescent="0.25">
      <c r="A5631" s="2"/>
      <c r="D5631" s="2"/>
      <c r="G5631" s="2"/>
      <c r="J5631" s="2"/>
      <c r="M5631" s="2"/>
    </row>
    <row r="5632" spans="1:13" x14ac:dyDescent="0.25">
      <c r="A5632" s="2"/>
      <c r="D5632" s="2"/>
      <c r="G5632" s="2"/>
      <c r="J5632" s="2"/>
      <c r="M5632" s="2"/>
    </row>
    <row r="5633" spans="1:13" x14ac:dyDescent="0.25">
      <c r="A5633" s="2"/>
      <c r="D5633" s="2"/>
      <c r="G5633" s="2"/>
      <c r="J5633" s="2"/>
      <c r="M5633" s="2"/>
    </row>
    <row r="5634" spans="1:13" x14ac:dyDescent="0.25">
      <c r="A5634" s="2"/>
      <c r="D5634" s="2"/>
      <c r="G5634" s="2"/>
      <c r="J5634" s="2"/>
      <c r="M5634" s="2"/>
    </row>
    <row r="5635" spans="1:13" x14ac:dyDescent="0.25">
      <c r="A5635" s="2"/>
      <c r="D5635" s="2"/>
      <c r="G5635" s="2"/>
      <c r="J5635" s="2"/>
      <c r="M5635" s="2"/>
    </row>
    <row r="5636" spans="1:13" x14ac:dyDescent="0.25">
      <c r="A5636" s="2"/>
      <c r="D5636" s="2"/>
      <c r="G5636" s="2"/>
      <c r="J5636" s="2"/>
      <c r="M5636" s="2"/>
    </row>
    <row r="5637" spans="1:13" x14ac:dyDescent="0.25">
      <c r="A5637" s="2"/>
      <c r="D5637" s="2"/>
      <c r="G5637" s="2"/>
      <c r="J5637" s="2"/>
      <c r="M5637" s="2"/>
    </row>
    <row r="5638" spans="1:13" x14ac:dyDescent="0.25">
      <c r="A5638" s="2"/>
      <c r="D5638" s="2"/>
      <c r="G5638" s="2"/>
      <c r="J5638" s="2"/>
      <c r="M5638" s="2"/>
    </row>
    <row r="5639" spans="1:13" x14ac:dyDescent="0.25">
      <c r="A5639" s="2"/>
      <c r="D5639" s="2"/>
      <c r="G5639" s="2"/>
      <c r="J5639" s="2"/>
      <c r="M5639" s="2"/>
    </row>
    <row r="5640" spans="1:13" x14ac:dyDescent="0.25">
      <c r="A5640" s="2"/>
      <c r="D5640" s="2"/>
      <c r="G5640" s="2"/>
      <c r="J5640" s="2"/>
      <c r="M5640" s="2"/>
    </row>
    <row r="5641" spans="1:13" x14ac:dyDescent="0.25">
      <c r="A5641" s="2"/>
      <c r="D5641" s="2"/>
      <c r="G5641" s="2"/>
      <c r="J5641" s="2"/>
      <c r="M5641" s="2"/>
    </row>
    <row r="5642" spans="1:13" x14ac:dyDescent="0.25">
      <c r="A5642" s="2"/>
      <c r="D5642" s="2"/>
      <c r="G5642" s="2"/>
      <c r="J5642" s="2"/>
      <c r="M5642" s="2"/>
    </row>
    <row r="5643" spans="1:13" x14ac:dyDescent="0.25">
      <c r="A5643" s="2"/>
      <c r="D5643" s="2"/>
      <c r="G5643" s="2"/>
      <c r="J5643" s="2"/>
      <c r="M5643" s="2"/>
    </row>
    <row r="5644" spans="1:13" x14ac:dyDescent="0.25">
      <c r="A5644" s="2"/>
      <c r="D5644" s="2"/>
      <c r="G5644" s="2"/>
      <c r="J5644" s="2"/>
      <c r="M5644" s="2"/>
    </row>
    <row r="5645" spans="1:13" x14ac:dyDescent="0.25">
      <c r="A5645" s="2"/>
      <c r="D5645" s="2"/>
      <c r="G5645" s="2"/>
      <c r="J5645" s="2"/>
      <c r="M5645" s="2"/>
    </row>
    <row r="5646" spans="1:13" x14ac:dyDescent="0.25">
      <c r="A5646" s="2"/>
      <c r="D5646" s="2"/>
      <c r="G5646" s="2"/>
      <c r="J5646" s="2"/>
      <c r="M5646" s="2"/>
    </row>
    <row r="5647" spans="1:13" x14ac:dyDescent="0.25">
      <c r="A5647" s="2"/>
      <c r="D5647" s="2"/>
      <c r="G5647" s="2"/>
      <c r="J5647" s="2"/>
      <c r="M5647" s="2"/>
    </row>
    <row r="5648" spans="1:13" x14ac:dyDescent="0.25">
      <c r="A5648" s="2"/>
      <c r="D5648" s="2"/>
      <c r="G5648" s="2"/>
      <c r="J5648" s="2"/>
      <c r="M5648" s="2"/>
    </row>
    <row r="5649" spans="1:13" x14ac:dyDescent="0.25">
      <c r="A5649" s="2"/>
      <c r="D5649" s="2"/>
      <c r="G5649" s="2"/>
      <c r="J5649" s="2"/>
      <c r="M5649" s="2"/>
    </row>
    <row r="5650" spans="1:13" x14ac:dyDescent="0.25">
      <c r="A5650" s="2"/>
      <c r="D5650" s="2"/>
      <c r="G5650" s="2"/>
      <c r="J5650" s="2"/>
      <c r="M5650" s="2"/>
    </row>
    <row r="5651" spans="1:13" x14ac:dyDescent="0.25">
      <c r="A5651" s="2"/>
      <c r="D5651" s="2"/>
      <c r="G5651" s="2"/>
      <c r="J5651" s="2"/>
      <c r="M5651" s="2"/>
    </row>
    <row r="5652" spans="1:13" x14ac:dyDescent="0.25">
      <c r="A5652" s="2"/>
      <c r="D5652" s="2"/>
      <c r="G5652" s="2"/>
      <c r="J5652" s="2"/>
      <c r="M5652" s="2"/>
    </row>
    <row r="5653" spans="1:13" x14ac:dyDescent="0.25">
      <c r="A5653" s="2"/>
      <c r="D5653" s="2"/>
      <c r="G5653" s="2"/>
      <c r="J5653" s="2"/>
      <c r="M5653" s="2"/>
    </row>
    <row r="5654" spans="1:13" x14ac:dyDescent="0.25">
      <c r="A5654" s="2"/>
      <c r="D5654" s="2"/>
      <c r="G5654" s="2"/>
      <c r="J5654" s="2"/>
      <c r="M5654" s="2"/>
    </row>
    <row r="5655" spans="1:13" x14ac:dyDescent="0.25">
      <c r="A5655" s="2"/>
      <c r="D5655" s="2"/>
      <c r="G5655" s="2"/>
      <c r="J5655" s="2"/>
      <c r="M5655" s="2"/>
    </row>
    <row r="5656" spans="1:13" x14ac:dyDescent="0.25">
      <c r="A5656" s="2"/>
      <c r="D5656" s="2"/>
      <c r="G5656" s="2"/>
      <c r="J5656" s="2"/>
      <c r="M5656" s="2"/>
    </row>
    <row r="5657" spans="1:13" x14ac:dyDescent="0.25">
      <c r="A5657" s="2"/>
      <c r="D5657" s="2"/>
      <c r="G5657" s="2"/>
      <c r="J5657" s="2"/>
      <c r="M5657" s="2"/>
    </row>
    <row r="5658" spans="1:13" x14ac:dyDescent="0.25">
      <c r="A5658" s="2"/>
      <c r="D5658" s="2"/>
      <c r="G5658" s="2"/>
      <c r="J5658" s="2"/>
      <c r="M5658" s="2"/>
    </row>
    <row r="5659" spans="1:13" x14ac:dyDescent="0.25">
      <c r="A5659" s="2"/>
      <c r="D5659" s="2"/>
      <c r="G5659" s="2"/>
      <c r="J5659" s="2"/>
      <c r="M5659" s="2"/>
    </row>
    <row r="5660" spans="1:13" x14ac:dyDescent="0.25">
      <c r="A5660" s="2"/>
      <c r="D5660" s="2"/>
      <c r="G5660" s="2"/>
      <c r="J5660" s="2"/>
      <c r="M5660" s="2"/>
    </row>
    <row r="5661" spans="1:13" x14ac:dyDescent="0.25">
      <c r="A5661" s="2"/>
      <c r="D5661" s="2"/>
      <c r="G5661" s="2"/>
      <c r="J5661" s="2"/>
      <c r="M5661" s="2"/>
    </row>
    <row r="5662" spans="1:13" x14ac:dyDescent="0.25">
      <c r="A5662" s="2"/>
      <c r="D5662" s="2"/>
      <c r="G5662" s="2"/>
      <c r="J5662" s="2"/>
      <c r="M5662" s="2"/>
    </row>
    <row r="5663" spans="1:13" x14ac:dyDescent="0.25">
      <c r="A5663" s="2"/>
      <c r="D5663" s="2"/>
      <c r="G5663" s="2"/>
      <c r="J5663" s="2"/>
      <c r="M5663" s="2"/>
    </row>
    <row r="5664" spans="1:13" x14ac:dyDescent="0.25">
      <c r="A5664" s="2"/>
      <c r="D5664" s="2"/>
      <c r="G5664" s="2"/>
      <c r="J5664" s="2"/>
      <c r="M5664" s="2"/>
    </row>
    <row r="5665" spans="1:13" x14ac:dyDescent="0.25">
      <c r="A5665" s="2"/>
      <c r="D5665" s="2"/>
      <c r="G5665" s="2"/>
      <c r="J5665" s="2"/>
      <c r="M5665" s="2"/>
    </row>
    <row r="5666" spans="1:13" x14ac:dyDescent="0.25">
      <c r="A5666" s="2"/>
      <c r="D5666" s="2"/>
      <c r="G5666" s="2"/>
      <c r="J5666" s="2"/>
      <c r="M5666" s="2"/>
    </row>
    <row r="5667" spans="1:13" x14ac:dyDescent="0.25">
      <c r="A5667" s="2"/>
      <c r="D5667" s="2"/>
      <c r="G5667" s="2"/>
      <c r="J5667" s="2"/>
      <c r="M5667" s="2"/>
    </row>
    <row r="5668" spans="1:13" x14ac:dyDescent="0.25">
      <c r="A5668" s="2"/>
      <c r="D5668" s="2"/>
      <c r="G5668" s="2"/>
      <c r="J5668" s="2"/>
      <c r="M5668" s="2"/>
    </row>
    <row r="5669" spans="1:13" x14ac:dyDescent="0.25">
      <c r="A5669" s="2"/>
      <c r="D5669" s="2"/>
      <c r="G5669" s="2"/>
      <c r="J5669" s="2"/>
      <c r="M5669" s="2"/>
    </row>
    <row r="5670" spans="1:13" x14ac:dyDescent="0.25">
      <c r="A5670" s="2"/>
      <c r="D5670" s="2"/>
      <c r="G5670" s="2"/>
      <c r="J5670" s="2"/>
      <c r="M5670" s="2"/>
    </row>
    <row r="5671" spans="1:13" x14ac:dyDescent="0.25">
      <c r="A5671" s="2"/>
      <c r="D5671" s="2"/>
      <c r="G5671" s="2"/>
      <c r="J5671" s="2"/>
      <c r="M5671" s="2"/>
    </row>
    <row r="5672" spans="1:13" x14ac:dyDescent="0.25">
      <c r="A5672" s="2"/>
      <c r="D5672" s="2"/>
      <c r="G5672" s="2"/>
      <c r="J5672" s="2"/>
      <c r="M5672" s="2"/>
    </row>
    <row r="5673" spans="1:13" x14ac:dyDescent="0.25">
      <c r="A5673" s="2"/>
      <c r="D5673" s="2"/>
      <c r="G5673" s="2"/>
      <c r="J5673" s="2"/>
      <c r="M5673" s="2"/>
    </row>
    <row r="5674" spans="1:13" x14ac:dyDescent="0.25">
      <c r="A5674" s="2"/>
      <c r="D5674" s="2"/>
      <c r="G5674" s="2"/>
      <c r="J5674" s="2"/>
      <c r="M5674" s="2"/>
    </row>
    <row r="5675" spans="1:13" x14ac:dyDescent="0.25">
      <c r="A5675" s="2"/>
      <c r="D5675" s="2"/>
      <c r="G5675" s="2"/>
      <c r="J5675" s="2"/>
      <c r="M5675" s="2"/>
    </row>
    <row r="5676" spans="1:13" x14ac:dyDescent="0.25">
      <c r="A5676" s="2"/>
      <c r="D5676" s="2"/>
      <c r="G5676" s="2"/>
      <c r="J5676" s="2"/>
      <c r="M5676" s="2"/>
    </row>
    <row r="5677" spans="1:13" x14ac:dyDescent="0.25">
      <c r="A5677" s="2"/>
      <c r="D5677" s="2"/>
      <c r="G5677" s="2"/>
      <c r="J5677" s="2"/>
      <c r="M5677" s="2"/>
    </row>
    <row r="5678" spans="1:13" x14ac:dyDescent="0.25">
      <c r="A5678" s="2"/>
      <c r="D5678" s="2"/>
      <c r="G5678" s="2"/>
      <c r="J5678" s="2"/>
      <c r="M5678" s="2"/>
    </row>
    <row r="5679" spans="1:13" x14ac:dyDescent="0.25">
      <c r="A5679" s="2"/>
      <c r="D5679" s="2"/>
      <c r="G5679" s="2"/>
      <c r="J5679" s="2"/>
      <c r="M5679" s="2"/>
    </row>
    <row r="5680" spans="1:13" x14ac:dyDescent="0.25">
      <c r="A5680" s="2"/>
      <c r="D5680" s="2"/>
      <c r="G5680" s="2"/>
      <c r="J5680" s="2"/>
      <c r="M5680" s="2"/>
    </row>
    <row r="5681" spans="1:13" x14ac:dyDescent="0.25">
      <c r="A5681" s="2"/>
      <c r="D5681" s="2"/>
      <c r="G5681" s="2"/>
      <c r="J5681" s="2"/>
      <c r="M5681" s="2"/>
    </row>
    <row r="5682" spans="1:13" x14ac:dyDescent="0.25">
      <c r="A5682" s="2"/>
      <c r="D5682" s="2"/>
      <c r="G5682" s="2"/>
      <c r="J5682" s="2"/>
      <c r="M5682" s="2"/>
    </row>
    <row r="5683" spans="1:13" x14ac:dyDescent="0.25">
      <c r="A5683" s="2"/>
      <c r="D5683" s="2"/>
      <c r="G5683" s="2"/>
      <c r="J5683" s="2"/>
      <c r="M5683" s="2"/>
    </row>
    <row r="5684" spans="1:13" x14ac:dyDescent="0.25">
      <c r="A5684" s="2"/>
      <c r="D5684" s="2"/>
      <c r="G5684" s="2"/>
      <c r="J5684" s="2"/>
      <c r="M5684" s="2"/>
    </row>
    <row r="5685" spans="1:13" x14ac:dyDescent="0.25">
      <c r="A5685" s="2"/>
      <c r="D5685" s="2"/>
      <c r="G5685" s="2"/>
      <c r="J5685" s="2"/>
      <c r="M5685" s="2"/>
    </row>
    <row r="5686" spans="1:13" x14ac:dyDescent="0.25">
      <c r="A5686" s="2"/>
      <c r="D5686" s="2"/>
      <c r="G5686" s="2"/>
      <c r="J5686" s="2"/>
      <c r="M5686" s="2"/>
    </row>
    <row r="5687" spans="1:13" x14ac:dyDescent="0.25">
      <c r="A5687" s="2"/>
      <c r="D5687" s="2"/>
      <c r="G5687" s="2"/>
      <c r="J5687" s="2"/>
      <c r="M5687" s="2"/>
    </row>
    <row r="5688" spans="1:13" x14ac:dyDescent="0.25">
      <c r="A5688" s="2"/>
      <c r="D5688" s="2"/>
      <c r="G5688" s="2"/>
      <c r="J5688" s="2"/>
      <c r="M5688" s="2"/>
    </row>
    <row r="5689" spans="1:13" x14ac:dyDescent="0.25">
      <c r="A5689" s="2"/>
      <c r="D5689" s="2"/>
      <c r="G5689" s="2"/>
      <c r="J5689" s="2"/>
      <c r="M5689" s="2"/>
    </row>
    <row r="5690" spans="1:13" x14ac:dyDescent="0.25">
      <c r="A5690" s="2"/>
      <c r="D5690" s="2"/>
      <c r="G5690" s="2"/>
      <c r="J5690" s="2"/>
      <c r="M5690" s="2"/>
    </row>
    <row r="5691" spans="1:13" x14ac:dyDescent="0.25">
      <c r="A5691" s="2"/>
      <c r="D5691" s="2"/>
      <c r="G5691" s="2"/>
      <c r="J5691" s="2"/>
      <c r="M5691" s="2"/>
    </row>
    <row r="5692" spans="1:13" x14ac:dyDescent="0.25">
      <c r="A5692" s="2"/>
      <c r="D5692" s="2"/>
      <c r="G5692" s="2"/>
      <c r="J5692" s="2"/>
      <c r="M5692" s="2"/>
    </row>
    <row r="5693" spans="1:13" x14ac:dyDescent="0.25">
      <c r="A5693" s="2"/>
      <c r="D5693" s="2"/>
      <c r="G5693" s="2"/>
      <c r="J5693" s="2"/>
      <c r="M5693" s="2"/>
    </row>
    <row r="5694" spans="1:13" x14ac:dyDescent="0.25">
      <c r="A5694" s="2"/>
      <c r="D5694" s="2"/>
      <c r="G5694" s="2"/>
      <c r="J5694" s="2"/>
      <c r="M5694" s="2"/>
    </row>
    <row r="5695" spans="1:13" x14ac:dyDescent="0.25">
      <c r="A5695" s="2"/>
      <c r="D5695" s="2"/>
      <c r="G5695" s="2"/>
      <c r="J5695" s="2"/>
      <c r="M5695" s="2"/>
    </row>
    <row r="5696" spans="1:13" x14ac:dyDescent="0.25">
      <c r="A5696" s="2"/>
      <c r="D5696" s="2"/>
      <c r="G5696" s="2"/>
      <c r="J5696" s="2"/>
      <c r="M5696" s="2"/>
    </row>
    <row r="5697" spans="1:13" x14ac:dyDescent="0.25">
      <c r="A5697" s="2"/>
      <c r="D5697" s="2"/>
      <c r="G5697" s="2"/>
      <c r="J5697" s="2"/>
      <c r="M5697" s="2"/>
    </row>
    <row r="5698" spans="1:13" x14ac:dyDescent="0.25">
      <c r="A5698" s="2"/>
      <c r="D5698" s="2"/>
      <c r="G5698" s="2"/>
      <c r="J5698" s="2"/>
      <c r="M5698" s="2"/>
    </row>
    <row r="5699" spans="1:13" x14ac:dyDescent="0.25">
      <c r="A5699" s="2"/>
      <c r="D5699" s="2"/>
      <c r="G5699" s="2"/>
      <c r="J5699" s="2"/>
      <c r="M5699" s="2"/>
    </row>
    <row r="5700" spans="1:13" x14ac:dyDescent="0.25">
      <c r="A5700" s="2"/>
      <c r="D5700" s="2"/>
      <c r="G5700" s="2"/>
      <c r="J5700" s="2"/>
      <c r="M5700" s="2"/>
    </row>
    <row r="5701" spans="1:13" x14ac:dyDescent="0.25">
      <c r="A5701" s="2"/>
      <c r="D5701" s="2"/>
      <c r="G5701" s="2"/>
      <c r="J5701" s="2"/>
      <c r="M5701" s="2"/>
    </row>
    <row r="5702" spans="1:13" x14ac:dyDescent="0.25">
      <c r="A5702" s="2"/>
      <c r="D5702" s="2"/>
      <c r="G5702" s="2"/>
      <c r="J5702" s="2"/>
      <c r="M5702" s="2"/>
    </row>
    <row r="5703" spans="1:13" x14ac:dyDescent="0.25">
      <c r="A5703" s="2"/>
      <c r="D5703" s="2"/>
      <c r="G5703" s="2"/>
      <c r="J5703" s="2"/>
      <c r="M5703" s="2"/>
    </row>
    <row r="5704" spans="1:13" x14ac:dyDescent="0.25">
      <c r="A5704" s="2"/>
      <c r="D5704" s="2"/>
      <c r="G5704" s="2"/>
      <c r="J5704" s="2"/>
      <c r="M5704" s="2"/>
    </row>
    <row r="5705" spans="1:13" x14ac:dyDescent="0.25">
      <c r="A5705" s="2"/>
      <c r="D5705" s="2"/>
      <c r="G5705" s="2"/>
      <c r="J5705" s="2"/>
      <c r="M5705" s="2"/>
    </row>
    <row r="5706" spans="1:13" x14ac:dyDescent="0.25">
      <c r="A5706" s="2"/>
      <c r="D5706" s="2"/>
      <c r="G5706" s="2"/>
      <c r="J5706" s="2"/>
      <c r="M5706" s="2"/>
    </row>
    <row r="5707" spans="1:13" x14ac:dyDescent="0.25">
      <c r="A5707" s="2"/>
      <c r="D5707" s="2"/>
      <c r="G5707" s="2"/>
      <c r="J5707" s="2"/>
      <c r="M5707" s="2"/>
    </row>
    <row r="5708" spans="1:13" x14ac:dyDescent="0.25">
      <c r="A5708" s="2"/>
      <c r="D5708" s="2"/>
      <c r="G5708" s="2"/>
      <c r="J5708" s="2"/>
      <c r="M5708" s="2"/>
    </row>
    <row r="5709" spans="1:13" x14ac:dyDescent="0.25">
      <c r="A5709" s="2"/>
      <c r="D5709" s="2"/>
      <c r="G5709" s="2"/>
      <c r="J5709" s="2"/>
      <c r="M5709" s="2"/>
    </row>
    <row r="5710" spans="1:13" x14ac:dyDescent="0.25">
      <c r="A5710" s="2"/>
      <c r="D5710" s="2"/>
      <c r="G5710" s="2"/>
      <c r="J5710" s="2"/>
      <c r="M5710" s="2"/>
    </row>
    <row r="5711" spans="1:13" x14ac:dyDescent="0.25">
      <c r="A5711" s="2"/>
      <c r="D5711" s="2"/>
      <c r="G5711" s="2"/>
      <c r="J5711" s="2"/>
      <c r="M5711" s="2"/>
    </row>
    <row r="5712" spans="1:13" x14ac:dyDescent="0.25">
      <c r="A5712" s="2"/>
      <c r="D5712" s="2"/>
      <c r="G5712" s="2"/>
      <c r="J5712" s="2"/>
      <c r="M5712" s="2"/>
    </row>
    <row r="5713" spans="1:13" x14ac:dyDescent="0.25">
      <c r="A5713" s="2"/>
      <c r="D5713" s="2"/>
      <c r="G5713" s="2"/>
      <c r="J5713" s="2"/>
      <c r="M5713" s="2"/>
    </row>
    <row r="5714" spans="1:13" x14ac:dyDescent="0.25">
      <c r="A5714" s="2"/>
      <c r="D5714" s="2"/>
      <c r="G5714" s="2"/>
      <c r="J5714" s="2"/>
      <c r="M5714" s="2"/>
    </row>
    <row r="5715" spans="1:13" x14ac:dyDescent="0.25">
      <c r="A5715" s="2"/>
      <c r="D5715" s="2"/>
      <c r="G5715" s="2"/>
      <c r="J5715" s="2"/>
      <c r="M5715" s="2"/>
    </row>
    <row r="5716" spans="1:13" x14ac:dyDescent="0.25">
      <c r="A5716" s="2"/>
      <c r="D5716" s="2"/>
      <c r="G5716" s="2"/>
      <c r="J5716" s="2"/>
      <c r="M5716" s="2"/>
    </row>
    <row r="5717" spans="1:13" x14ac:dyDescent="0.25">
      <c r="A5717" s="2"/>
      <c r="D5717" s="2"/>
      <c r="G5717" s="2"/>
      <c r="J5717" s="2"/>
      <c r="M5717" s="2"/>
    </row>
    <row r="5718" spans="1:13" x14ac:dyDescent="0.25">
      <c r="A5718" s="2"/>
      <c r="D5718" s="2"/>
      <c r="G5718" s="2"/>
      <c r="J5718" s="2"/>
      <c r="M5718" s="2"/>
    </row>
    <row r="5719" spans="1:13" x14ac:dyDescent="0.25">
      <c r="A5719" s="2"/>
      <c r="D5719" s="2"/>
      <c r="G5719" s="2"/>
      <c r="J5719" s="2"/>
      <c r="M5719" s="2"/>
    </row>
    <row r="5720" spans="1:13" x14ac:dyDescent="0.25">
      <c r="A5720" s="2"/>
      <c r="D5720" s="2"/>
      <c r="G5720" s="2"/>
      <c r="J5720" s="2"/>
      <c r="M5720" s="2"/>
    </row>
    <row r="5721" spans="1:13" x14ac:dyDescent="0.25">
      <c r="A5721" s="2"/>
      <c r="D5721" s="2"/>
      <c r="G5721" s="2"/>
      <c r="J5721" s="2"/>
      <c r="M5721" s="2"/>
    </row>
    <row r="5722" spans="1:13" x14ac:dyDescent="0.25">
      <c r="A5722" s="2"/>
      <c r="D5722" s="2"/>
      <c r="G5722" s="2"/>
      <c r="J5722" s="2"/>
      <c r="M5722" s="2"/>
    </row>
    <row r="5723" spans="1:13" x14ac:dyDescent="0.25">
      <c r="A5723" s="2"/>
      <c r="D5723" s="2"/>
      <c r="G5723" s="2"/>
      <c r="J5723" s="2"/>
      <c r="M5723" s="2"/>
    </row>
    <row r="5724" spans="1:13" x14ac:dyDescent="0.25">
      <c r="A5724" s="2"/>
      <c r="D5724" s="2"/>
      <c r="G5724" s="2"/>
      <c r="J5724" s="2"/>
      <c r="M5724" s="2"/>
    </row>
    <row r="5725" spans="1:13" x14ac:dyDescent="0.25">
      <c r="A5725" s="2"/>
      <c r="D5725" s="2"/>
      <c r="G5725" s="2"/>
      <c r="J5725" s="2"/>
      <c r="M5725" s="2"/>
    </row>
    <row r="5726" spans="1:13" x14ac:dyDescent="0.25">
      <c r="A5726" s="2"/>
      <c r="D5726" s="2"/>
      <c r="G5726" s="2"/>
      <c r="J5726" s="2"/>
      <c r="M5726" s="2"/>
    </row>
    <row r="5727" spans="1:13" x14ac:dyDescent="0.25">
      <c r="A5727" s="2"/>
      <c r="D5727" s="2"/>
      <c r="G5727" s="2"/>
      <c r="J5727" s="2"/>
      <c r="M5727" s="2"/>
    </row>
    <row r="5728" spans="1:13" x14ac:dyDescent="0.25">
      <c r="A5728" s="2"/>
      <c r="D5728" s="2"/>
      <c r="G5728" s="2"/>
      <c r="J5728" s="2"/>
      <c r="M5728" s="2"/>
    </row>
    <row r="5729" spans="1:13" x14ac:dyDescent="0.25">
      <c r="A5729" s="2"/>
      <c r="D5729" s="2"/>
      <c r="G5729" s="2"/>
      <c r="J5729" s="2"/>
      <c r="M5729" s="2"/>
    </row>
    <row r="5730" spans="1:13" x14ac:dyDescent="0.25">
      <c r="A5730" s="2"/>
      <c r="D5730" s="2"/>
      <c r="G5730" s="2"/>
      <c r="J5730" s="2"/>
      <c r="M5730" s="2"/>
    </row>
    <row r="5731" spans="1:13" x14ac:dyDescent="0.25">
      <c r="A5731" s="2"/>
      <c r="D5731" s="2"/>
      <c r="G5731" s="2"/>
      <c r="J5731" s="2"/>
      <c r="M5731" s="2"/>
    </row>
    <row r="5732" spans="1:13" x14ac:dyDescent="0.25">
      <c r="A5732" s="2"/>
      <c r="D5732" s="2"/>
      <c r="G5732" s="2"/>
      <c r="J5732" s="2"/>
      <c r="M5732" s="2"/>
    </row>
    <row r="5733" spans="1:13" x14ac:dyDescent="0.25">
      <c r="A5733" s="2"/>
      <c r="D5733" s="2"/>
      <c r="G5733" s="2"/>
      <c r="J5733" s="2"/>
      <c r="M5733" s="2"/>
    </row>
    <row r="5734" spans="1:13" x14ac:dyDescent="0.25">
      <c r="A5734" s="2"/>
      <c r="D5734" s="2"/>
      <c r="G5734" s="2"/>
      <c r="J5734" s="2"/>
      <c r="M5734" s="2"/>
    </row>
    <row r="5735" spans="1:13" x14ac:dyDescent="0.25">
      <c r="A5735" s="2"/>
      <c r="D5735" s="2"/>
      <c r="G5735" s="2"/>
      <c r="J5735" s="2"/>
      <c r="M5735" s="2"/>
    </row>
    <row r="5736" spans="1:13" x14ac:dyDescent="0.25">
      <c r="A5736" s="2"/>
      <c r="D5736" s="2"/>
      <c r="G5736" s="2"/>
      <c r="J5736" s="2"/>
      <c r="M5736" s="2"/>
    </row>
    <row r="5737" spans="1:13" x14ac:dyDescent="0.25">
      <c r="A5737" s="2"/>
      <c r="D5737" s="2"/>
      <c r="G5737" s="2"/>
      <c r="J5737" s="2"/>
      <c r="M5737" s="2"/>
    </row>
    <row r="5738" spans="1:13" x14ac:dyDescent="0.25">
      <c r="A5738" s="2"/>
      <c r="D5738" s="2"/>
      <c r="G5738" s="2"/>
      <c r="J5738" s="2"/>
      <c r="M5738" s="2"/>
    </row>
    <row r="5739" spans="1:13" x14ac:dyDescent="0.25">
      <c r="A5739" s="2"/>
      <c r="D5739" s="2"/>
      <c r="G5739" s="2"/>
      <c r="J5739" s="2"/>
      <c r="M5739" s="2"/>
    </row>
    <row r="5740" spans="1:13" x14ac:dyDescent="0.25">
      <c r="A5740" s="2"/>
      <c r="D5740" s="2"/>
      <c r="G5740" s="2"/>
      <c r="J5740" s="2"/>
      <c r="M5740" s="2"/>
    </row>
    <row r="5741" spans="1:13" x14ac:dyDescent="0.25">
      <c r="A5741" s="2"/>
      <c r="D5741" s="2"/>
      <c r="G5741" s="2"/>
      <c r="J5741" s="2"/>
      <c r="M5741" s="2"/>
    </row>
    <row r="5742" spans="1:13" x14ac:dyDescent="0.25">
      <c r="A5742" s="2"/>
      <c r="D5742" s="2"/>
      <c r="G5742" s="2"/>
      <c r="J5742" s="2"/>
      <c r="M5742" s="2"/>
    </row>
    <row r="5743" spans="1:13" x14ac:dyDescent="0.25">
      <c r="A5743" s="2"/>
      <c r="D5743" s="2"/>
      <c r="G5743" s="2"/>
      <c r="J5743" s="2"/>
      <c r="M5743" s="2"/>
    </row>
    <row r="5744" spans="1:13" x14ac:dyDescent="0.25">
      <c r="A5744" s="2"/>
      <c r="D5744" s="2"/>
      <c r="G5744" s="2"/>
      <c r="J5744" s="2"/>
      <c r="M5744" s="2"/>
    </row>
    <row r="5745" spans="1:13" x14ac:dyDescent="0.25">
      <c r="A5745" s="2"/>
      <c r="D5745" s="2"/>
      <c r="G5745" s="2"/>
      <c r="J5745" s="2"/>
      <c r="M5745" s="2"/>
    </row>
    <row r="5746" spans="1:13" x14ac:dyDescent="0.25">
      <c r="A5746" s="2"/>
      <c r="D5746" s="2"/>
      <c r="G5746" s="2"/>
      <c r="J5746" s="2"/>
      <c r="M5746" s="2"/>
    </row>
    <row r="5747" spans="1:13" x14ac:dyDescent="0.25">
      <c r="A5747" s="2"/>
      <c r="D5747" s="2"/>
      <c r="G5747" s="2"/>
      <c r="J5747" s="2"/>
      <c r="M5747" s="2"/>
    </row>
    <row r="5748" spans="1:13" x14ac:dyDescent="0.25">
      <c r="A5748" s="2"/>
      <c r="D5748" s="2"/>
      <c r="G5748" s="2"/>
      <c r="J5748" s="2"/>
      <c r="M5748" s="2"/>
    </row>
    <row r="5749" spans="1:13" x14ac:dyDescent="0.25">
      <c r="A5749" s="2"/>
      <c r="D5749" s="2"/>
      <c r="G5749" s="2"/>
      <c r="J5749" s="2"/>
      <c r="M5749" s="2"/>
    </row>
    <row r="5750" spans="1:13" x14ac:dyDescent="0.25">
      <c r="A5750" s="2"/>
      <c r="D5750" s="2"/>
      <c r="G5750" s="2"/>
      <c r="J5750" s="2"/>
      <c r="M5750" s="2"/>
    </row>
    <row r="5751" spans="1:13" x14ac:dyDescent="0.25">
      <c r="A5751" s="2"/>
      <c r="D5751" s="2"/>
      <c r="G5751" s="2"/>
      <c r="J5751" s="2"/>
      <c r="M5751" s="2"/>
    </row>
    <row r="5752" spans="1:13" x14ac:dyDescent="0.25">
      <c r="A5752" s="2"/>
      <c r="D5752" s="2"/>
      <c r="G5752" s="2"/>
      <c r="J5752" s="2"/>
      <c r="M5752" s="2"/>
    </row>
    <row r="5753" spans="1:13" x14ac:dyDescent="0.25">
      <c r="A5753" s="2"/>
      <c r="D5753" s="2"/>
      <c r="G5753" s="2"/>
      <c r="J5753" s="2"/>
      <c r="M5753" s="2"/>
    </row>
    <row r="5754" spans="1:13" x14ac:dyDescent="0.25">
      <c r="A5754" s="2"/>
      <c r="D5754" s="2"/>
      <c r="G5754" s="2"/>
      <c r="J5754" s="2"/>
      <c r="M5754" s="2"/>
    </row>
    <row r="5755" spans="1:13" x14ac:dyDescent="0.25">
      <c r="A5755" s="2"/>
      <c r="D5755" s="2"/>
      <c r="G5755" s="2"/>
      <c r="J5755" s="2"/>
      <c r="M5755" s="2"/>
    </row>
    <row r="5756" spans="1:13" x14ac:dyDescent="0.25">
      <c r="A5756" s="2"/>
      <c r="D5756" s="2"/>
      <c r="G5756" s="2"/>
      <c r="J5756" s="2"/>
      <c r="M5756" s="2"/>
    </row>
    <row r="5757" spans="1:13" x14ac:dyDescent="0.25">
      <c r="A5757" s="2"/>
      <c r="D5757" s="2"/>
      <c r="G5757" s="2"/>
      <c r="J5757" s="2"/>
      <c r="M5757" s="2"/>
    </row>
    <row r="5758" spans="1:13" x14ac:dyDescent="0.25">
      <c r="A5758" s="2"/>
      <c r="D5758" s="2"/>
      <c r="G5758" s="2"/>
      <c r="J5758" s="2"/>
      <c r="M5758" s="2"/>
    </row>
    <row r="5759" spans="1:13" x14ac:dyDescent="0.25">
      <c r="A5759" s="2"/>
      <c r="D5759" s="2"/>
      <c r="G5759" s="2"/>
      <c r="J5759" s="2"/>
      <c r="M5759" s="2"/>
    </row>
    <row r="5760" spans="1:13" x14ac:dyDescent="0.25">
      <c r="A5760" s="2"/>
      <c r="D5760" s="2"/>
      <c r="G5760" s="2"/>
      <c r="J5760" s="2"/>
      <c r="M5760" s="2"/>
    </row>
    <row r="5761" spans="1:13" x14ac:dyDescent="0.25">
      <c r="A5761" s="2"/>
      <c r="D5761" s="2"/>
      <c r="G5761" s="2"/>
      <c r="J5761" s="2"/>
      <c r="M5761" s="2"/>
    </row>
    <row r="5762" spans="1:13" x14ac:dyDescent="0.25">
      <c r="A5762" s="2"/>
      <c r="D5762" s="2"/>
      <c r="G5762" s="2"/>
      <c r="J5762" s="2"/>
      <c r="M5762" s="2"/>
    </row>
    <row r="5763" spans="1:13" x14ac:dyDescent="0.25">
      <c r="A5763" s="2"/>
      <c r="D5763" s="2"/>
      <c r="G5763" s="2"/>
      <c r="J5763" s="2"/>
      <c r="M5763" s="2"/>
    </row>
    <row r="5764" spans="1:13" x14ac:dyDescent="0.25">
      <c r="A5764" s="2"/>
      <c r="D5764" s="2"/>
      <c r="G5764" s="2"/>
      <c r="J5764" s="2"/>
      <c r="M5764" s="2"/>
    </row>
    <row r="5765" spans="1:13" x14ac:dyDescent="0.25">
      <c r="A5765" s="2"/>
      <c r="D5765" s="2"/>
      <c r="G5765" s="2"/>
      <c r="J5765" s="2"/>
      <c r="M5765" s="2"/>
    </row>
    <row r="5766" spans="1:13" x14ac:dyDescent="0.25">
      <c r="A5766" s="2"/>
      <c r="D5766" s="2"/>
      <c r="G5766" s="2"/>
      <c r="J5766" s="2"/>
      <c r="M5766" s="2"/>
    </row>
    <row r="5767" spans="1:13" x14ac:dyDescent="0.25">
      <c r="A5767" s="2"/>
      <c r="D5767" s="2"/>
      <c r="G5767" s="2"/>
      <c r="J5767" s="2"/>
      <c r="M5767" s="2"/>
    </row>
    <row r="5768" spans="1:13" x14ac:dyDescent="0.25">
      <c r="A5768" s="2"/>
      <c r="D5768" s="2"/>
      <c r="G5768" s="2"/>
      <c r="J5768" s="2"/>
      <c r="M5768" s="2"/>
    </row>
    <row r="5769" spans="1:13" x14ac:dyDescent="0.25">
      <c r="A5769" s="2"/>
      <c r="D5769" s="2"/>
      <c r="G5769" s="2"/>
      <c r="J5769" s="2"/>
      <c r="M5769" s="2"/>
    </row>
    <row r="5770" spans="1:13" x14ac:dyDescent="0.25">
      <c r="A5770" s="2"/>
      <c r="D5770" s="2"/>
      <c r="G5770" s="2"/>
      <c r="J5770" s="2"/>
      <c r="M5770" s="2"/>
    </row>
    <row r="5771" spans="1:13" x14ac:dyDescent="0.25">
      <c r="A5771" s="2"/>
      <c r="D5771" s="2"/>
      <c r="G5771" s="2"/>
      <c r="J5771" s="2"/>
      <c r="M5771" s="2"/>
    </row>
    <row r="5772" spans="1:13" x14ac:dyDescent="0.25">
      <c r="A5772" s="2"/>
      <c r="D5772" s="2"/>
      <c r="G5772" s="2"/>
      <c r="J5772" s="2"/>
      <c r="M5772" s="2"/>
    </row>
    <row r="5773" spans="1:13" x14ac:dyDescent="0.25">
      <c r="A5773" s="2"/>
      <c r="D5773" s="2"/>
      <c r="G5773" s="2"/>
      <c r="J5773" s="2"/>
      <c r="M5773" s="2"/>
    </row>
    <row r="5774" spans="1:13" x14ac:dyDescent="0.25">
      <c r="A5774" s="2"/>
      <c r="D5774" s="2"/>
      <c r="G5774" s="2"/>
      <c r="J5774" s="2"/>
      <c r="M5774" s="2"/>
    </row>
    <row r="5775" spans="1:13" x14ac:dyDescent="0.25">
      <c r="A5775" s="2"/>
      <c r="D5775" s="2"/>
      <c r="G5775" s="2"/>
      <c r="J5775" s="2"/>
      <c r="M5775" s="2"/>
    </row>
    <row r="5776" spans="1:13" x14ac:dyDescent="0.25">
      <c r="A5776" s="2"/>
      <c r="D5776" s="2"/>
      <c r="G5776" s="2"/>
      <c r="J5776" s="2"/>
      <c r="M5776" s="2"/>
    </row>
    <row r="5777" spans="1:13" x14ac:dyDescent="0.25">
      <c r="A5777" s="2"/>
      <c r="D5777" s="2"/>
      <c r="G5777" s="2"/>
      <c r="J5777" s="2"/>
      <c r="M5777" s="2"/>
    </row>
    <row r="5778" spans="1:13" x14ac:dyDescent="0.25">
      <c r="A5778" s="2"/>
      <c r="D5778" s="2"/>
      <c r="G5778" s="2"/>
      <c r="J5778" s="2"/>
      <c r="M5778" s="2"/>
    </row>
    <row r="5779" spans="1:13" x14ac:dyDescent="0.25">
      <c r="A5779" s="2"/>
      <c r="D5779" s="2"/>
      <c r="G5779" s="2"/>
      <c r="J5779" s="2"/>
      <c r="M5779" s="2"/>
    </row>
    <row r="5780" spans="1:13" x14ac:dyDescent="0.25">
      <c r="A5780" s="2"/>
      <c r="D5780" s="2"/>
      <c r="G5780" s="2"/>
      <c r="J5780" s="2"/>
      <c r="M5780" s="2"/>
    </row>
    <row r="5781" spans="1:13" x14ac:dyDescent="0.25">
      <c r="A5781" s="2"/>
      <c r="D5781" s="2"/>
      <c r="G5781" s="2"/>
      <c r="J5781" s="2"/>
      <c r="M5781" s="2"/>
    </row>
    <row r="5782" spans="1:13" x14ac:dyDescent="0.25">
      <c r="A5782" s="2"/>
      <c r="D5782" s="2"/>
      <c r="G5782" s="2"/>
      <c r="J5782" s="2"/>
      <c r="M5782" s="2"/>
    </row>
    <row r="5783" spans="1:13" x14ac:dyDescent="0.25">
      <c r="A5783" s="2"/>
      <c r="D5783" s="2"/>
      <c r="G5783" s="2"/>
      <c r="J5783" s="2"/>
      <c r="M5783" s="2"/>
    </row>
    <row r="5784" spans="1:13" x14ac:dyDescent="0.25">
      <c r="A5784" s="2"/>
      <c r="D5784" s="2"/>
      <c r="G5784" s="2"/>
      <c r="J5784" s="2"/>
      <c r="M5784" s="2"/>
    </row>
    <row r="5785" spans="1:13" x14ac:dyDescent="0.25">
      <c r="A5785" s="2"/>
      <c r="D5785" s="2"/>
      <c r="G5785" s="2"/>
      <c r="J5785" s="2"/>
      <c r="M5785" s="2"/>
    </row>
    <row r="5786" spans="1:13" x14ac:dyDescent="0.25">
      <c r="A5786" s="2"/>
      <c r="D5786" s="2"/>
      <c r="G5786" s="2"/>
      <c r="J5786" s="2"/>
      <c r="M5786" s="2"/>
    </row>
    <row r="5787" spans="1:13" x14ac:dyDescent="0.25">
      <c r="A5787" s="2"/>
      <c r="D5787" s="2"/>
      <c r="G5787" s="2"/>
      <c r="J5787" s="2"/>
      <c r="M5787" s="2"/>
    </row>
    <row r="5788" spans="1:13" x14ac:dyDescent="0.25">
      <c r="A5788" s="2"/>
      <c r="D5788" s="2"/>
      <c r="G5788" s="2"/>
      <c r="J5788" s="2"/>
      <c r="M5788" s="2"/>
    </row>
    <row r="5789" spans="1:13" x14ac:dyDescent="0.25">
      <c r="A5789" s="2"/>
      <c r="D5789" s="2"/>
      <c r="G5789" s="2"/>
      <c r="J5789" s="2"/>
      <c r="M5789" s="2"/>
    </row>
    <row r="5790" spans="1:13" x14ac:dyDescent="0.25">
      <c r="A5790" s="2"/>
      <c r="D5790" s="2"/>
      <c r="G5790" s="2"/>
      <c r="J5790" s="2"/>
      <c r="M5790" s="2"/>
    </row>
    <row r="5791" spans="1:13" x14ac:dyDescent="0.25">
      <c r="A5791" s="2"/>
      <c r="D5791" s="2"/>
      <c r="G5791" s="2"/>
      <c r="J5791" s="2"/>
      <c r="M5791" s="2"/>
    </row>
    <row r="5792" spans="1:13" x14ac:dyDescent="0.25">
      <c r="A5792" s="2"/>
      <c r="D5792" s="2"/>
      <c r="G5792" s="2"/>
      <c r="J5792" s="2"/>
      <c r="M5792" s="2"/>
    </row>
    <row r="5793" spans="1:13" x14ac:dyDescent="0.25">
      <c r="A5793" s="2"/>
      <c r="D5793" s="2"/>
      <c r="G5793" s="2"/>
      <c r="J5793" s="2"/>
      <c r="M5793" s="2"/>
    </row>
    <row r="5794" spans="1:13" x14ac:dyDescent="0.25">
      <c r="A5794" s="2"/>
      <c r="D5794" s="2"/>
      <c r="G5794" s="2"/>
      <c r="J5794" s="2"/>
      <c r="M5794" s="2"/>
    </row>
    <row r="5795" spans="1:13" x14ac:dyDescent="0.25">
      <c r="A5795" s="2"/>
      <c r="D5795" s="2"/>
      <c r="G5795" s="2"/>
      <c r="J5795" s="2"/>
      <c r="M5795" s="2"/>
    </row>
    <row r="5796" spans="1:13" x14ac:dyDescent="0.25">
      <c r="A5796" s="2"/>
      <c r="D5796" s="2"/>
      <c r="G5796" s="2"/>
      <c r="J5796" s="2"/>
      <c r="M5796" s="2"/>
    </row>
    <row r="5797" spans="1:13" x14ac:dyDescent="0.25">
      <c r="A5797" s="2"/>
      <c r="D5797" s="2"/>
      <c r="G5797" s="2"/>
      <c r="J5797" s="2"/>
      <c r="M5797" s="2"/>
    </row>
    <row r="5798" spans="1:13" x14ac:dyDescent="0.25">
      <c r="A5798" s="2"/>
      <c r="D5798" s="2"/>
      <c r="G5798" s="2"/>
      <c r="J5798" s="2"/>
      <c r="M5798" s="2"/>
    </row>
    <row r="5799" spans="1:13" x14ac:dyDescent="0.25">
      <c r="A5799" s="2"/>
      <c r="D5799" s="2"/>
      <c r="G5799" s="2"/>
      <c r="J5799" s="2"/>
      <c r="M5799" s="2"/>
    </row>
    <row r="5800" spans="1:13" x14ac:dyDescent="0.25">
      <c r="A5800" s="2"/>
      <c r="D5800" s="2"/>
      <c r="G5800" s="2"/>
      <c r="J5800" s="2"/>
      <c r="M5800" s="2"/>
    </row>
    <row r="5801" spans="1:13" x14ac:dyDescent="0.25">
      <c r="A5801" s="2"/>
      <c r="D5801" s="2"/>
      <c r="G5801" s="2"/>
      <c r="J5801" s="2"/>
      <c r="M5801" s="2"/>
    </row>
    <row r="5802" spans="1:13" x14ac:dyDescent="0.25">
      <c r="A5802" s="2"/>
      <c r="D5802" s="2"/>
      <c r="G5802" s="2"/>
      <c r="J5802" s="2"/>
      <c r="M5802" s="2"/>
    </row>
    <row r="5803" spans="1:13" x14ac:dyDescent="0.25">
      <c r="A5803" s="2"/>
      <c r="D5803" s="2"/>
      <c r="G5803" s="2"/>
      <c r="J5803" s="2"/>
      <c r="M5803" s="2"/>
    </row>
    <row r="5804" spans="1:13" x14ac:dyDescent="0.25">
      <c r="A5804" s="2"/>
      <c r="D5804" s="2"/>
      <c r="G5804" s="2"/>
      <c r="J5804" s="2"/>
      <c r="M5804" s="2"/>
    </row>
    <row r="5805" spans="1:13" x14ac:dyDescent="0.25">
      <c r="A5805" s="2"/>
      <c r="D5805" s="2"/>
      <c r="G5805" s="2"/>
      <c r="J5805" s="2"/>
      <c r="M5805" s="2"/>
    </row>
    <row r="5806" spans="1:13" x14ac:dyDescent="0.25">
      <c r="A5806" s="2"/>
      <c r="D5806" s="2"/>
      <c r="G5806" s="2"/>
      <c r="J5806" s="2"/>
      <c r="M5806" s="2"/>
    </row>
    <row r="5807" spans="1:13" x14ac:dyDescent="0.25">
      <c r="A5807" s="2"/>
      <c r="D5807" s="2"/>
      <c r="G5807" s="2"/>
      <c r="J5807" s="2"/>
      <c r="M5807" s="2"/>
    </row>
    <row r="5808" spans="1:13" x14ac:dyDescent="0.25">
      <c r="A5808" s="2"/>
      <c r="D5808" s="2"/>
      <c r="G5808" s="2"/>
      <c r="J5808" s="2"/>
      <c r="M5808" s="2"/>
    </row>
    <row r="5809" spans="1:13" x14ac:dyDescent="0.25">
      <c r="A5809" s="2"/>
      <c r="D5809" s="2"/>
      <c r="G5809" s="2"/>
      <c r="J5809" s="2"/>
      <c r="M5809" s="2"/>
    </row>
    <row r="5810" spans="1:13" x14ac:dyDescent="0.25">
      <c r="A5810" s="2"/>
      <c r="D5810" s="2"/>
      <c r="G5810" s="2"/>
      <c r="J5810" s="2"/>
      <c r="M5810" s="2"/>
    </row>
    <row r="5811" spans="1:13" x14ac:dyDescent="0.25">
      <c r="A5811" s="2"/>
      <c r="D5811" s="2"/>
      <c r="G5811" s="2"/>
      <c r="J5811" s="2"/>
      <c r="M5811" s="2"/>
    </row>
    <row r="5812" spans="1:13" x14ac:dyDescent="0.25">
      <c r="A5812" s="2"/>
      <c r="D5812" s="2"/>
      <c r="G5812" s="2"/>
      <c r="J5812" s="2"/>
      <c r="M5812" s="2"/>
    </row>
    <row r="5813" spans="1:13" x14ac:dyDescent="0.25">
      <c r="A5813" s="2"/>
      <c r="D5813" s="2"/>
      <c r="G5813" s="2"/>
      <c r="J5813" s="2"/>
      <c r="M5813" s="2"/>
    </row>
    <row r="5814" spans="1:13" x14ac:dyDescent="0.25">
      <c r="A5814" s="2"/>
      <c r="D5814" s="2"/>
      <c r="G5814" s="2"/>
      <c r="J5814" s="2"/>
      <c r="M5814" s="2"/>
    </row>
    <row r="5815" spans="1:13" x14ac:dyDescent="0.25">
      <c r="A5815" s="2"/>
      <c r="D5815" s="2"/>
      <c r="G5815" s="2"/>
      <c r="J5815" s="2"/>
      <c r="M5815" s="2"/>
    </row>
    <row r="5816" spans="1:13" x14ac:dyDescent="0.25">
      <c r="A5816" s="2"/>
      <c r="D5816" s="2"/>
      <c r="G5816" s="2"/>
      <c r="J5816" s="2"/>
      <c r="M5816" s="2"/>
    </row>
    <row r="5817" spans="1:13" x14ac:dyDescent="0.25">
      <c r="A5817" s="2"/>
      <c r="D5817" s="2"/>
      <c r="G5817" s="2"/>
      <c r="J5817" s="2"/>
      <c r="M5817" s="2"/>
    </row>
    <row r="5818" spans="1:13" x14ac:dyDescent="0.25">
      <c r="A5818" s="2"/>
      <c r="D5818" s="2"/>
      <c r="G5818" s="2"/>
      <c r="J5818" s="2"/>
      <c r="M5818" s="2"/>
    </row>
    <row r="5819" spans="1:13" x14ac:dyDescent="0.25">
      <c r="A5819" s="2"/>
      <c r="D5819" s="2"/>
      <c r="G5819" s="2"/>
      <c r="J5819" s="2"/>
      <c r="M5819" s="2"/>
    </row>
    <row r="5820" spans="1:13" x14ac:dyDescent="0.25">
      <c r="A5820" s="2"/>
      <c r="D5820" s="2"/>
      <c r="G5820" s="2"/>
      <c r="J5820" s="2"/>
      <c r="M5820" s="2"/>
    </row>
    <row r="5821" spans="1:13" x14ac:dyDescent="0.25">
      <c r="A5821" s="2"/>
      <c r="D5821" s="2"/>
      <c r="G5821" s="2"/>
      <c r="J5821" s="2"/>
      <c r="M5821" s="2"/>
    </row>
    <row r="5822" spans="1:13" x14ac:dyDescent="0.25">
      <c r="A5822" s="2"/>
      <c r="D5822" s="2"/>
      <c r="G5822" s="2"/>
      <c r="J5822" s="2"/>
      <c r="M5822" s="2"/>
    </row>
    <row r="5823" spans="1:13" x14ac:dyDescent="0.25">
      <c r="A5823" s="2"/>
      <c r="D5823" s="2"/>
      <c r="G5823" s="2"/>
      <c r="J5823" s="2"/>
      <c r="M5823" s="2"/>
    </row>
    <row r="5824" spans="1:13" x14ac:dyDescent="0.25">
      <c r="A5824" s="2"/>
      <c r="D5824" s="2"/>
      <c r="G5824" s="2"/>
      <c r="J5824" s="2"/>
      <c r="M5824" s="2"/>
    </row>
    <row r="5825" spans="1:13" x14ac:dyDescent="0.25">
      <c r="A5825" s="2"/>
      <c r="D5825" s="2"/>
      <c r="G5825" s="2"/>
      <c r="J5825" s="2"/>
      <c r="M5825" s="2"/>
    </row>
    <row r="5826" spans="1:13" x14ac:dyDescent="0.25">
      <c r="A5826" s="2"/>
      <c r="D5826" s="2"/>
      <c r="G5826" s="2"/>
      <c r="J5826" s="2"/>
      <c r="M5826" s="2"/>
    </row>
    <row r="5827" spans="1:13" x14ac:dyDescent="0.25">
      <c r="A5827" s="2"/>
      <c r="D5827" s="2"/>
      <c r="G5827" s="2"/>
      <c r="J5827" s="2"/>
      <c r="M5827" s="2"/>
    </row>
    <row r="5828" spans="1:13" x14ac:dyDescent="0.25">
      <c r="A5828" s="2"/>
      <c r="D5828" s="2"/>
      <c r="G5828" s="2"/>
      <c r="J5828" s="2"/>
      <c r="M5828" s="2"/>
    </row>
    <row r="5829" spans="1:13" x14ac:dyDescent="0.25">
      <c r="A5829" s="2"/>
      <c r="D5829" s="2"/>
      <c r="G5829" s="2"/>
      <c r="J5829" s="2"/>
      <c r="M5829" s="2"/>
    </row>
    <row r="5830" spans="1:13" x14ac:dyDescent="0.25">
      <c r="A5830" s="2"/>
      <c r="D5830" s="2"/>
      <c r="G5830" s="2"/>
      <c r="J5830" s="2"/>
      <c r="M5830" s="2"/>
    </row>
    <row r="5831" spans="1:13" x14ac:dyDescent="0.25">
      <c r="A5831" s="2"/>
      <c r="D5831" s="2"/>
      <c r="G5831" s="2"/>
      <c r="J5831" s="2"/>
      <c r="M5831" s="2"/>
    </row>
    <row r="5832" spans="1:13" x14ac:dyDescent="0.25">
      <c r="A5832" s="2"/>
      <c r="D5832" s="2"/>
      <c r="G5832" s="2"/>
      <c r="J5832" s="2"/>
      <c r="M5832" s="2"/>
    </row>
    <row r="5833" spans="1:13" x14ac:dyDescent="0.25">
      <c r="A5833" s="2"/>
      <c r="D5833" s="2"/>
      <c r="G5833" s="2"/>
      <c r="J5833" s="2"/>
      <c r="M5833" s="2"/>
    </row>
    <row r="5834" spans="1:13" x14ac:dyDescent="0.25">
      <c r="A5834" s="2"/>
      <c r="D5834" s="2"/>
      <c r="G5834" s="2"/>
      <c r="J5834" s="2"/>
      <c r="M5834" s="2"/>
    </row>
    <row r="5835" spans="1:13" x14ac:dyDescent="0.25">
      <c r="A5835" s="2"/>
      <c r="D5835" s="2"/>
      <c r="G5835" s="2"/>
      <c r="J5835" s="2"/>
      <c r="M5835" s="2"/>
    </row>
    <row r="5836" spans="1:13" x14ac:dyDescent="0.25">
      <c r="A5836" s="2"/>
      <c r="D5836" s="2"/>
      <c r="G5836" s="2"/>
      <c r="J5836" s="2"/>
      <c r="M5836" s="2"/>
    </row>
    <row r="5837" spans="1:13" x14ac:dyDescent="0.25">
      <c r="A5837" s="2"/>
      <c r="D5837" s="2"/>
      <c r="G5837" s="2"/>
      <c r="J5837" s="2"/>
      <c r="M5837" s="2"/>
    </row>
    <row r="5838" spans="1:13" x14ac:dyDescent="0.25">
      <c r="A5838" s="2"/>
      <c r="D5838" s="2"/>
      <c r="G5838" s="2"/>
      <c r="J5838" s="2"/>
      <c r="M5838" s="2"/>
    </row>
    <row r="5839" spans="1:13" x14ac:dyDescent="0.25">
      <c r="A5839" s="2"/>
      <c r="D5839" s="2"/>
      <c r="G5839" s="2"/>
      <c r="J5839" s="2"/>
      <c r="M5839" s="2"/>
    </row>
    <row r="5840" spans="1:13" x14ac:dyDescent="0.25">
      <c r="A5840" s="2"/>
      <c r="D5840" s="2"/>
      <c r="G5840" s="2"/>
      <c r="J5840" s="2"/>
      <c r="M5840" s="2"/>
    </row>
    <row r="5841" spans="1:13" x14ac:dyDescent="0.25">
      <c r="A5841" s="2"/>
      <c r="D5841" s="2"/>
      <c r="G5841" s="2"/>
      <c r="J5841" s="2"/>
      <c r="M5841" s="2"/>
    </row>
    <row r="5842" spans="1:13" x14ac:dyDescent="0.25">
      <c r="A5842" s="2"/>
      <c r="D5842" s="2"/>
      <c r="G5842" s="2"/>
      <c r="J5842" s="2"/>
      <c r="M5842" s="2"/>
    </row>
    <row r="5843" spans="1:13" x14ac:dyDescent="0.25">
      <c r="A5843" s="2"/>
      <c r="D5843" s="2"/>
      <c r="G5843" s="2"/>
      <c r="J5843" s="2"/>
      <c r="M5843" s="2"/>
    </row>
    <row r="5844" spans="1:13" x14ac:dyDescent="0.25">
      <c r="A5844" s="2"/>
      <c r="D5844" s="2"/>
      <c r="G5844" s="2"/>
      <c r="J5844" s="2"/>
      <c r="M5844" s="2"/>
    </row>
    <row r="5845" spans="1:13" x14ac:dyDescent="0.25">
      <c r="A5845" s="2"/>
      <c r="D5845" s="2"/>
      <c r="G5845" s="2"/>
      <c r="J5845" s="2"/>
      <c r="M5845" s="2"/>
    </row>
    <row r="5846" spans="1:13" x14ac:dyDescent="0.25">
      <c r="A5846" s="2"/>
      <c r="D5846" s="2"/>
      <c r="G5846" s="2"/>
      <c r="J5846" s="2"/>
      <c r="M5846" s="2"/>
    </row>
    <row r="5847" spans="1:13" x14ac:dyDescent="0.25">
      <c r="A5847" s="2"/>
      <c r="D5847" s="2"/>
      <c r="G5847" s="2"/>
      <c r="J5847" s="2"/>
      <c r="M5847" s="2"/>
    </row>
    <row r="5848" spans="1:13" x14ac:dyDescent="0.25">
      <c r="A5848" s="2"/>
      <c r="D5848" s="2"/>
      <c r="G5848" s="2"/>
      <c r="J5848" s="2"/>
      <c r="M5848" s="2"/>
    </row>
    <row r="5849" spans="1:13" x14ac:dyDescent="0.25">
      <c r="A5849" s="2"/>
      <c r="D5849" s="2"/>
      <c r="G5849" s="2"/>
      <c r="J5849" s="2"/>
      <c r="M5849" s="2"/>
    </row>
    <row r="5850" spans="1:13" x14ac:dyDescent="0.25">
      <c r="A5850" s="2"/>
      <c r="D5850" s="2"/>
      <c r="G5850" s="2"/>
      <c r="J5850" s="2"/>
      <c r="M5850" s="2"/>
    </row>
    <row r="5851" spans="1:13" x14ac:dyDescent="0.25">
      <c r="A5851" s="2"/>
      <c r="D5851" s="2"/>
      <c r="G5851" s="2"/>
      <c r="J5851" s="2"/>
      <c r="M5851" s="2"/>
    </row>
    <row r="5852" spans="1:13" x14ac:dyDescent="0.25">
      <c r="A5852" s="2"/>
      <c r="D5852" s="2"/>
      <c r="G5852" s="2"/>
      <c r="J5852" s="2"/>
      <c r="M5852" s="2"/>
    </row>
    <row r="5853" spans="1:13" x14ac:dyDescent="0.25">
      <c r="A5853" s="2"/>
      <c r="D5853" s="2"/>
      <c r="G5853" s="2"/>
      <c r="J5853" s="2"/>
      <c r="M5853" s="2"/>
    </row>
    <row r="5854" spans="1:13" x14ac:dyDescent="0.25">
      <c r="A5854" s="2"/>
      <c r="D5854" s="2"/>
      <c r="G5854" s="2"/>
      <c r="J5854" s="2"/>
      <c r="M5854" s="2"/>
    </row>
    <row r="5855" spans="1:13" x14ac:dyDescent="0.25">
      <c r="A5855" s="2"/>
      <c r="D5855" s="2"/>
      <c r="G5855" s="2"/>
      <c r="J5855" s="2"/>
      <c r="M5855" s="2"/>
    </row>
    <row r="5856" spans="1:13" x14ac:dyDescent="0.25">
      <c r="A5856" s="2"/>
      <c r="D5856" s="2"/>
      <c r="G5856" s="2"/>
      <c r="J5856" s="2"/>
      <c r="M5856" s="2"/>
    </row>
    <row r="5857" spans="1:13" x14ac:dyDescent="0.25">
      <c r="A5857" s="2"/>
      <c r="D5857" s="2"/>
      <c r="G5857" s="2"/>
      <c r="J5857" s="2"/>
      <c r="M5857" s="2"/>
    </row>
    <row r="5858" spans="1:13" x14ac:dyDescent="0.25">
      <c r="A5858" s="2"/>
      <c r="D5858" s="2"/>
      <c r="G5858" s="2"/>
      <c r="J5858" s="2"/>
      <c r="M5858" s="2"/>
    </row>
    <row r="5859" spans="1:13" x14ac:dyDescent="0.25">
      <c r="A5859" s="2"/>
      <c r="D5859" s="2"/>
      <c r="G5859" s="2"/>
      <c r="J5859" s="2"/>
      <c r="M5859" s="2"/>
    </row>
    <row r="5860" spans="1:13" x14ac:dyDescent="0.25">
      <c r="A5860" s="2"/>
      <c r="D5860" s="2"/>
      <c r="G5860" s="2"/>
      <c r="J5860" s="2"/>
      <c r="M5860" s="2"/>
    </row>
    <row r="5861" spans="1:13" x14ac:dyDescent="0.25">
      <c r="A5861" s="2"/>
      <c r="D5861" s="2"/>
      <c r="G5861" s="2"/>
      <c r="J5861" s="2"/>
      <c r="M5861" s="2"/>
    </row>
    <row r="5862" spans="1:13" x14ac:dyDescent="0.25">
      <c r="A5862" s="2"/>
      <c r="D5862" s="2"/>
      <c r="G5862" s="2"/>
      <c r="J5862" s="2"/>
      <c r="M5862" s="2"/>
    </row>
    <row r="5863" spans="1:13" x14ac:dyDescent="0.25">
      <c r="A5863" s="2"/>
      <c r="D5863" s="2"/>
      <c r="G5863" s="2"/>
      <c r="J5863" s="2"/>
      <c r="M5863" s="2"/>
    </row>
    <row r="5864" spans="1:13" x14ac:dyDescent="0.25">
      <c r="A5864" s="2"/>
      <c r="D5864" s="2"/>
      <c r="G5864" s="2"/>
      <c r="J5864" s="2"/>
      <c r="M5864" s="2"/>
    </row>
    <row r="5865" spans="1:13" x14ac:dyDescent="0.25">
      <c r="A5865" s="2"/>
      <c r="D5865" s="2"/>
      <c r="G5865" s="2"/>
      <c r="J5865" s="2"/>
      <c r="M5865" s="2"/>
    </row>
    <row r="5866" spans="1:13" x14ac:dyDescent="0.25">
      <c r="A5866" s="2"/>
      <c r="D5866" s="2"/>
      <c r="G5866" s="2"/>
      <c r="J5866" s="2"/>
      <c r="M5866" s="2"/>
    </row>
    <row r="5867" spans="1:13" x14ac:dyDescent="0.25">
      <c r="A5867" s="2"/>
      <c r="D5867" s="2"/>
      <c r="G5867" s="2"/>
      <c r="J5867" s="2"/>
      <c r="M5867" s="2"/>
    </row>
    <row r="5868" spans="1:13" x14ac:dyDescent="0.25">
      <c r="A5868" s="2"/>
      <c r="D5868" s="2"/>
      <c r="G5868" s="2"/>
      <c r="J5868" s="2"/>
      <c r="M5868" s="2"/>
    </row>
    <row r="5869" spans="1:13" x14ac:dyDescent="0.25">
      <c r="A5869" s="2"/>
      <c r="D5869" s="2"/>
      <c r="G5869" s="2"/>
      <c r="J5869" s="2"/>
      <c r="M5869" s="2"/>
    </row>
    <row r="5870" spans="1:13" x14ac:dyDescent="0.25">
      <c r="A5870" s="2"/>
      <c r="D5870" s="2"/>
      <c r="G5870" s="2"/>
      <c r="J5870" s="2"/>
      <c r="M5870" s="2"/>
    </row>
    <row r="5871" spans="1:13" x14ac:dyDescent="0.25">
      <c r="A5871" s="2"/>
      <c r="D5871" s="2"/>
      <c r="G5871" s="2"/>
      <c r="J5871" s="2"/>
      <c r="M5871" s="2"/>
    </row>
    <row r="5872" spans="1:13" x14ac:dyDescent="0.25">
      <c r="A5872" s="2"/>
      <c r="D5872" s="2"/>
      <c r="G5872" s="2"/>
      <c r="J5872" s="2"/>
      <c r="M5872" s="2"/>
    </row>
    <row r="5873" spans="1:13" x14ac:dyDescent="0.25">
      <c r="A5873" s="2"/>
      <c r="D5873" s="2"/>
      <c r="G5873" s="2"/>
      <c r="J5873" s="2"/>
      <c r="M5873" s="2"/>
    </row>
    <row r="5874" spans="1:13" x14ac:dyDescent="0.25">
      <c r="A5874" s="2"/>
      <c r="D5874" s="2"/>
      <c r="G5874" s="2"/>
      <c r="J5874" s="2"/>
      <c r="M5874" s="2"/>
    </row>
    <row r="5875" spans="1:13" x14ac:dyDescent="0.25">
      <c r="A5875" s="2"/>
      <c r="D5875" s="2"/>
      <c r="G5875" s="2"/>
      <c r="J5875" s="2"/>
      <c r="M5875" s="2"/>
    </row>
    <row r="5876" spans="1:13" x14ac:dyDescent="0.25">
      <c r="A5876" s="2"/>
      <c r="D5876" s="2"/>
      <c r="G5876" s="2"/>
      <c r="J5876" s="2"/>
      <c r="M5876" s="2"/>
    </row>
    <row r="5877" spans="1:13" x14ac:dyDescent="0.25">
      <c r="A5877" s="2"/>
      <c r="D5877" s="2"/>
      <c r="G5877" s="2"/>
      <c r="J5877" s="2"/>
      <c r="M5877" s="2"/>
    </row>
    <row r="5878" spans="1:13" x14ac:dyDescent="0.25">
      <c r="A5878" s="2"/>
      <c r="D5878" s="2"/>
      <c r="G5878" s="2"/>
      <c r="J5878" s="2"/>
      <c r="M5878" s="2"/>
    </row>
    <row r="5879" spans="1:13" x14ac:dyDescent="0.25">
      <c r="A5879" s="2"/>
      <c r="D5879" s="2"/>
      <c r="G5879" s="2"/>
      <c r="J5879" s="2"/>
      <c r="M5879" s="2"/>
    </row>
    <row r="5880" spans="1:13" x14ac:dyDescent="0.25">
      <c r="A5880" s="2"/>
      <c r="D5880" s="2"/>
      <c r="G5880" s="2"/>
      <c r="J5880" s="2"/>
      <c r="M5880" s="2"/>
    </row>
    <row r="5881" spans="1:13" x14ac:dyDescent="0.25">
      <c r="A5881" s="2"/>
      <c r="D5881" s="2"/>
      <c r="G5881" s="2"/>
      <c r="J5881" s="2"/>
      <c r="M5881" s="2"/>
    </row>
    <row r="5882" spans="1:13" x14ac:dyDescent="0.25">
      <c r="A5882" s="2"/>
      <c r="D5882" s="2"/>
      <c r="G5882" s="2"/>
      <c r="J5882" s="2"/>
      <c r="M5882" s="2"/>
    </row>
    <row r="5883" spans="1:13" x14ac:dyDescent="0.25">
      <c r="A5883" s="2"/>
      <c r="D5883" s="2"/>
      <c r="G5883" s="2"/>
      <c r="J5883" s="2"/>
      <c r="M5883" s="2"/>
    </row>
    <row r="5884" spans="1:13" x14ac:dyDescent="0.25">
      <c r="A5884" s="2"/>
      <c r="D5884" s="2"/>
      <c r="G5884" s="2"/>
      <c r="J5884" s="2"/>
      <c r="M5884" s="2"/>
    </row>
    <row r="5885" spans="1:13" x14ac:dyDescent="0.25">
      <c r="A5885" s="2"/>
      <c r="D5885" s="2"/>
      <c r="G5885" s="2"/>
      <c r="J5885" s="2"/>
      <c r="M5885" s="2"/>
    </row>
    <row r="5886" spans="1:13" x14ac:dyDescent="0.25">
      <c r="A5886" s="2"/>
      <c r="D5886" s="2"/>
      <c r="G5886" s="2"/>
      <c r="J5886" s="2"/>
      <c r="M5886" s="2"/>
    </row>
    <row r="5887" spans="1:13" x14ac:dyDescent="0.25">
      <c r="A5887" s="2"/>
      <c r="D5887" s="2"/>
      <c r="G5887" s="2"/>
      <c r="J5887" s="2"/>
      <c r="M5887" s="2"/>
    </row>
    <row r="5888" spans="1:13" x14ac:dyDescent="0.25">
      <c r="A5888" s="2"/>
      <c r="D5888" s="2"/>
      <c r="G5888" s="2"/>
      <c r="J5888" s="2"/>
      <c r="M5888" s="2"/>
    </row>
    <row r="5889" spans="1:13" x14ac:dyDescent="0.25">
      <c r="A5889" s="2"/>
      <c r="D5889" s="2"/>
      <c r="G5889" s="2"/>
      <c r="J5889" s="2"/>
      <c r="M5889" s="2"/>
    </row>
    <row r="5890" spans="1:13" x14ac:dyDescent="0.25">
      <c r="A5890" s="2"/>
      <c r="D5890" s="2"/>
      <c r="G5890" s="2"/>
      <c r="J5890" s="2"/>
      <c r="M5890" s="2"/>
    </row>
    <row r="5891" spans="1:13" x14ac:dyDescent="0.25">
      <c r="A5891" s="2"/>
      <c r="D5891" s="2"/>
      <c r="G5891" s="2"/>
      <c r="J5891" s="2"/>
      <c r="M5891" s="2"/>
    </row>
    <row r="5892" spans="1:13" x14ac:dyDescent="0.25">
      <c r="A5892" s="2"/>
      <c r="D5892" s="2"/>
      <c r="G5892" s="2"/>
      <c r="J5892" s="2"/>
      <c r="M5892" s="2"/>
    </row>
    <row r="5893" spans="1:13" x14ac:dyDescent="0.25">
      <c r="A5893" s="2"/>
      <c r="D5893" s="2"/>
      <c r="G5893" s="2"/>
      <c r="J5893" s="2"/>
      <c r="M5893" s="2"/>
    </row>
    <row r="5894" spans="1:13" x14ac:dyDescent="0.25">
      <c r="A5894" s="2"/>
      <c r="D5894" s="2"/>
      <c r="G5894" s="2"/>
      <c r="J5894" s="2"/>
      <c r="M5894" s="2"/>
    </row>
    <row r="5895" spans="1:13" x14ac:dyDescent="0.25">
      <c r="A5895" s="2"/>
      <c r="D5895" s="2"/>
      <c r="G5895" s="2"/>
      <c r="J5895" s="2"/>
      <c r="M5895" s="2"/>
    </row>
    <row r="5896" spans="1:13" x14ac:dyDescent="0.25">
      <c r="A5896" s="2"/>
      <c r="D5896" s="2"/>
      <c r="G5896" s="2"/>
      <c r="J5896" s="2"/>
      <c r="M5896" s="2"/>
    </row>
    <row r="5897" spans="1:13" x14ac:dyDescent="0.25">
      <c r="A5897" s="2"/>
      <c r="D5897" s="2"/>
      <c r="G5897" s="2"/>
      <c r="J5897" s="2"/>
      <c r="M5897" s="2"/>
    </row>
    <row r="5898" spans="1:13" x14ac:dyDescent="0.25">
      <c r="A5898" s="2"/>
      <c r="D5898" s="2"/>
      <c r="G5898" s="2"/>
      <c r="J5898" s="2"/>
      <c r="M5898" s="2"/>
    </row>
    <row r="5899" spans="1:13" x14ac:dyDescent="0.25">
      <c r="A5899" s="2"/>
      <c r="D5899" s="2"/>
      <c r="G5899" s="2"/>
      <c r="J5899" s="2"/>
      <c r="M5899" s="2"/>
    </row>
    <row r="5900" spans="1:13" x14ac:dyDescent="0.25">
      <c r="A5900" s="2"/>
      <c r="D5900" s="2"/>
      <c r="G5900" s="2"/>
      <c r="J5900" s="2"/>
      <c r="M5900" s="2"/>
    </row>
    <row r="5901" spans="1:13" x14ac:dyDescent="0.25">
      <c r="A5901" s="2"/>
      <c r="D5901" s="2"/>
      <c r="G5901" s="2"/>
      <c r="J5901" s="2"/>
      <c r="M5901" s="2"/>
    </row>
    <row r="5902" spans="1:13" x14ac:dyDescent="0.25">
      <c r="A5902" s="2"/>
      <c r="D5902" s="2"/>
      <c r="G5902" s="2"/>
      <c r="J5902" s="2"/>
      <c r="M5902" s="2"/>
    </row>
    <row r="5903" spans="1:13" x14ac:dyDescent="0.25">
      <c r="A5903" s="2"/>
      <c r="D5903" s="2"/>
      <c r="G5903" s="2"/>
      <c r="J5903" s="2"/>
      <c r="M5903" s="2"/>
    </row>
    <row r="5904" spans="1:13" x14ac:dyDescent="0.25">
      <c r="A5904" s="2"/>
      <c r="D5904" s="2"/>
      <c r="G5904" s="2"/>
      <c r="J5904" s="2"/>
      <c r="M5904" s="2"/>
    </row>
    <row r="5905" spans="1:13" x14ac:dyDescent="0.25">
      <c r="A5905" s="2"/>
      <c r="D5905" s="2"/>
      <c r="G5905" s="2"/>
      <c r="J5905" s="2"/>
      <c r="M5905" s="2"/>
    </row>
    <row r="5906" spans="1:13" x14ac:dyDescent="0.25">
      <c r="A5906" s="2"/>
      <c r="D5906" s="2"/>
      <c r="G5906" s="2"/>
      <c r="J5906" s="2"/>
      <c r="M5906" s="2"/>
    </row>
    <row r="5907" spans="1:13" x14ac:dyDescent="0.25">
      <c r="A5907" s="2"/>
      <c r="D5907" s="2"/>
      <c r="G5907" s="2"/>
      <c r="J5907" s="2"/>
      <c r="M5907" s="2"/>
    </row>
    <row r="5908" spans="1:13" x14ac:dyDescent="0.25">
      <c r="A5908" s="2"/>
      <c r="D5908" s="2"/>
      <c r="G5908" s="2"/>
      <c r="J5908" s="2"/>
      <c r="M5908" s="2"/>
    </row>
    <row r="5909" spans="1:13" x14ac:dyDescent="0.25">
      <c r="A5909" s="2"/>
      <c r="D5909" s="2"/>
      <c r="G5909" s="2"/>
      <c r="J5909" s="2"/>
      <c r="M5909" s="2"/>
    </row>
    <row r="5910" spans="1:13" x14ac:dyDescent="0.25">
      <c r="A5910" s="2"/>
      <c r="D5910" s="2"/>
      <c r="G5910" s="2"/>
      <c r="J5910" s="2"/>
      <c r="M5910" s="2"/>
    </row>
    <row r="5911" spans="1:13" x14ac:dyDescent="0.25">
      <c r="A5911" s="2"/>
      <c r="D5911" s="2"/>
      <c r="G5911" s="2"/>
      <c r="J5911" s="2"/>
      <c r="M5911" s="2"/>
    </row>
    <row r="5912" spans="1:13" x14ac:dyDescent="0.25">
      <c r="A5912" s="2"/>
      <c r="D5912" s="2"/>
      <c r="G5912" s="2"/>
      <c r="J5912" s="2"/>
      <c r="M5912" s="2"/>
    </row>
    <row r="5913" spans="1:13" x14ac:dyDescent="0.25">
      <c r="A5913" s="2"/>
      <c r="D5913" s="2"/>
      <c r="G5913" s="2"/>
      <c r="J5913" s="2"/>
      <c r="M5913" s="2"/>
    </row>
    <row r="5914" spans="1:13" x14ac:dyDescent="0.25">
      <c r="A5914" s="2"/>
      <c r="D5914" s="2"/>
      <c r="G5914" s="2"/>
      <c r="J5914" s="2"/>
      <c r="M5914" s="2"/>
    </row>
    <row r="5915" spans="1:13" x14ac:dyDescent="0.25">
      <c r="A5915" s="2"/>
      <c r="D5915" s="2"/>
      <c r="G5915" s="2"/>
      <c r="J5915" s="2"/>
      <c r="M5915" s="2"/>
    </row>
    <row r="5916" spans="1:13" x14ac:dyDescent="0.25">
      <c r="A5916" s="2"/>
      <c r="D5916" s="2"/>
      <c r="G5916" s="2"/>
      <c r="J5916" s="2"/>
      <c r="M5916" s="2"/>
    </row>
    <row r="5917" spans="1:13" x14ac:dyDescent="0.25">
      <c r="A5917" s="2"/>
      <c r="D5917" s="2"/>
      <c r="G5917" s="2"/>
      <c r="J5917" s="2"/>
      <c r="M5917" s="2"/>
    </row>
    <row r="5918" spans="1:13" x14ac:dyDescent="0.25">
      <c r="A5918" s="2"/>
      <c r="D5918" s="2"/>
      <c r="G5918" s="2"/>
      <c r="J5918" s="2"/>
      <c r="M5918" s="2"/>
    </row>
    <row r="5919" spans="1:13" x14ac:dyDescent="0.25">
      <c r="A5919" s="2"/>
      <c r="D5919" s="2"/>
      <c r="G5919" s="2"/>
      <c r="J5919" s="2"/>
      <c r="M5919" s="2"/>
    </row>
    <row r="5920" spans="1:13" x14ac:dyDescent="0.25">
      <c r="A5920" s="2"/>
      <c r="D5920" s="2"/>
      <c r="G5920" s="2"/>
      <c r="J5920" s="2"/>
      <c r="M5920" s="2"/>
    </row>
    <row r="5921" spans="1:13" x14ac:dyDescent="0.25">
      <c r="A5921" s="2"/>
      <c r="D5921" s="2"/>
      <c r="G5921" s="2"/>
      <c r="J5921" s="2"/>
      <c r="M5921" s="2"/>
    </row>
    <row r="5922" spans="1:13" x14ac:dyDescent="0.25">
      <c r="A5922" s="2"/>
      <c r="D5922" s="2"/>
      <c r="G5922" s="2"/>
      <c r="J5922" s="2"/>
      <c r="M5922" s="2"/>
    </row>
    <row r="5923" spans="1:13" x14ac:dyDescent="0.25">
      <c r="A5923" s="2"/>
      <c r="D5923" s="2"/>
      <c r="G5923" s="2"/>
      <c r="J5923" s="2"/>
      <c r="M5923" s="2"/>
    </row>
    <row r="5924" spans="1:13" x14ac:dyDescent="0.25">
      <c r="A5924" s="2"/>
      <c r="D5924" s="2"/>
      <c r="G5924" s="2"/>
      <c r="J5924" s="2"/>
      <c r="M5924" s="2"/>
    </row>
    <row r="5925" spans="1:13" x14ac:dyDescent="0.25">
      <c r="A5925" s="2"/>
      <c r="D5925" s="2"/>
      <c r="G5925" s="2"/>
      <c r="J5925" s="2"/>
      <c r="M5925" s="2"/>
    </row>
    <row r="5926" spans="1:13" x14ac:dyDescent="0.25">
      <c r="A5926" s="2"/>
      <c r="D5926" s="2"/>
      <c r="G5926" s="2"/>
      <c r="J5926" s="2"/>
      <c r="M5926" s="2"/>
    </row>
    <row r="5927" spans="1:13" x14ac:dyDescent="0.25">
      <c r="A5927" s="2"/>
      <c r="D5927" s="2"/>
      <c r="G5927" s="2"/>
      <c r="J5927" s="2"/>
      <c r="M5927" s="2"/>
    </row>
    <row r="5928" spans="1:13" x14ac:dyDescent="0.25">
      <c r="A5928" s="2"/>
      <c r="D5928" s="2"/>
      <c r="G5928" s="2"/>
      <c r="J5928" s="2"/>
      <c r="M5928" s="2"/>
    </row>
    <row r="5929" spans="1:13" x14ac:dyDescent="0.25">
      <c r="A5929" s="2"/>
      <c r="D5929" s="2"/>
      <c r="G5929" s="2"/>
      <c r="J5929" s="2"/>
      <c r="M5929" s="2"/>
    </row>
    <row r="5930" spans="1:13" x14ac:dyDescent="0.25">
      <c r="A5930" s="2"/>
      <c r="D5930" s="2"/>
      <c r="G5930" s="2"/>
      <c r="J5930" s="2"/>
      <c r="M5930" s="2"/>
    </row>
    <row r="5931" spans="1:13" x14ac:dyDescent="0.25">
      <c r="A5931" s="2"/>
      <c r="D5931" s="2"/>
      <c r="G5931" s="2"/>
      <c r="J5931" s="2"/>
      <c r="M5931" s="2"/>
    </row>
    <row r="5932" spans="1:13" x14ac:dyDescent="0.25">
      <c r="A5932" s="2"/>
      <c r="D5932" s="2"/>
      <c r="G5932" s="2"/>
      <c r="J5932" s="2"/>
      <c r="M5932" s="2"/>
    </row>
    <row r="5933" spans="1:13" x14ac:dyDescent="0.25">
      <c r="A5933" s="2"/>
      <c r="D5933" s="2"/>
      <c r="G5933" s="2"/>
      <c r="J5933" s="2"/>
      <c r="M5933" s="2"/>
    </row>
    <row r="5934" spans="1:13" x14ac:dyDescent="0.25">
      <c r="A5934" s="2"/>
      <c r="D5934" s="2"/>
      <c r="G5934" s="2"/>
      <c r="J5934" s="2"/>
      <c r="M5934" s="2"/>
    </row>
    <row r="5935" spans="1:13" x14ac:dyDescent="0.25">
      <c r="A5935" s="2"/>
      <c r="D5935" s="2"/>
      <c r="G5935" s="2"/>
      <c r="J5935" s="2"/>
      <c r="M5935" s="2"/>
    </row>
    <row r="5936" spans="1:13" x14ac:dyDescent="0.25">
      <c r="A5936" s="2"/>
      <c r="D5936" s="2"/>
      <c r="G5936" s="2"/>
      <c r="J5936" s="2"/>
      <c r="M5936" s="2"/>
    </row>
    <row r="5937" spans="1:13" x14ac:dyDescent="0.25">
      <c r="A5937" s="2"/>
      <c r="D5937" s="2"/>
      <c r="G5937" s="2"/>
      <c r="J5937" s="2"/>
      <c r="M5937" s="2"/>
    </row>
    <row r="5938" spans="1:13" x14ac:dyDescent="0.25">
      <c r="A5938" s="2"/>
      <c r="D5938" s="2"/>
      <c r="G5938" s="2"/>
      <c r="J5938" s="2"/>
      <c r="M5938" s="2"/>
    </row>
    <row r="5939" spans="1:13" x14ac:dyDescent="0.25">
      <c r="A5939" s="2"/>
      <c r="D5939" s="2"/>
      <c r="G5939" s="2"/>
      <c r="J5939" s="2"/>
      <c r="M5939" s="2"/>
    </row>
    <row r="5940" spans="1:13" x14ac:dyDescent="0.25">
      <c r="A5940" s="2"/>
      <c r="D5940" s="2"/>
      <c r="G5940" s="2"/>
      <c r="J5940" s="2"/>
      <c r="M5940" s="2"/>
    </row>
    <row r="5941" spans="1:13" x14ac:dyDescent="0.25">
      <c r="A5941" s="2"/>
      <c r="D5941" s="2"/>
      <c r="G5941" s="2"/>
      <c r="J5941" s="2"/>
      <c r="M5941" s="2"/>
    </row>
    <row r="5942" spans="1:13" x14ac:dyDescent="0.25">
      <c r="A5942" s="2"/>
      <c r="D5942" s="2"/>
      <c r="G5942" s="2"/>
      <c r="J5942" s="2"/>
      <c r="M5942" s="2"/>
    </row>
    <row r="5943" spans="1:13" x14ac:dyDescent="0.25">
      <c r="A5943" s="2"/>
      <c r="D5943" s="2"/>
      <c r="G5943" s="2"/>
      <c r="J5943" s="2"/>
      <c r="M5943" s="2"/>
    </row>
    <row r="5944" spans="1:13" x14ac:dyDescent="0.25">
      <c r="A5944" s="2"/>
      <c r="D5944" s="2"/>
      <c r="G5944" s="2"/>
      <c r="J5944" s="2"/>
      <c r="M5944" s="2"/>
    </row>
    <row r="5945" spans="1:13" x14ac:dyDescent="0.25">
      <c r="A5945" s="2"/>
      <c r="D5945" s="2"/>
      <c r="G5945" s="2"/>
      <c r="J5945" s="2"/>
      <c r="M5945" s="2"/>
    </row>
    <row r="5946" spans="1:13" x14ac:dyDescent="0.25">
      <c r="A5946" s="2"/>
      <c r="D5946" s="2"/>
      <c r="G5946" s="2"/>
      <c r="J5946" s="2"/>
      <c r="M5946" s="2"/>
    </row>
    <row r="5947" spans="1:13" x14ac:dyDescent="0.25">
      <c r="A5947" s="2"/>
      <c r="D5947" s="2"/>
      <c r="G5947" s="2"/>
      <c r="J5947" s="2"/>
      <c r="M5947" s="2"/>
    </row>
    <row r="5948" spans="1:13" x14ac:dyDescent="0.25">
      <c r="A5948" s="2"/>
      <c r="D5948" s="2"/>
      <c r="G5948" s="2"/>
      <c r="J5948" s="2"/>
      <c r="M5948" s="2"/>
    </row>
    <row r="5949" spans="1:13" x14ac:dyDescent="0.25">
      <c r="A5949" s="2"/>
      <c r="D5949" s="2"/>
      <c r="G5949" s="2"/>
      <c r="J5949" s="2"/>
      <c r="M5949" s="2"/>
    </row>
    <row r="5950" spans="1:13" x14ac:dyDescent="0.25">
      <c r="A5950" s="2"/>
      <c r="D5950" s="2"/>
      <c r="G5950" s="2"/>
      <c r="J5950" s="2"/>
      <c r="M5950" s="2"/>
    </row>
    <row r="5951" spans="1:13" x14ac:dyDescent="0.25">
      <c r="A5951" s="2"/>
      <c r="D5951" s="2"/>
      <c r="G5951" s="2"/>
      <c r="J5951" s="2"/>
      <c r="M5951" s="2"/>
    </row>
    <row r="5952" spans="1:13" x14ac:dyDescent="0.25">
      <c r="A5952" s="2"/>
      <c r="D5952" s="2"/>
      <c r="G5952" s="2"/>
      <c r="J5952" s="2"/>
      <c r="M5952" s="2"/>
    </row>
    <row r="5953" spans="1:13" x14ac:dyDescent="0.25">
      <c r="A5953" s="2"/>
      <c r="D5953" s="2"/>
      <c r="G5953" s="2"/>
      <c r="J5953" s="2"/>
      <c r="M5953" s="2"/>
    </row>
    <row r="5954" spans="1:13" x14ac:dyDescent="0.25">
      <c r="A5954" s="2"/>
      <c r="D5954" s="2"/>
      <c r="G5954" s="2"/>
      <c r="J5954" s="2"/>
      <c r="M5954" s="2"/>
    </row>
    <row r="5955" spans="1:13" x14ac:dyDescent="0.25">
      <c r="A5955" s="2"/>
      <c r="D5955" s="2"/>
      <c r="G5955" s="2"/>
      <c r="J5955" s="2"/>
      <c r="M5955" s="2"/>
    </row>
    <row r="5956" spans="1:13" x14ac:dyDescent="0.25">
      <c r="A5956" s="2"/>
      <c r="D5956" s="2"/>
      <c r="G5956" s="2"/>
      <c r="J5956" s="2"/>
      <c r="M5956" s="2"/>
    </row>
    <row r="5957" spans="1:13" x14ac:dyDescent="0.25">
      <c r="A5957" s="2"/>
      <c r="D5957" s="2"/>
      <c r="G5957" s="2"/>
      <c r="J5957" s="2"/>
      <c r="M5957" s="2"/>
    </row>
    <row r="5958" spans="1:13" x14ac:dyDescent="0.25">
      <c r="A5958" s="2"/>
      <c r="D5958" s="2"/>
      <c r="G5958" s="2"/>
      <c r="J5958" s="2"/>
      <c r="M5958" s="2"/>
    </row>
    <row r="5959" spans="1:13" x14ac:dyDescent="0.25">
      <c r="A5959" s="2"/>
      <c r="D5959" s="2"/>
      <c r="G5959" s="2"/>
      <c r="J5959" s="2"/>
      <c r="M5959" s="2"/>
    </row>
    <row r="5960" spans="1:13" x14ac:dyDescent="0.25">
      <c r="A5960" s="2"/>
      <c r="D5960" s="2"/>
      <c r="G5960" s="2"/>
      <c r="J5960" s="2"/>
      <c r="M5960" s="2"/>
    </row>
    <row r="5961" spans="1:13" x14ac:dyDescent="0.25">
      <c r="A5961" s="2"/>
      <c r="D5961" s="2"/>
      <c r="G5961" s="2"/>
      <c r="J5961" s="2"/>
      <c r="M5961" s="2"/>
    </row>
    <row r="5962" spans="1:13" x14ac:dyDescent="0.25">
      <c r="A5962" s="2"/>
      <c r="D5962" s="2"/>
      <c r="G5962" s="2"/>
      <c r="J5962" s="2"/>
      <c r="M5962" s="2"/>
    </row>
    <row r="5963" spans="1:13" x14ac:dyDescent="0.25">
      <c r="A5963" s="2"/>
      <c r="D5963" s="2"/>
      <c r="G5963" s="2"/>
      <c r="J5963" s="2"/>
      <c r="M5963" s="2"/>
    </row>
    <row r="5964" spans="1:13" x14ac:dyDescent="0.25">
      <c r="A5964" s="2"/>
      <c r="D5964" s="2"/>
      <c r="G5964" s="2"/>
      <c r="J5964" s="2"/>
      <c r="M5964" s="2"/>
    </row>
    <row r="5965" spans="1:13" x14ac:dyDescent="0.25">
      <c r="A5965" s="2"/>
      <c r="D5965" s="2"/>
      <c r="G5965" s="2"/>
      <c r="J5965" s="2"/>
      <c r="M5965" s="2"/>
    </row>
    <row r="5966" spans="1:13" x14ac:dyDescent="0.25">
      <c r="A5966" s="2"/>
      <c r="D5966" s="2"/>
      <c r="G5966" s="2"/>
      <c r="J5966" s="2"/>
      <c r="M5966" s="2"/>
    </row>
    <row r="5967" spans="1:13" x14ac:dyDescent="0.25">
      <c r="A5967" s="2"/>
      <c r="D5967" s="2"/>
      <c r="G5967" s="2"/>
      <c r="J5967" s="2"/>
      <c r="M5967" s="2"/>
    </row>
    <row r="5968" spans="1:13" x14ac:dyDescent="0.25">
      <c r="A5968" s="2"/>
      <c r="D5968" s="2"/>
      <c r="G5968" s="2"/>
      <c r="J5968" s="2"/>
      <c r="M5968" s="2"/>
    </row>
    <row r="5969" spans="1:13" x14ac:dyDescent="0.25">
      <c r="A5969" s="2"/>
      <c r="D5969" s="2"/>
      <c r="G5969" s="2"/>
      <c r="J5969" s="2"/>
      <c r="M5969" s="2"/>
    </row>
    <row r="5970" spans="1:13" x14ac:dyDescent="0.25">
      <c r="A5970" s="2"/>
      <c r="D5970" s="2"/>
      <c r="G5970" s="2"/>
      <c r="J5970" s="2"/>
      <c r="M5970" s="2"/>
    </row>
    <row r="5971" spans="1:13" x14ac:dyDescent="0.25">
      <c r="A5971" s="2"/>
      <c r="D5971" s="2"/>
      <c r="G5971" s="2"/>
      <c r="J5971" s="2"/>
      <c r="M5971" s="2"/>
    </row>
    <row r="5972" spans="1:13" x14ac:dyDescent="0.25">
      <c r="A5972" s="2"/>
      <c r="D5972" s="2"/>
      <c r="G5972" s="2"/>
      <c r="J5972" s="2"/>
      <c r="M5972" s="2"/>
    </row>
    <row r="5973" spans="1:13" x14ac:dyDescent="0.25">
      <c r="A5973" s="2"/>
      <c r="D5973" s="2"/>
      <c r="G5973" s="2"/>
      <c r="J5973" s="2"/>
      <c r="M5973" s="2"/>
    </row>
    <row r="5974" spans="1:13" x14ac:dyDescent="0.25">
      <c r="A5974" s="2"/>
      <c r="D5974" s="2"/>
      <c r="G5974" s="2"/>
      <c r="J5974" s="2"/>
      <c r="M5974" s="2"/>
    </row>
    <row r="5975" spans="1:13" x14ac:dyDescent="0.25">
      <c r="A5975" s="2"/>
      <c r="D5975" s="2"/>
      <c r="G5975" s="2"/>
      <c r="J5975" s="2"/>
      <c r="M5975" s="2"/>
    </row>
    <row r="5976" spans="1:13" x14ac:dyDescent="0.25">
      <c r="A5976" s="2"/>
      <c r="D5976" s="2"/>
      <c r="G5976" s="2"/>
      <c r="J5976" s="2"/>
      <c r="M5976" s="2"/>
    </row>
    <row r="5977" spans="1:13" x14ac:dyDescent="0.25">
      <c r="A5977" s="2"/>
      <c r="D5977" s="2"/>
      <c r="G5977" s="2"/>
      <c r="J5977" s="2"/>
      <c r="M5977" s="2"/>
    </row>
    <row r="5978" spans="1:13" x14ac:dyDescent="0.25">
      <c r="A5978" s="2"/>
      <c r="D5978" s="2"/>
      <c r="G5978" s="2"/>
      <c r="J5978" s="2"/>
      <c r="M5978" s="2"/>
    </row>
    <row r="5979" spans="1:13" x14ac:dyDescent="0.25">
      <c r="A5979" s="2"/>
      <c r="D5979" s="2"/>
      <c r="G5979" s="2"/>
      <c r="J5979" s="2"/>
      <c r="M5979" s="2"/>
    </row>
    <row r="5980" spans="1:13" x14ac:dyDescent="0.25">
      <c r="A5980" s="2"/>
      <c r="D5980" s="2"/>
      <c r="G5980" s="2"/>
      <c r="J5980" s="2"/>
      <c r="M5980" s="2"/>
    </row>
    <row r="5981" spans="1:13" x14ac:dyDescent="0.25">
      <c r="A5981" s="2"/>
      <c r="D5981" s="2"/>
      <c r="G5981" s="2"/>
      <c r="J5981" s="2"/>
      <c r="M5981" s="2"/>
    </row>
    <row r="5982" spans="1:13" x14ac:dyDescent="0.25">
      <c r="A5982" s="2"/>
      <c r="D5982" s="2"/>
      <c r="G5982" s="2"/>
      <c r="J5982" s="2"/>
      <c r="M5982" s="2"/>
    </row>
    <row r="5983" spans="1:13" x14ac:dyDescent="0.25">
      <c r="A5983" s="2"/>
      <c r="D5983" s="2"/>
      <c r="G5983" s="2"/>
      <c r="J5983" s="2"/>
      <c r="M5983" s="2"/>
    </row>
    <row r="5984" spans="1:13" x14ac:dyDescent="0.25">
      <c r="A5984" s="2"/>
      <c r="D5984" s="2"/>
      <c r="G5984" s="2"/>
      <c r="J5984" s="2"/>
      <c r="M5984" s="2"/>
    </row>
    <row r="5985" spans="1:13" x14ac:dyDescent="0.25">
      <c r="A5985" s="2"/>
      <c r="D5985" s="2"/>
      <c r="G5985" s="2"/>
      <c r="J5985" s="2"/>
      <c r="M5985" s="2"/>
    </row>
    <row r="5986" spans="1:13" x14ac:dyDescent="0.25">
      <c r="A5986" s="2"/>
      <c r="D5986" s="2"/>
      <c r="G5986" s="2"/>
      <c r="J5986" s="2"/>
      <c r="M5986" s="2"/>
    </row>
    <row r="5987" spans="1:13" x14ac:dyDescent="0.25">
      <c r="A5987" s="2"/>
      <c r="D5987" s="2"/>
      <c r="G5987" s="2"/>
      <c r="J5987" s="2"/>
      <c r="M5987" s="2"/>
    </row>
    <row r="5988" spans="1:13" x14ac:dyDescent="0.25">
      <c r="A5988" s="2"/>
      <c r="D5988" s="2"/>
      <c r="G5988" s="2"/>
      <c r="J5988" s="2"/>
      <c r="M5988" s="2"/>
    </row>
    <row r="5989" spans="1:13" x14ac:dyDescent="0.25">
      <c r="A5989" s="2"/>
      <c r="D5989" s="2"/>
      <c r="G5989" s="2"/>
      <c r="J5989" s="2"/>
      <c r="M5989" s="2"/>
    </row>
    <row r="5990" spans="1:13" x14ac:dyDescent="0.25">
      <c r="A5990" s="2"/>
      <c r="D5990" s="2"/>
      <c r="G5990" s="2"/>
      <c r="J5990" s="2"/>
      <c r="M5990" s="2"/>
    </row>
    <row r="5991" spans="1:13" x14ac:dyDescent="0.25">
      <c r="A5991" s="2"/>
      <c r="D5991" s="2"/>
      <c r="G5991" s="2"/>
      <c r="J5991" s="2"/>
      <c r="M5991" s="2"/>
    </row>
    <row r="5992" spans="1:13" x14ac:dyDescent="0.25">
      <c r="A5992" s="2"/>
      <c r="D5992" s="2"/>
      <c r="G5992" s="2"/>
      <c r="J5992" s="2"/>
      <c r="M5992" s="2"/>
    </row>
    <row r="5993" spans="1:13" x14ac:dyDescent="0.25">
      <c r="A5993" s="2"/>
      <c r="D5993" s="2"/>
      <c r="G5993" s="2"/>
      <c r="J5993" s="2"/>
      <c r="M5993" s="2"/>
    </row>
    <row r="5994" spans="1:13" x14ac:dyDescent="0.25">
      <c r="A5994" s="2"/>
      <c r="D5994" s="2"/>
      <c r="G5994" s="2"/>
      <c r="J5994" s="2"/>
      <c r="M5994" s="2"/>
    </row>
    <row r="5995" spans="1:13" x14ac:dyDescent="0.25">
      <c r="A5995" s="2"/>
      <c r="D5995" s="2"/>
      <c r="G5995" s="2"/>
      <c r="J5995" s="2"/>
      <c r="M5995" s="2"/>
    </row>
    <row r="5996" spans="1:13" x14ac:dyDescent="0.25">
      <c r="A5996" s="2"/>
      <c r="D5996" s="2"/>
      <c r="G5996" s="2"/>
      <c r="J5996" s="2"/>
      <c r="M5996" s="2"/>
    </row>
    <row r="5997" spans="1:13" x14ac:dyDescent="0.25">
      <c r="A5997" s="2"/>
      <c r="D5997" s="2"/>
      <c r="G5997" s="2"/>
      <c r="J5997" s="2"/>
      <c r="M5997" s="2"/>
    </row>
    <row r="5998" spans="1:13" x14ac:dyDescent="0.25">
      <c r="A5998" s="2"/>
      <c r="D5998" s="2"/>
      <c r="G5998" s="2"/>
      <c r="J5998" s="2"/>
      <c r="M5998" s="2"/>
    </row>
    <row r="5999" spans="1:13" x14ac:dyDescent="0.25">
      <c r="A5999" s="2"/>
      <c r="D5999" s="2"/>
      <c r="G5999" s="2"/>
      <c r="J5999" s="2"/>
      <c r="M5999" s="2"/>
    </row>
    <row r="6000" spans="1:13" x14ac:dyDescent="0.25">
      <c r="A6000" s="2"/>
      <c r="D6000" s="2"/>
      <c r="G6000" s="2"/>
      <c r="J6000" s="2"/>
      <c r="M6000" s="2"/>
    </row>
    <row r="6001" spans="1:13" x14ac:dyDescent="0.25">
      <c r="A6001" s="2"/>
      <c r="D6001" s="2"/>
      <c r="G6001" s="2"/>
      <c r="J6001" s="2"/>
      <c r="M6001" s="2"/>
    </row>
    <row r="6002" spans="1:13" x14ac:dyDescent="0.25">
      <c r="A6002" s="2"/>
      <c r="D6002" s="2"/>
      <c r="G6002" s="2"/>
      <c r="J6002" s="2"/>
      <c r="M6002" s="2"/>
    </row>
    <row r="6003" spans="1:13" x14ac:dyDescent="0.25">
      <c r="A6003" s="2"/>
      <c r="D6003" s="2"/>
      <c r="G6003" s="2"/>
      <c r="J6003" s="2"/>
      <c r="M6003" s="2"/>
    </row>
    <row r="6004" spans="1:13" x14ac:dyDescent="0.25">
      <c r="A6004" s="2"/>
      <c r="D6004" s="2"/>
      <c r="G6004" s="2"/>
      <c r="J6004" s="2"/>
      <c r="M6004" s="2"/>
    </row>
    <row r="6005" spans="1:13" x14ac:dyDescent="0.25">
      <c r="A6005" s="2"/>
      <c r="D6005" s="2"/>
      <c r="G6005" s="2"/>
      <c r="J6005" s="2"/>
      <c r="M6005" s="2"/>
    </row>
    <row r="6006" spans="1:13" x14ac:dyDescent="0.25">
      <c r="A6006" s="2"/>
      <c r="D6006" s="2"/>
      <c r="G6006" s="2"/>
      <c r="J6006" s="2"/>
      <c r="M6006" s="2"/>
    </row>
    <row r="6007" spans="1:13" x14ac:dyDescent="0.25">
      <c r="A6007" s="2"/>
      <c r="D6007" s="2"/>
      <c r="G6007" s="2"/>
      <c r="J6007" s="2"/>
      <c r="M6007" s="2"/>
    </row>
    <row r="6008" spans="1:13" x14ac:dyDescent="0.25">
      <c r="A6008" s="2"/>
      <c r="D6008" s="2"/>
      <c r="G6008" s="2"/>
      <c r="J6008" s="2"/>
      <c r="M6008" s="2"/>
    </row>
    <row r="6009" spans="1:13" x14ac:dyDescent="0.25">
      <c r="A6009" s="2"/>
      <c r="D6009" s="2"/>
      <c r="G6009" s="2"/>
      <c r="J6009" s="2"/>
      <c r="M6009" s="2"/>
    </row>
    <row r="6010" spans="1:13" x14ac:dyDescent="0.25">
      <c r="A6010" s="2"/>
      <c r="D6010" s="2"/>
      <c r="G6010" s="2"/>
      <c r="J6010" s="2"/>
      <c r="M6010" s="2"/>
    </row>
    <row r="6011" spans="1:13" x14ac:dyDescent="0.25">
      <c r="A6011" s="2"/>
      <c r="D6011" s="2"/>
      <c r="G6011" s="2"/>
      <c r="J6011" s="2"/>
      <c r="M6011" s="2"/>
    </row>
    <row r="6012" spans="1:13" x14ac:dyDescent="0.25">
      <c r="A6012" s="2"/>
      <c r="D6012" s="2"/>
      <c r="G6012" s="2"/>
      <c r="J6012" s="2"/>
      <c r="M6012" s="2"/>
    </row>
    <row r="6013" spans="1:13" x14ac:dyDescent="0.25">
      <c r="A6013" s="2"/>
      <c r="D6013" s="2"/>
      <c r="G6013" s="2"/>
      <c r="J6013" s="2"/>
      <c r="M6013" s="2"/>
    </row>
    <row r="6014" spans="1:13" x14ac:dyDescent="0.25">
      <c r="A6014" s="2"/>
      <c r="D6014" s="2"/>
      <c r="G6014" s="2"/>
      <c r="J6014" s="2"/>
      <c r="M6014" s="2"/>
    </row>
    <row r="6015" spans="1:13" x14ac:dyDescent="0.25">
      <c r="A6015" s="2"/>
      <c r="D6015" s="2"/>
      <c r="G6015" s="2"/>
      <c r="J6015" s="2"/>
      <c r="M6015" s="2"/>
    </row>
    <row r="6016" spans="1:13" x14ac:dyDescent="0.25">
      <c r="A6016" s="2"/>
      <c r="D6016" s="2"/>
      <c r="G6016" s="2"/>
      <c r="J6016" s="2"/>
      <c r="M6016" s="2"/>
    </row>
    <row r="6017" spans="1:13" x14ac:dyDescent="0.25">
      <c r="A6017" s="2"/>
      <c r="D6017" s="2"/>
      <c r="G6017" s="2"/>
      <c r="J6017" s="2"/>
      <c r="M6017" s="2"/>
    </row>
    <row r="6018" spans="1:13" x14ac:dyDescent="0.25">
      <c r="A6018" s="2"/>
      <c r="D6018" s="2"/>
      <c r="G6018" s="2"/>
      <c r="J6018" s="2"/>
      <c r="M6018" s="2"/>
    </row>
    <row r="6019" spans="1:13" x14ac:dyDescent="0.25">
      <c r="A6019" s="2"/>
      <c r="D6019" s="2"/>
      <c r="G6019" s="2"/>
      <c r="J6019" s="2"/>
      <c r="M6019" s="2"/>
    </row>
    <row r="6020" spans="1:13" x14ac:dyDescent="0.25">
      <c r="A6020" s="2"/>
      <c r="D6020" s="2"/>
      <c r="G6020" s="2"/>
      <c r="J6020" s="2"/>
      <c r="M6020" s="2"/>
    </row>
    <row r="6021" spans="1:13" x14ac:dyDescent="0.25">
      <c r="A6021" s="2"/>
      <c r="D6021" s="2"/>
      <c r="G6021" s="2"/>
      <c r="J6021" s="2"/>
      <c r="M6021" s="2"/>
    </row>
    <row r="6022" spans="1:13" x14ac:dyDescent="0.25">
      <c r="A6022" s="2"/>
      <c r="D6022" s="2"/>
      <c r="G6022" s="2"/>
      <c r="J6022" s="2"/>
      <c r="M6022" s="2"/>
    </row>
    <row r="6023" spans="1:13" x14ac:dyDescent="0.25">
      <c r="A6023" s="2"/>
      <c r="D6023" s="2"/>
      <c r="G6023" s="2"/>
      <c r="J6023" s="2"/>
      <c r="M6023" s="2"/>
    </row>
    <row r="6024" spans="1:13" x14ac:dyDescent="0.25">
      <c r="A6024" s="2"/>
      <c r="D6024" s="2"/>
      <c r="G6024" s="2"/>
      <c r="J6024" s="2"/>
      <c r="M6024" s="2"/>
    </row>
    <row r="6025" spans="1:13" x14ac:dyDescent="0.25">
      <c r="A6025" s="2"/>
      <c r="D6025" s="2"/>
      <c r="G6025" s="2"/>
      <c r="J6025" s="2"/>
      <c r="M6025" s="2"/>
    </row>
    <row r="6026" spans="1:13" x14ac:dyDescent="0.25">
      <c r="A6026" s="2"/>
      <c r="D6026" s="2"/>
      <c r="G6026" s="2"/>
      <c r="J6026" s="2"/>
      <c r="M6026" s="2"/>
    </row>
    <row r="6027" spans="1:13" x14ac:dyDescent="0.25">
      <c r="A6027" s="2"/>
      <c r="D6027" s="2"/>
      <c r="G6027" s="2"/>
      <c r="J6027" s="2"/>
      <c r="M6027" s="2"/>
    </row>
    <row r="6028" spans="1:13" x14ac:dyDescent="0.25">
      <c r="A6028" s="2"/>
      <c r="D6028" s="2"/>
      <c r="G6028" s="2"/>
      <c r="J6028" s="2"/>
      <c r="M6028" s="2"/>
    </row>
    <row r="6029" spans="1:13" x14ac:dyDescent="0.25">
      <c r="A6029" s="2"/>
      <c r="D6029" s="2"/>
      <c r="G6029" s="2"/>
      <c r="J6029" s="2"/>
      <c r="M6029" s="2"/>
    </row>
    <row r="6030" spans="1:13" x14ac:dyDescent="0.25">
      <c r="A6030" s="2"/>
      <c r="D6030" s="2"/>
      <c r="G6030" s="2"/>
      <c r="J6030" s="2"/>
      <c r="M6030" s="2"/>
    </row>
    <row r="6031" spans="1:13" x14ac:dyDescent="0.25">
      <c r="A6031" s="2"/>
      <c r="D6031" s="2"/>
      <c r="G6031" s="2"/>
      <c r="J6031" s="2"/>
      <c r="M6031" s="2"/>
    </row>
    <row r="6032" spans="1:13" x14ac:dyDescent="0.25">
      <c r="A6032" s="2"/>
      <c r="D6032" s="2"/>
      <c r="G6032" s="2"/>
      <c r="J6032" s="2"/>
      <c r="M6032" s="2"/>
    </row>
    <row r="6033" spans="1:13" x14ac:dyDescent="0.25">
      <c r="A6033" s="2"/>
      <c r="D6033" s="2"/>
      <c r="G6033" s="2"/>
      <c r="J6033" s="2"/>
      <c r="M6033" s="2"/>
    </row>
    <row r="6034" spans="1:13" x14ac:dyDescent="0.25">
      <c r="A6034" s="2"/>
      <c r="D6034" s="2"/>
      <c r="G6034" s="2"/>
      <c r="J6034" s="2"/>
      <c r="M6034" s="2"/>
    </row>
    <row r="6035" spans="1:13" x14ac:dyDescent="0.25">
      <c r="A6035" s="2"/>
      <c r="D6035" s="2"/>
      <c r="G6035" s="2"/>
      <c r="J6035" s="2"/>
      <c r="M6035" s="2"/>
    </row>
    <row r="6036" spans="1:13" x14ac:dyDescent="0.25">
      <c r="A6036" s="2"/>
      <c r="D6036" s="2"/>
      <c r="G6036" s="2"/>
      <c r="J6036" s="2"/>
      <c r="M6036" s="2"/>
    </row>
    <row r="6037" spans="1:13" x14ac:dyDescent="0.25">
      <c r="A6037" s="2"/>
      <c r="D6037" s="2"/>
      <c r="G6037" s="2"/>
      <c r="J6037" s="2"/>
      <c r="M6037" s="2"/>
    </row>
    <row r="6038" spans="1:13" x14ac:dyDescent="0.25">
      <c r="A6038" s="2"/>
      <c r="D6038" s="2"/>
      <c r="G6038" s="2"/>
      <c r="J6038" s="2"/>
      <c r="M6038" s="2"/>
    </row>
    <row r="6039" spans="1:13" x14ac:dyDescent="0.25">
      <c r="A6039" s="2"/>
      <c r="D6039" s="2"/>
      <c r="G6039" s="2"/>
      <c r="J6039" s="2"/>
      <c r="M6039" s="2"/>
    </row>
    <row r="6040" spans="1:13" x14ac:dyDescent="0.25">
      <c r="A6040" s="2"/>
      <c r="D6040" s="2"/>
      <c r="G6040" s="2"/>
      <c r="J6040" s="2"/>
      <c r="M6040" s="2"/>
    </row>
    <row r="6041" spans="1:13" x14ac:dyDescent="0.25">
      <c r="A6041" s="2"/>
      <c r="D6041" s="2"/>
      <c r="G6041" s="2"/>
      <c r="J6041" s="2"/>
      <c r="M6041" s="2"/>
    </row>
    <row r="6042" spans="1:13" x14ac:dyDescent="0.25">
      <c r="A6042" s="2"/>
      <c r="D6042" s="2"/>
      <c r="G6042" s="2"/>
      <c r="J6042" s="2"/>
      <c r="M6042" s="2"/>
    </row>
    <row r="6043" spans="1:13" x14ac:dyDescent="0.25">
      <c r="A6043" s="2"/>
      <c r="D6043" s="2"/>
      <c r="G6043" s="2"/>
      <c r="J6043" s="2"/>
      <c r="M6043" s="2"/>
    </row>
    <row r="6044" spans="1:13" x14ac:dyDescent="0.25">
      <c r="A6044" s="2"/>
      <c r="D6044" s="2"/>
      <c r="G6044" s="2"/>
      <c r="J6044" s="2"/>
      <c r="M6044" s="2"/>
    </row>
    <row r="6045" spans="1:13" x14ac:dyDescent="0.25">
      <c r="A6045" s="2"/>
      <c r="D6045" s="2"/>
      <c r="G6045" s="2"/>
      <c r="J6045" s="2"/>
      <c r="M6045" s="2"/>
    </row>
    <row r="6046" spans="1:13" x14ac:dyDescent="0.25">
      <c r="A6046" s="2"/>
      <c r="D6046" s="2"/>
      <c r="G6046" s="2"/>
      <c r="J6046" s="2"/>
      <c r="M6046" s="2"/>
    </row>
    <row r="6047" spans="1:13" x14ac:dyDescent="0.25">
      <c r="A6047" s="2"/>
      <c r="D6047" s="2"/>
      <c r="G6047" s="2"/>
      <c r="J6047" s="2"/>
      <c r="M6047" s="2"/>
    </row>
    <row r="6048" spans="1:13" x14ac:dyDescent="0.25">
      <c r="A6048" s="2"/>
      <c r="D6048" s="2"/>
      <c r="G6048" s="2"/>
      <c r="J6048" s="2"/>
      <c r="M6048" s="2"/>
    </row>
    <row r="6049" spans="1:13" x14ac:dyDescent="0.25">
      <c r="A6049" s="2"/>
      <c r="D6049" s="2"/>
      <c r="G6049" s="2"/>
      <c r="J6049" s="2"/>
      <c r="M6049" s="2"/>
    </row>
    <row r="6050" spans="1:13" x14ac:dyDescent="0.25">
      <c r="A6050" s="2"/>
      <c r="D6050" s="2"/>
      <c r="G6050" s="2"/>
      <c r="J6050" s="2"/>
      <c r="M6050" s="2"/>
    </row>
    <row r="6051" spans="1:13" x14ac:dyDescent="0.25">
      <c r="A6051" s="2"/>
      <c r="D6051" s="2"/>
      <c r="G6051" s="2"/>
      <c r="J6051" s="2"/>
      <c r="M6051" s="2"/>
    </row>
    <row r="6052" spans="1:13" x14ac:dyDescent="0.25">
      <c r="A6052" s="2"/>
      <c r="D6052" s="2"/>
      <c r="G6052" s="2"/>
      <c r="J6052" s="2"/>
      <c r="M6052" s="2"/>
    </row>
    <row r="6053" spans="1:13" x14ac:dyDescent="0.25">
      <c r="A6053" s="2"/>
      <c r="D6053" s="2"/>
      <c r="G6053" s="2"/>
      <c r="J6053" s="2"/>
      <c r="M6053" s="2"/>
    </row>
    <row r="6054" spans="1:13" x14ac:dyDescent="0.25">
      <c r="A6054" s="2"/>
      <c r="D6054" s="2"/>
      <c r="G6054" s="2"/>
      <c r="J6054" s="2"/>
      <c r="M6054" s="2"/>
    </row>
    <row r="6055" spans="1:13" x14ac:dyDescent="0.25">
      <c r="A6055" s="2"/>
      <c r="D6055" s="2"/>
      <c r="G6055" s="2"/>
      <c r="J6055" s="2"/>
      <c r="M6055" s="2"/>
    </row>
    <row r="6056" spans="1:13" x14ac:dyDescent="0.25">
      <c r="A6056" s="2"/>
      <c r="D6056" s="2"/>
      <c r="G6056" s="2"/>
      <c r="J6056" s="2"/>
      <c r="M6056" s="2"/>
    </row>
    <row r="6057" spans="1:13" x14ac:dyDescent="0.25">
      <c r="A6057" s="2"/>
      <c r="D6057" s="2"/>
      <c r="G6057" s="2"/>
      <c r="J6057" s="2"/>
      <c r="M6057" s="2"/>
    </row>
    <row r="6058" spans="1:13" x14ac:dyDescent="0.25">
      <c r="A6058" s="2"/>
      <c r="D6058" s="2"/>
      <c r="G6058" s="2"/>
      <c r="J6058" s="2"/>
      <c r="M6058" s="2"/>
    </row>
    <row r="6059" spans="1:13" x14ac:dyDescent="0.25">
      <c r="A6059" s="2"/>
      <c r="D6059" s="2"/>
      <c r="G6059" s="2"/>
      <c r="J6059" s="2"/>
      <c r="M6059" s="2"/>
    </row>
    <row r="6060" spans="1:13" x14ac:dyDescent="0.25">
      <c r="A6060" s="2"/>
      <c r="D6060" s="2"/>
      <c r="G6060" s="2"/>
      <c r="J6060" s="2"/>
      <c r="M6060" s="2"/>
    </row>
    <row r="6061" spans="1:13" x14ac:dyDescent="0.25">
      <c r="A6061" s="2"/>
      <c r="D6061" s="2"/>
      <c r="G6061" s="2"/>
      <c r="J6061" s="2"/>
      <c r="M6061" s="2"/>
    </row>
    <row r="6062" spans="1:13" x14ac:dyDescent="0.25">
      <c r="A6062" s="2"/>
      <c r="D6062" s="2"/>
      <c r="G6062" s="2"/>
      <c r="J6062" s="2"/>
      <c r="M6062" s="2"/>
    </row>
    <row r="6063" spans="1:13" x14ac:dyDescent="0.25">
      <c r="A6063" s="2"/>
      <c r="D6063" s="2"/>
      <c r="G6063" s="2"/>
      <c r="J6063" s="2"/>
      <c r="M6063" s="2"/>
    </row>
    <row r="6064" spans="1:13" x14ac:dyDescent="0.25">
      <c r="A6064" s="2"/>
      <c r="D6064" s="2"/>
      <c r="G6064" s="2"/>
      <c r="J6064" s="2"/>
      <c r="M6064" s="2"/>
    </row>
    <row r="6065" spans="1:13" x14ac:dyDescent="0.25">
      <c r="A6065" s="2"/>
      <c r="D6065" s="2"/>
      <c r="G6065" s="2"/>
      <c r="J6065" s="2"/>
      <c r="M6065" s="2"/>
    </row>
    <row r="6066" spans="1:13" x14ac:dyDescent="0.25">
      <c r="A6066" s="2"/>
      <c r="D6066" s="2"/>
      <c r="G6066" s="2"/>
      <c r="J6066" s="2"/>
      <c r="M6066" s="2"/>
    </row>
    <row r="6067" spans="1:13" x14ac:dyDescent="0.25">
      <c r="A6067" s="2"/>
      <c r="D6067" s="2"/>
      <c r="G6067" s="2"/>
      <c r="J6067" s="2"/>
      <c r="M6067" s="2"/>
    </row>
    <row r="6068" spans="1:13" x14ac:dyDescent="0.25">
      <c r="A6068" s="2"/>
      <c r="D6068" s="2"/>
      <c r="G6068" s="2"/>
      <c r="J6068" s="2"/>
      <c r="M6068" s="2"/>
    </row>
    <row r="6069" spans="1:13" x14ac:dyDescent="0.25">
      <c r="A6069" s="2"/>
      <c r="D6069" s="2"/>
      <c r="G6069" s="2"/>
      <c r="J6069" s="2"/>
      <c r="M6069" s="2"/>
    </row>
    <row r="6070" spans="1:13" x14ac:dyDescent="0.25">
      <c r="A6070" s="2"/>
      <c r="D6070" s="2"/>
      <c r="G6070" s="2"/>
      <c r="J6070" s="2"/>
      <c r="M6070" s="2"/>
    </row>
    <row r="6071" spans="1:13" x14ac:dyDescent="0.25">
      <c r="A6071" s="2"/>
      <c r="D6071" s="2"/>
      <c r="G6071" s="2"/>
      <c r="J6071" s="2"/>
      <c r="M6071" s="2"/>
    </row>
    <row r="6072" spans="1:13" x14ac:dyDescent="0.25">
      <c r="A6072" s="2"/>
      <c r="D6072" s="2"/>
      <c r="G6072" s="2"/>
      <c r="J6072" s="2"/>
      <c r="M6072" s="2"/>
    </row>
    <row r="6073" spans="1:13" x14ac:dyDescent="0.25">
      <c r="A6073" s="2"/>
      <c r="D6073" s="2"/>
      <c r="G6073" s="2"/>
      <c r="J6073" s="2"/>
      <c r="M6073" s="2"/>
    </row>
    <row r="6074" spans="1:13" x14ac:dyDescent="0.25">
      <c r="A6074" s="2"/>
      <c r="D6074" s="2"/>
      <c r="G6074" s="2"/>
      <c r="J6074" s="2"/>
      <c r="M6074" s="2"/>
    </row>
    <row r="6075" spans="1:13" x14ac:dyDescent="0.25">
      <c r="A6075" s="2"/>
      <c r="D6075" s="2"/>
      <c r="G6075" s="2"/>
      <c r="J6075" s="2"/>
      <c r="M6075" s="2"/>
    </row>
    <row r="6076" spans="1:13" x14ac:dyDescent="0.25">
      <c r="A6076" s="2"/>
      <c r="D6076" s="2"/>
      <c r="G6076" s="2"/>
      <c r="J6076" s="2"/>
      <c r="M6076" s="2"/>
    </row>
    <row r="6077" spans="1:13" x14ac:dyDescent="0.25">
      <c r="A6077" s="2"/>
      <c r="D6077" s="2"/>
      <c r="G6077" s="2"/>
      <c r="J6077" s="2"/>
      <c r="M6077" s="2"/>
    </row>
    <row r="6078" spans="1:13" x14ac:dyDescent="0.25">
      <c r="A6078" s="2"/>
      <c r="D6078" s="2"/>
      <c r="G6078" s="2"/>
      <c r="J6078" s="2"/>
      <c r="M6078" s="2"/>
    </row>
    <row r="6079" spans="1:13" x14ac:dyDescent="0.25">
      <c r="A6079" s="2"/>
      <c r="D6079" s="2"/>
      <c r="G6079" s="2"/>
      <c r="J6079" s="2"/>
      <c r="M6079" s="2"/>
    </row>
    <row r="6080" spans="1:13" x14ac:dyDescent="0.25">
      <c r="A6080" s="2"/>
      <c r="D6080" s="2"/>
      <c r="G6080" s="2"/>
      <c r="J6080" s="2"/>
      <c r="M6080" s="2"/>
    </row>
    <row r="6081" spans="1:13" x14ac:dyDescent="0.25">
      <c r="A6081" s="2"/>
      <c r="D6081" s="2"/>
      <c r="G6081" s="2"/>
      <c r="J6081" s="2"/>
      <c r="M6081" s="2"/>
    </row>
    <row r="6082" spans="1:13" x14ac:dyDescent="0.25">
      <c r="A6082" s="2"/>
      <c r="D6082" s="2"/>
      <c r="G6082" s="2"/>
      <c r="J6082" s="2"/>
      <c r="M6082" s="2"/>
    </row>
    <row r="6083" spans="1:13" x14ac:dyDescent="0.25">
      <c r="A6083" s="2"/>
      <c r="D6083" s="2"/>
      <c r="G6083" s="2"/>
      <c r="J6083" s="2"/>
      <c r="M6083" s="2"/>
    </row>
    <row r="6084" spans="1:13" x14ac:dyDescent="0.25">
      <c r="A6084" s="2"/>
      <c r="D6084" s="2"/>
      <c r="G6084" s="2"/>
      <c r="J6084" s="2"/>
      <c r="M6084" s="2"/>
    </row>
    <row r="6085" spans="1:13" x14ac:dyDescent="0.25">
      <c r="A6085" s="2"/>
      <c r="D6085" s="2"/>
      <c r="G6085" s="2"/>
      <c r="J6085" s="2"/>
      <c r="M6085" s="2"/>
    </row>
    <row r="6086" spans="1:13" x14ac:dyDescent="0.25">
      <c r="A6086" s="2"/>
      <c r="D6086" s="2"/>
      <c r="G6086" s="2"/>
      <c r="J6086" s="2"/>
      <c r="M6086" s="2"/>
    </row>
    <row r="6087" spans="1:13" x14ac:dyDescent="0.25">
      <c r="A6087" s="2"/>
      <c r="D6087" s="2"/>
      <c r="G6087" s="2"/>
      <c r="J6087" s="2"/>
      <c r="M6087" s="2"/>
    </row>
    <row r="6088" spans="1:13" x14ac:dyDescent="0.25">
      <c r="A6088" s="2"/>
      <c r="D6088" s="2"/>
      <c r="G6088" s="2"/>
      <c r="J6088" s="2"/>
      <c r="M6088" s="2"/>
    </row>
    <row r="6089" spans="1:13" x14ac:dyDescent="0.25">
      <c r="A6089" s="2"/>
      <c r="D6089" s="2"/>
      <c r="G6089" s="2"/>
      <c r="J6089" s="2"/>
      <c r="M6089" s="2"/>
    </row>
    <row r="6090" spans="1:13" x14ac:dyDescent="0.25">
      <c r="A6090" s="2"/>
      <c r="D6090" s="2"/>
      <c r="G6090" s="2"/>
      <c r="J6090" s="2"/>
      <c r="M6090" s="2"/>
    </row>
    <row r="6091" spans="1:13" x14ac:dyDescent="0.25">
      <c r="A6091" s="2"/>
      <c r="D6091" s="2"/>
      <c r="G6091" s="2"/>
      <c r="J6091" s="2"/>
      <c r="M6091" s="2"/>
    </row>
    <row r="6092" spans="1:13" x14ac:dyDescent="0.25">
      <c r="A6092" s="2"/>
      <c r="D6092" s="2"/>
      <c r="G6092" s="2"/>
      <c r="J6092" s="2"/>
      <c r="M6092" s="2"/>
    </row>
    <row r="6093" spans="1:13" x14ac:dyDescent="0.25">
      <c r="A6093" s="2"/>
      <c r="D6093" s="2"/>
      <c r="G6093" s="2"/>
      <c r="J6093" s="2"/>
      <c r="M6093" s="2"/>
    </row>
    <row r="6094" spans="1:13" x14ac:dyDescent="0.25">
      <c r="A6094" s="2"/>
      <c r="D6094" s="2"/>
      <c r="G6094" s="2"/>
      <c r="J6094" s="2"/>
      <c r="M6094" s="2"/>
    </row>
    <row r="6095" spans="1:13" x14ac:dyDescent="0.25">
      <c r="A6095" s="2"/>
      <c r="D6095" s="2"/>
      <c r="G6095" s="2"/>
      <c r="J6095" s="2"/>
      <c r="M6095" s="2"/>
    </row>
    <row r="6096" spans="1:13" x14ac:dyDescent="0.25">
      <c r="A6096" s="2"/>
      <c r="D6096" s="2"/>
      <c r="G6096" s="2"/>
      <c r="J6096" s="2"/>
      <c r="M6096" s="2"/>
    </row>
    <row r="6097" spans="1:13" x14ac:dyDescent="0.25">
      <c r="A6097" s="2"/>
      <c r="D6097" s="2"/>
      <c r="G6097" s="2"/>
      <c r="J6097" s="2"/>
      <c r="M6097" s="2"/>
    </row>
    <row r="6098" spans="1:13" x14ac:dyDescent="0.25">
      <c r="A6098" s="2"/>
      <c r="D6098" s="2"/>
      <c r="G6098" s="2"/>
      <c r="J6098" s="2"/>
      <c r="M6098" s="2"/>
    </row>
    <row r="6099" spans="1:13" x14ac:dyDescent="0.25">
      <c r="A6099" s="2"/>
      <c r="D6099" s="2"/>
      <c r="G6099" s="2"/>
      <c r="J6099" s="2"/>
      <c r="M6099" s="2"/>
    </row>
    <row r="6100" spans="1:13" x14ac:dyDescent="0.25">
      <c r="A6100" s="2"/>
      <c r="D6100" s="2"/>
      <c r="G6100" s="2"/>
      <c r="J6100" s="2"/>
      <c r="M6100" s="2"/>
    </row>
    <row r="6101" spans="1:13" x14ac:dyDescent="0.25">
      <c r="A6101" s="2"/>
      <c r="D6101" s="2"/>
      <c r="G6101" s="2"/>
      <c r="J6101" s="2"/>
      <c r="M6101" s="2"/>
    </row>
    <row r="6102" spans="1:13" x14ac:dyDescent="0.25">
      <c r="A6102" s="2"/>
      <c r="D6102" s="2"/>
      <c r="G6102" s="2"/>
      <c r="J6102" s="2"/>
      <c r="M6102" s="2"/>
    </row>
    <row r="6103" spans="1:13" x14ac:dyDescent="0.25">
      <c r="A6103" s="2"/>
      <c r="D6103" s="2"/>
      <c r="G6103" s="2"/>
      <c r="J6103" s="2"/>
      <c r="M6103" s="2"/>
    </row>
    <row r="6104" spans="1:13" x14ac:dyDescent="0.25">
      <c r="A6104" s="2"/>
      <c r="D6104" s="2"/>
      <c r="G6104" s="2"/>
      <c r="J6104" s="2"/>
      <c r="M6104" s="2"/>
    </row>
    <row r="6105" spans="1:13" x14ac:dyDescent="0.25">
      <c r="A6105" s="2"/>
      <c r="D6105" s="2"/>
      <c r="G6105" s="2"/>
      <c r="J6105" s="2"/>
      <c r="M6105" s="2"/>
    </row>
    <row r="6106" spans="1:13" x14ac:dyDescent="0.25">
      <c r="A6106" s="2"/>
      <c r="D6106" s="2"/>
      <c r="G6106" s="2"/>
      <c r="J6106" s="2"/>
      <c r="M6106" s="2"/>
    </row>
    <row r="6107" spans="1:13" x14ac:dyDescent="0.25">
      <c r="A6107" s="2"/>
      <c r="D6107" s="2"/>
      <c r="G6107" s="2"/>
      <c r="J6107" s="2"/>
      <c r="M6107" s="2"/>
    </row>
    <row r="6108" spans="1:13" x14ac:dyDescent="0.25">
      <c r="A6108" s="2"/>
      <c r="D6108" s="2"/>
      <c r="G6108" s="2"/>
      <c r="J6108" s="2"/>
      <c r="M6108" s="2"/>
    </row>
    <row r="6109" spans="1:13" x14ac:dyDescent="0.25">
      <c r="A6109" s="2"/>
      <c r="D6109" s="2"/>
      <c r="G6109" s="2"/>
      <c r="J6109" s="2"/>
      <c r="M6109" s="2"/>
    </row>
    <row r="6110" spans="1:13" x14ac:dyDescent="0.25">
      <c r="A6110" s="2"/>
      <c r="D6110" s="2"/>
      <c r="G6110" s="2"/>
      <c r="J6110" s="2"/>
      <c r="M6110" s="2"/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40"/>
  <sheetViews>
    <sheetView view="pageBreakPreview" zoomScale="80" zoomScaleNormal="80" zoomScaleSheetLayoutView="80" workbookViewId="0">
      <selection activeCell="E7" sqref="E7"/>
    </sheetView>
  </sheetViews>
  <sheetFormatPr defaultColWidth="11" defaultRowHeight="15.75" x14ac:dyDescent="0.25"/>
  <cols>
    <col min="1" max="1" width="32.125" bestFit="1" customWidth="1"/>
    <col min="2" max="4" width="11.75" customWidth="1"/>
    <col min="9" max="9" width="15.125" bestFit="1" customWidth="1"/>
  </cols>
  <sheetData>
    <row r="1" spans="1:12" x14ac:dyDescent="0.25">
      <c r="A1" s="38" t="s">
        <v>23</v>
      </c>
      <c r="B1" s="29" t="s">
        <v>3</v>
      </c>
      <c r="C1" s="29" t="s">
        <v>6</v>
      </c>
      <c r="D1" s="29" t="s">
        <v>7</v>
      </c>
      <c r="E1" s="39" t="s">
        <v>28</v>
      </c>
      <c r="F1" s="40" t="s">
        <v>20</v>
      </c>
    </row>
    <row r="2" spans="1:12" x14ac:dyDescent="0.25">
      <c r="A2" t="s">
        <v>9</v>
      </c>
      <c r="B2" s="19">
        <f>AVERAGE(B38:B5017)</f>
        <v>6.2693967248411897E-3</v>
      </c>
      <c r="C2" s="22" t="s">
        <v>10</v>
      </c>
      <c r="D2" s="19">
        <f t="shared" ref="D2:E2" si="0">AVERAGE(D38:D5017)</f>
        <v>1.5777946142601282E-3</v>
      </c>
      <c r="E2" s="26">
        <f t="shared" si="0"/>
        <v>3.2551452550601706E-3</v>
      </c>
      <c r="F2" s="26">
        <f t="shared" ref="F2" si="1">AVERAGE(F38:F5017)</f>
        <v>1.4661766668327254E-2</v>
      </c>
      <c r="I2" s="34" t="s">
        <v>22</v>
      </c>
    </row>
    <row r="3" spans="1:12" x14ac:dyDescent="0.25">
      <c r="A3" t="s">
        <v>13</v>
      </c>
      <c r="B3" s="19">
        <f>_xlfn.STDEV.S(B38:B5013)</f>
        <v>1.0609114380432964E-2</v>
      </c>
      <c r="C3" s="22" t="s">
        <v>10</v>
      </c>
      <c r="D3" s="19">
        <f t="shared" ref="D3:E3" si="2">_xlfn.STDEV.S(D38:D5013)</f>
        <v>2.3731400775607894E-2</v>
      </c>
      <c r="E3" s="26">
        <f t="shared" si="2"/>
        <v>8.7112897369570688E-3</v>
      </c>
      <c r="F3" s="26">
        <f t="shared" ref="F3" si="3">_xlfn.STDEV.S(F38:F5013)</f>
        <v>3.7711732072674156E-2</v>
      </c>
      <c r="I3" t="s">
        <v>27</v>
      </c>
    </row>
    <row r="4" spans="1:12" x14ac:dyDescent="0.25">
      <c r="A4" t="s">
        <v>14</v>
      </c>
      <c r="B4" s="19">
        <f>B2*12</f>
        <v>7.5232760698094273E-2</v>
      </c>
      <c r="C4" s="22" t="s">
        <v>10</v>
      </c>
      <c r="D4" s="19">
        <f t="shared" ref="D4:E4" si="4">D2*12</f>
        <v>1.8933535371121538E-2</v>
      </c>
      <c r="E4" s="26">
        <f t="shared" si="4"/>
        <v>3.9061743060722048E-2</v>
      </c>
      <c r="F4" s="26">
        <f t="shared" ref="F4" si="5">F2*12</f>
        <v>0.17594120001992705</v>
      </c>
    </row>
    <row r="5" spans="1:12" x14ac:dyDescent="0.25">
      <c r="A5" s="6" t="s">
        <v>15</v>
      </c>
      <c r="B5" s="20">
        <f>B3*SQRT(12)</f>
        <v>3.6751050260439004E-2</v>
      </c>
      <c r="C5" s="23" t="s">
        <v>10</v>
      </c>
      <c r="D5" s="20">
        <f t="shared" ref="D5:E5" si="6">D3*SQRT(12)</f>
        <v>8.220798375626466E-2</v>
      </c>
      <c r="E5" s="27">
        <f t="shared" si="6"/>
        <v>3.0176792847725925E-2</v>
      </c>
      <c r="F5" s="27">
        <f t="shared" ref="F5" si="7">F3*SQRT(12)</f>
        <v>0.13063727198259281</v>
      </c>
      <c r="I5" s="29"/>
      <c r="J5" s="29" t="s">
        <v>3</v>
      </c>
      <c r="K5" s="29" t="s">
        <v>6</v>
      </c>
      <c r="L5" s="29" t="s">
        <v>7</v>
      </c>
    </row>
    <row r="6" spans="1:12" x14ac:dyDescent="0.25">
      <c r="I6" t="s">
        <v>29</v>
      </c>
      <c r="J6" s="41">
        <v>9.1000000000000004E-3</v>
      </c>
      <c r="K6" s="41">
        <v>1.1000000000000001E-3</v>
      </c>
      <c r="L6" s="41">
        <v>3.5000000000000001E-3</v>
      </c>
    </row>
    <row r="7" spans="1:12" x14ac:dyDescent="0.25">
      <c r="A7" s="38" t="s">
        <v>24</v>
      </c>
      <c r="B7" s="29" t="s">
        <v>3</v>
      </c>
      <c r="C7" s="29" t="s">
        <v>6</v>
      </c>
      <c r="D7" s="29" t="s">
        <v>7</v>
      </c>
      <c r="E7" s="39" t="s">
        <v>28</v>
      </c>
      <c r="F7" s="40" t="s">
        <v>20</v>
      </c>
      <c r="I7" t="s">
        <v>30</v>
      </c>
      <c r="J7" s="42">
        <v>3.13</v>
      </c>
    </row>
    <row r="8" spans="1:12" x14ac:dyDescent="0.25">
      <c r="A8" t="s">
        <v>9</v>
      </c>
      <c r="B8" s="24">
        <f>AVERAGE(B119:B5023)</f>
        <v>4.1319117248747777E-3</v>
      </c>
      <c r="C8" s="24">
        <f>AVERAGE(C119:C5023)</f>
        <v>2.6855287508708767E-3</v>
      </c>
      <c r="D8" s="19">
        <f>AVERAGE(D119:D5023)</f>
        <v>2.7143837019746914E-3</v>
      </c>
      <c r="E8" s="26">
        <f>AVERAGE(E119:E5023)</f>
        <v>2.1019642746591331E-3</v>
      </c>
      <c r="F8" s="26">
        <f>AVERAGE(F119:F5023)</f>
        <v>1.0753242045560711E-2</v>
      </c>
      <c r="I8" t="s">
        <v>31</v>
      </c>
      <c r="J8">
        <v>7.58</v>
      </c>
      <c r="K8">
        <v>7.2</v>
      </c>
      <c r="L8">
        <v>8.01</v>
      </c>
    </row>
    <row r="9" spans="1:12" x14ac:dyDescent="0.25">
      <c r="A9" t="s">
        <v>13</v>
      </c>
      <c r="B9" s="24">
        <f>_xlfn.STDEV.S(B119:B5019)</f>
        <v>9.060427658125576E-3</v>
      </c>
      <c r="C9" s="24">
        <f>_xlfn.STDEV.S(C119:C5019)</f>
        <v>1.0768904694292477E-2</v>
      </c>
      <c r="D9" s="19">
        <f>_xlfn.STDEV.S(D119:D5019)</f>
        <v>2.6382496941913632E-2</v>
      </c>
      <c r="E9" s="26">
        <f>_xlfn.STDEV.S(E119:E5019)</f>
        <v>1.0153746787765702E-2</v>
      </c>
      <c r="F9" s="26">
        <f>_xlfn.STDEV.S(F119:F5019)</f>
        <v>2.8508763735827076E-2</v>
      </c>
      <c r="I9" t="s">
        <v>32</v>
      </c>
      <c r="K9">
        <v>1216</v>
      </c>
      <c r="L9">
        <v>671</v>
      </c>
    </row>
    <row r="10" spans="1:12" x14ac:dyDescent="0.25">
      <c r="A10" t="s">
        <v>14</v>
      </c>
      <c r="B10" s="19">
        <f>B8*12</f>
        <v>4.9582940698497335E-2</v>
      </c>
      <c r="C10" s="19">
        <f t="shared" ref="C10:E10" si="8">C8*12</f>
        <v>3.2226345010450519E-2</v>
      </c>
      <c r="D10" s="19">
        <f t="shared" si="8"/>
        <v>3.2572604423696298E-2</v>
      </c>
      <c r="E10" s="26">
        <f t="shared" si="8"/>
        <v>2.5223571295909596E-2</v>
      </c>
      <c r="F10" s="26">
        <f t="shared" ref="F10" si="9">F8*12</f>
        <v>0.12903890454672853</v>
      </c>
      <c r="I10" t="s">
        <v>33</v>
      </c>
      <c r="J10" s="3" t="s">
        <v>34</v>
      </c>
      <c r="K10" s="3" t="s">
        <v>34</v>
      </c>
      <c r="L10" s="3" t="s">
        <v>35</v>
      </c>
    </row>
    <row r="11" spans="1:12" x14ac:dyDescent="0.25">
      <c r="A11" s="6" t="s">
        <v>15</v>
      </c>
      <c r="B11" s="20">
        <f>B9*SQRT(12)</f>
        <v>3.138624208435159E-2</v>
      </c>
      <c r="C11" s="20">
        <f t="shared" ref="C11:E11" si="10">C9*SQRT(12)</f>
        <v>3.7304580144763115E-2</v>
      </c>
      <c r="D11" s="20">
        <f t="shared" si="10"/>
        <v>9.1391650267849886E-2</v>
      </c>
      <c r="E11" s="27">
        <f t="shared" si="10"/>
        <v>3.5173610647198955E-2</v>
      </c>
      <c r="F11" s="27">
        <f t="shared" ref="F11" si="11">F9*SQRT(12)</f>
        <v>9.8757254502859215E-2</v>
      </c>
    </row>
    <row r="13" spans="1:12" x14ac:dyDescent="0.25">
      <c r="A13" s="38" t="s">
        <v>21</v>
      </c>
      <c r="B13" s="29" t="s">
        <v>3</v>
      </c>
      <c r="C13" s="29" t="s">
        <v>6</v>
      </c>
      <c r="D13" s="29" t="s">
        <v>7</v>
      </c>
      <c r="E13" s="39" t="s">
        <v>28</v>
      </c>
      <c r="F13" s="40" t="s">
        <v>20</v>
      </c>
    </row>
    <row r="14" spans="1:12" x14ac:dyDescent="0.25">
      <c r="A14" s="32">
        <v>2009</v>
      </c>
      <c r="B14" s="19">
        <f t="array" ref="B14">PRODUCT(IF(YEAR($A$37:$A$500)=$A14,1+B$37:B$500,1))-1</f>
        <v>0.17991133948972826</v>
      </c>
      <c r="C14" s="19"/>
      <c r="D14" s="19">
        <f t="array" ref="D14">PRODUCT(IF(YEAR($A$37:$A$500)=$A14,1+D$37:D$500,1))-1</f>
        <v>0.13779537752464499</v>
      </c>
      <c r="E14" s="26">
        <f t="array" ref="E14">PRODUCT(IF(YEAR($A$37:$A$500)=$A14,1+E$37:E$500,1))-1</f>
        <v>6.1768443134250006E-2</v>
      </c>
      <c r="F14" s="26">
        <f t="array" ref="F14">PRODUCT(IF(YEAR($A$37:$A$500)=$A14,1+F$37:F$500,1))-1</f>
        <v>0.54226729281589736</v>
      </c>
    </row>
    <row r="15" spans="1:12" x14ac:dyDescent="0.25">
      <c r="A15" s="32">
        <v>2010</v>
      </c>
      <c r="B15" s="19">
        <f t="array" ref="B15">PRODUCT(IF(YEAR($A$37:$A$500)=$A15,1+B$37:B$500,1))-1</f>
        <v>9.4037398203896894E-2</v>
      </c>
      <c r="C15" s="19"/>
      <c r="D15" s="19">
        <f t="array" ref="D15">PRODUCT(IF(YEAR($A$37:$A$500)=$A15,1+D$37:D$500,1))-1</f>
        <v>1.7890473972141496E-2</v>
      </c>
      <c r="E15" s="26">
        <f t="array" ref="E15">PRODUCT(IF(YEAR($A$37:$A$500)=$A15,1+E$37:E$500,1))-1</f>
        <v>6.3620972235822304E-2</v>
      </c>
      <c r="F15" s="26">
        <f t="array" ref="F15">PRODUCT(IF(YEAR($A$37:$A$500)=$A15,1+F$37:F$500,1))-1</f>
        <v>0.15056144016221573</v>
      </c>
    </row>
    <row r="16" spans="1:12" x14ac:dyDescent="0.25">
      <c r="A16" s="32">
        <v>2011</v>
      </c>
      <c r="B16" s="19">
        <f t="array" ref="B16">PRODUCT(IF(YEAR($A$37:$A$500)=$A16,1+B$37:B$500,1))-1</f>
        <v>6.3649835640816832E-2</v>
      </c>
      <c r="C16" s="19"/>
      <c r="D16" s="19">
        <f t="array" ref="D16">PRODUCT(IF(YEAR($A$37:$A$500)=$A16,1+D$37:D$500,1))-1</f>
        <v>1.5729304684880985E-2</v>
      </c>
      <c r="E16" s="26">
        <f t="array" ref="E16">PRODUCT(IF(YEAR($A$37:$A$500)=$A16,1+E$37:E$500,1))-1</f>
        <v>7.6967362626850333E-2</v>
      </c>
      <c r="F16" s="26">
        <f t="array" ref="F16">PRODUCT(IF(YEAR($A$37:$A$500)=$A16,1+F$37:F$500,1))-1</f>
        <v>1.89498660980707E-2</v>
      </c>
    </row>
    <row r="17" spans="1:6" x14ac:dyDescent="0.25">
      <c r="A17" s="32">
        <v>2012</v>
      </c>
      <c r="B17" s="19">
        <f t="array" ref="B17">PRODUCT(IF(YEAR($A$37:$A$500)=$A17,1+B$37:B$500,1))-1</f>
        <v>0.10769694583282452</v>
      </c>
      <c r="C17" s="19"/>
      <c r="D17" s="19">
        <f t="array" ref="D17">PRODUCT(IF(YEAR($A$37:$A$500)=$A17,1+D$37:D$500,1))-1</f>
        <v>5.2838985004877825E-2</v>
      </c>
      <c r="E17" s="26">
        <f t="array" ref="E17">PRODUCT(IF(YEAR($A$37:$A$500)=$A17,1+E$37:E$500,1))-1</f>
        <v>3.7549207963239128E-2</v>
      </c>
      <c r="F17" s="26">
        <f t="array" ref="F17">PRODUCT(IF(YEAR($A$37:$A$500)=$A17,1+F$37:F$500,1))-1</f>
        <v>0.15990335126761868</v>
      </c>
    </row>
    <row r="18" spans="1:6" x14ac:dyDescent="0.25">
      <c r="A18" s="32">
        <v>2013</v>
      </c>
      <c r="B18" s="19">
        <f t="array" ref="B18">PRODUCT(IF(YEAR($A$37:$A$500)=$A18,1+B$37:B$500,1))-1</f>
        <v>5.1387225832080219E-3</v>
      </c>
      <c r="C18" s="19"/>
      <c r="D18" s="19">
        <f t="array" ref="D18">PRODUCT(IF(YEAR($A$37:$A$500)=$A18,1+D$37:D$500,1))-1</f>
        <v>-1.3713069360426711E-2</v>
      </c>
      <c r="E18" s="26">
        <f t="array" ref="E18">PRODUCT(IF(YEAR($A$37:$A$500)=$A18,1+E$37:E$500,1))-1</f>
        <v>-1.9777310741573961E-2</v>
      </c>
      <c r="F18" s="26">
        <f t="array" ref="F18">PRODUCT(IF(YEAR($A$37:$A$500)=$A18,1+F$37:F$500,1))-1</f>
        <v>0.32307758624575711</v>
      </c>
    </row>
    <row r="19" spans="1:6" x14ac:dyDescent="0.25">
      <c r="A19" s="32">
        <v>2014</v>
      </c>
      <c r="B19" s="19">
        <f t="array" ref="B19">PRODUCT(IF(YEAR($A$37:$A$500)=$A19,1+B$37:B$500,1))-1</f>
        <v>0.10736226384159253</v>
      </c>
      <c r="C19" s="19"/>
      <c r="D19" s="19">
        <f t="array" ref="D19">PRODUCT(IF(YEAR($A$37:$A$500)=$A19,1+D$37:D$500,1))-1</f>
        <v>-2.2208728932255006E-2</v>
      </c>
      <c r="E19" s="26">
        <f t="array" ref="E19">PRODUCT(IF(YEAR($A$37:$A$500)=$A19,1+E$37:E$500,1))-1</f>
        <v>5.9985987341715896E-2</v>
      </c>
      <c r="F19" s="26">
        <f t="array" ref="F19">PRODUCT(IF(YEAR($A$37:$A$500)=$A19,1+F$37:F$500,1))-1</f>
        <v>0.13463796805686878</v>
      </c>
    </row>
    <row r="20" spans="1:6" x14ac:dyDescent="0.25">
      <c r="A20" s="32">
        <v>2015</v>
      </c>
      <c r="B20" s="19">
        <f t="array" ref="B20">PRODUCT(IF(YEAR($A$37:$A$500)=$A20,1+B$37:B$500,1))-1</f>
        <v>2.8653502574416123E-5</v>
      </c>
      <c r="C20" s="19"/>
      <c r="D20" s="19">
        <f t="array" ref="D20">PRODUCT(IF(YEAR($A$37:$A$500)=$A20,1+D$37:D$500,1))-1</f>
        <v>-7.1501472960079471E-2</v>
      </c>
      <c r="E20" s="26">
        <f t="array" ref="E20">PRODUCT(IF(YEAR($A$37:$A$500)=$A20,1+E$37:E$500,1))-1</f>
        <v>4.8072597402837314E-3</v>
      </c>
      <c r="F20" s="26">
        <f t="array" ref="F20">PRODUCT(IF(YEAR($A$37:$A$500)=$A20,1+F$37:F$500,1))-1</f>
        <v>1.2342872986865316E-2</v>
      </c>
    </row>
    <row r="21" spans="1:6" x14ac:dyDescent="0.25">
      <c r="A21" s="32">
        <v>2016</v>
      </c>
      <c r="B21" s="19">
        <f t="array" ref="B21">PRODUCT(IF(YEAR($A$37:$A$500)=$A21,1+B$37:B$500,1))-1</f>
        <v>6.5956025781295224E-2</v>
      </c>
      <c r="C21" s="19">
        <f t="array" ref="C21">PRODUCT(IF(YEAR($A$37:$A$500)=$A21,1+C$37:C$500,1))-1</f>
        <v>4.8334301430541737E-2</v>
      </c>
      <c r="D21" s="19">
        <f t="array" ref="D21">PRODUCT(IF(YEAR($A$37:$A$500)=$A21,1+D$37:D$500,1))-1</f>
        <v>8.3956935341540362E-3</v>
      </c>
      <c r="E21" s="26">
        <f t="array" ref="E21">PRODUCT(IF(YEAR($A$37:$A$500)=$A21,1+E$37:E$500,1))-1</f>
        <v>2.413811045496983E-2</v>
      </c>
      <c r="F21" s="26">
        <f t="array" ref="F21">PRODUCT(IF(YEAR($A$37:$A$500)=$A21,1+F$37:F$500,1))-1</f>
        <v>0.11997898008930652</v>
      </c>
    </row>
    <row r="22" spans="1:6" x14ac:dyDescent="0.25">
      <c r="A22" s="33">
        <v>2017</v>
      </c>
      <c r="B22" s="20">
        <f t="array" ref="B22">PRODUCT(IF(YEAR($A$37:$A$500)=$A22,1+B$37:B$500,1))-1</f>
        <v>4.4052256621134323E-3</v>
      </c>
      <c r="C22" s="20">
        <f t="array" ref="C22">PRODUCT(IF(YEAR($A$37:$A$500)=$A22,1+C$37:C$500,1))-1</f>
        <v>-8.2510019900194909E-4</v>
      </c>
      <c r="D22" s="20">
        <f t="array" ref="D22">PRODUCT(IF(YEAR($A$37:$A$500)=$A22,1+D$37:D$500,1))-1</f>
        <v>1.2714116535128994E-2</v>
      </c>
      <c r="E22" s="27">
        <f t="array" ref="E22">PRODUCT(IF(YEAR($A$37:$A$500)=$A22,1+E$37:E$500,1))-1</f>
        <v>8.8790627862422866E-3</v>
      </c>
      <c r="F22" s="27">
        <f t="array" ref="F22">PRODUCT(IF(YEAR($A$37:$A$500)=$A22,1+F$37:F$500,1))-1</f>
        <v>6.0752480923152996E-2</v>
      </c>
    </row>
    <row r="25" spans="1:6" x14ac:dyDescent="0.25">
      <c r="A25" t="s">
        <v>25</v>
      </c>
    </row>
    <row r="26" spans="1:6" x14ac:dyDescent="0.25">
      <c r="A26" s="12"/>
      <c r="B26" s="29" t="s">
        <v>3</v>
      </c>
      <c r="C26" s="29" t="s">
        <v>6</v>
      </c>
      <c r="D26" s="30" t="s">
        <v>7</v>
      </c>
      <c r="E26" s="30" t="s">
        <v>28</v>
      </c>
      <c r="F26" s="30" t="s">
        <v>20</v>
      </c>
    </row>
    <row r="27" spans="1:6" x14ac:dyDescent="0.25">
      <c r="A27" s="13" t="s">
        <v>3</v>
      </c>
      <c r="B27" s="7">
        <f>CORREL($B119:$B5018,B119:B5018)</f>
        <v>1</v>
      </c>
      <c r="C27" s="25">
        <f t="shared" ref="C27:F27" si="12">CORREL($B119:$B5018,C119:C5018)</f>
        <v>0.94502720271439</v>
      </c>
      <c r="D27" s="8">
        <f t="shared" si="12"/>
        <v>0.54860197368166552</v>
      </c>
      <c r="E27" s="37">
        <f t="shared" si="12"/>
        <v>0.80130674837278626</v>
      </c>
      <c r="F27" s="8">
        <f t="shared" si="12"/>
        <v>0.16665575560254284</v>
      </c>
    </row>
    <row r="28" spans="1:6" x14ac:dyDescent="0.25">
      <c r="A28" s="13" t="s">
        <v>6</v>
      </c>
      <c r="B28" s="9"/>
      <c r="C28" s="17">
        <f>CORREL($C119:$C5018,C119:C5018)</f>
        <v>0.99999999999999989</v>
      </c>
      <c r="D28" s="18">
        <f t="shared" ref="D28:F28" si="13">CORREL($C119:$C5018,D119:D5018)</f>
        <v>0.48927761805498216</v>
      </c>
      <c r="E28" s="18">
        <f t="shared" si="13"/>
        <v>0.77252940983424134</v>
      </c>
      <c r="F28" s="18">
        <f t="shared" si="13"/>
        <v>2.2508909374747955E-2</v>
      </c>
    </row>
    <row r="29" spans="1:6" x14ac:dyDescent="0.25">
      <c r="A29" s="14" t="s">
        <v>7</v>
      </c>
      <c r="B29" s="10"/>
      <c r="C29" s="6"/>
      <c r="D29" s="11">
        <f>CORREL($D119:$D5018,D119:D5018)</f>
        <v>1</v>
      </c>
      <c r="E29" s="11">
        <f t="shared" ref="E29:F29" si="14">CORREL($D119:$D5018,E119:E5018)</f>
        <v>0.82447398320816057</v>
      </c>
      <c r="F29" s="11">
        <f t="shared" si="14"/>
        <v>4.2691528657045598E-2</v>
      </c>
    </row>
    <row r="31" spans="1:6" x14ac:dyDescent="0.25">
      <c r="A31" t="s">
        <v>26</v>
      </c>
      <c r="D31" s="21">
        <f>CORREL(B38:B2068,D38:D2068)</f>
        <v>0.31917874692468112</v>
      </c>
      <c r="E31" s="21">
        <f>CORREL(B38:B2068,E38:E2068)</f>
        <v>0.7125033350464598</v>
      </c>
      <c r="F31" s="21">
        <f>CORREL(C38:C2068,F38:F2068)</f>
        <v>2.2508909374747955E-2</v>
      </c>
    </row>
    <row r="32" spans="1:6" x14ac:dyDescent="0.25">
      <c r="D32" s="5"/>
    </row>
    <row r="33" spans="1:6" x14ac:dyDescent="0.25">
      <c r="D33" s="5"/>
    </row>
    <row r="35" spans="1:6" x14ac:dyDescent="0.25">
      <c r="A35" s="1" t="s">
        <v>0</v>
      </c>
      <c r="B35" s="31" t="s">
        <v>3</v>
      </c>
      <c r="C35" s="31" t="s">
        <v>6</v>
      </c>
      <c r="D35" s="31" t="s">
        <v>7</v>
      </c>
      <c r="E35" s="31" t="s">
        <v>28</v>
      </c>
      <c r="F35" s="31" t="s">
        <v>20</v>
      </c>
    </row>
    <row r="36" spans="1:6" x14ac:dyDescent="0.25">
      <c r="A36" t="s">
        <v>8</v>
      </c>
      <c r="B36" t="s">
        <v>18</v>
      </c>
    </row>
    <row r="37" spans="1:6" x14ac:dyDescent="0.25">
      <c r="A37" s="35">
        <v>39872</v>
      </c>
    </row>
    <row r="38" spans="1:6" x14ac:dyDescent="0.25">
      <c r="A38" s="35">
        <v>39903</v>
      </c>
      <c r="B38">
        <v>-9.632133626324979E-5</v>
      </c>
      <c r="D38">
        <v>3.2973945459506604E-2</v>
      </c>
      <c r="E38">
        <v>1.1029922292354444E-2</v>
      </c>
      <c r="F38">
        <v>8.3310707365834347E-2</v>
      </c>
    </row>
    <row r="39" spans="1:6" x14ac:dyDescent="0.25">
      <c r="A39" s="35">
        <v>39933</v>
      </c>
      <c r="B39">
        <v>1.7579128781084474E-2</v>
      </c>
      <c r="D39">
        <v>1.4474467734605367E-2</v>
      </c>
      <c r="E39">
        <v>5.152372151851603E-3</v>
      </c>
      <c r="F39">
        <v>9.9346107531869565E-2</v>
      </c>
    </row>
    <row r="40" spans="1:6" x14ac:dyDescent="0.25">
      <c r="A40" s="35">
        <v>39964</v>
      </c>
      <c r="B40">
        <v>2.9995356593120359E-2</v>
      </c>
      <c r="D40">
        <v>4.8758668211511536E-2</v>
      </c>
      <c r="E40">
        <v>7.0968977049652437E-3</v>
      </c>
      <c r="F40">
        <v>5.8453443467067157E-2</v>
      </c>
    </row>
    <row r="41" spans="1:6" x14ac:dyDescent="0.25">
      <c r="A41" s="35">
        <v>39994</v>
      </c>
      <c r="B41">
        <v>1.8484206455315233E-2</v>
      </c>
      <c r="D41">
        <v>1.5162069884355756E-3</v>
      </c>
      <c r="E41">
        <v>4.2075847770484121E-3</v>
      </c>
      <c r="F41">
        <v>-6.549420826372776E-4</v>
      </c>
    </row>
    <row r="42" spans="1:6" x14ac:dyDescent="0.25">
      <c r="A42" s="35">
        <v>40025</v>
      </c>
      <c r="B42">
        <v>3.121581575455834E-2</v>
      </c>
      <c r="D42">
        <v>3.0325922242265824E-2</v>
      </c>
      <c r="E42">
        <v>1.2690577479951504E-2</v>
      </c>
      <c r="F42">
        <v>7.4605780172656067E-2</v>
      </c>
    </row>
    <row r="43" spans="1:6" x14ac:dyDescent="0.25">
      <c r="A43" s="35">
        <v>40056</v>
      </c>
      <c r="B43">
        <v>3.1686098665960616E-2</v>
      </c>
      <c r="D43">
        <v>1.0446859386802343E-2</v>
      </c>
      <c r="E43">
        <v>1.2202400751084808E-2</v>
      </c>
      <c r="F43">
        <v>3.6939592781028319E-2</v>
      </c>
    </row>
    <row r="44" spans="1:6" x14ac:dyDescent="0.25">
      <c r="A44" s="35">
        <v>40086</v>
      </c>
      <c r="B44">
        <v>2.0900306879960695E-2</v>
      </c>
      <c r="D44">
        <v>2.5275365729793275E-2</v>
      </c>
      <c r="E44">
        <v>1.1881860346411699E-2</v>
      </c>
      <c r="F44">
        <v>3.5457172964727945E-2</v>
      </c>
    </row>
    <row r="45" spans="1:6" x14ac:dyDescent="0.25">
      <c r="A45" s="35">
        <v>40117</v>
      </c>
      <c r="B45">
        <v>9.845800153663653E-3</v>
      </c>
      <c r="D45">
        <v>-3.1038402055315606E-3</v>
      </c>
      <c r="E45">
        <v>2.2184271500678143E-3</v>
      </c>
      <c r="F45">
        <v>-1.9225296017104432E-2</v>
      </c>
    </row>
    <row r="46" spans="1:6" x14ac:dyDescent="0.25">
      <c r="A46" s="35">
        <v>40147</v>
      </c>
      <c r="B46">
        <v>1.0347409439340538E-2</v>
      </c>
      <c r="D46">
        <v>2.5987675855452919E-2</v>
      </c>
      <c r="E46">
        <v>1.2862974527479087E-2</v>
      </c>
      <c r="F46">
        <v>6.1606848865117136E-2</v>
      </c>
    </row>
    <row r="47" spans="1:6" x14ac:dyDescent="0.25">
      <c r="A47" s="35">
        <v>40178</v>
      </c>
      <c r="B47">
        <v>-2.4672148360957991E-3</v>
      </c>
      <c r="D47">
        <v>-5.3153808567173E-2</v>
      </c>
      <c r="E47">
        <v>-1.8812232713582233E-2</v>
      </c>
      <c r="F47">
        <v>1.9100940578809844E-2</v>
      </c>
    </row>
    <row r="48" spans="1:6" x14ac:dyDescent="0.25">
      <c r="A48" s="35">
        <v>40209</v>
      </c>
      <c r="B48">
        <v>2.3408001486389551E-2</v>
      </c>
      <c r="D48">
        <v>-1.029124009832838E-2</v>
      </c>
      <c r="E48">
        <v>1.4148655284035971E-2</v>
      </c>
      <c r="F48">
        <v>-3.6342450510763125E-2</v>
      </c>
    </row>
    <row r="49" spans="1:6" x14ac:dyDescent="0.25">
      <c r="A49" s="35">
        <v>40237</v>
      </c>
      <c r="B49">
        <v>6.6632767991683384E-3</v>
      </c>
      <c r="D49">
        <v>-1.7694858686934101E-4</v>
      </c>
      <c r="E49">
        <v>1.9841955230475161E-3</v>
      </c>
      <c r="F49">
        <v>3.1194693857451217E-2</v>
      </c>
    </row>
    <row r="50" spans="1:6" x14ac:dyDescent="0.25">
      <c r="A50" s="35">
        <v>40268</v>
      </c>
      <c r="B50">
        <v>6.928317917900495E-3</v>
      </c>
      <c r="D50">
        <v>-1.225937577307723E-2</v>
      </c>
      <c r="E50">
        <v>-6.7222601562888507E-5</v>
      </c>
      <c r="F50">
        <v>6.0879632422753183E-2</v>
      </c>
    </row>
    <row r="51" spans="1:6" x14ac:dyDescent="0.25">
      <c r="A51" s="35">
        <v>40298</v>
      </c>
      <c r="B51">
        <v>2.1497560627509626E-2</v>
      </c>
      <c r="D51">
        <v>-1.3541588381936309E-2</v>
      </c>
      <c r="E51">
        <v>9.7325666403185185E-3</v>
      </c>
      <c r="F51">
        <v>1.5470067252403297E-2</v>
      </c>
    </row>
    <row r="52" spans="1:6" x14ac:dyDescent="0.25">
      <c r="A52" s="35">
        <v>40329</v>
      </c>
      <c r="B52">
        <v>9.0943329957291485E-3</v>
      </c>
      <c r="D52">
        <v>-3.3020280423945003E-2</v>
      </c>
      <c r="E52">
        <v>1.082442127720773E-2</v>
      </c>
      <c r="F52">
        <v>-7.9454553997870603E-2</v>
      </c>
    </row>
    <row r="53" spans="1:6" x14ac:dyDescent="0.25">
      <c r="A53" s="35">
        <v>40359</v>
      </c>
      <c r="B53">
        <v>1.1019878879156009E-2</v>
      </c>
      <c r="D53">
        <v>7.7339969390053387E-3</v>
      </c>
      <c r="E53">
        <v>1.7687333839742747E-2</v>
      </c>
      <c r="F53">
        <v>-5.1740947453497332E-2</v>
      </c>
    </row>
    <row r="54" spans="1:6" x14ac:dyDescent="0.25">
      <c r="A54" s="35">
        <v>40390</v>
      </c>
      <c r="B54">
        <v>1.7973887387006116E-3</v>
      </c>
      <c r="D54">
        <v>5.5224406351390254E-2</v>
      </c>
      <c r="E54">
        <v>8.5471688597984485E-3</v>
      </c>
      <c r="F54">
        <v>6.8300671544478497E-2</v>
      </c>
    </row>
    <row r="55" spans="1:6" x14ac:dyDescent="0.25">
      <c r="A55" s="35">
        <v>40421</v>
      </c>
      <c r="B55">
        <v>2.9921148372980211E-2</v>
      </c>
      <c r="D55">
        <v>7.037431239174996E-3</v>
      </c>
      <c r="E55">
        <v>1.2867773021037809E-2</v>
      </c>
      <c r="F55">
        <v>-4.4980497458412039E-2</v>
      </c>
    </row>
    <row r="56" spans="1:6" x14ac:dyDescent="0.25">
      <c r="A56" s="35">
        <v>40451</v>
      </c>
      <c r="B56">
        <v>-1.1898650568163971E-3</v>
      </c>
      <c r="D56">
        <v>4.7559844925601169E-2</v>
      </c>
      <c r="E56">
        <v>7.3587559315635431E-5</v>
      </c>
      <c r="F56">
        <v>8.9554694113855637E-2</v>
      </c>
    </row>
    <row r="57" spans="1:6" x14ac:dyDescent="0.25">
      <c r="A57" s="35">
        <v>40482</v>
      </c>
      <c r="B57">
        <v>-1.7357112411005016E-3</v>
      </c>
      <c r="D57">
        <v>1.3961693470847303E-2</v>
      </c>
      <c r="E57">
        <v>1.5224061564549363E-3</v>
      </c>
      <c r="F57">
        <v>3.8202052469124892E-2</v>
      </c>
    </row>
    <row r="58" spans="1:6" x14ac:dyDescent="0.25">
      <c r="A58" s="35">
        <v>40512</v>
      </c>
      <c r="B58">
        <v>-1.0118646101132001E-2</v>
      </c>
      <c r="D58">
        <v>-6.7361399909840802E-2</v>
      </c>
      <c r="E58">
        <v>-8.3492173422364813E-3</v>
      </c>
      <c r="F58">
        <v>0</v>
      </c>
    </row>
    <row r="59" spans="1:6" x14ac:dyDescent="0.25">
      <c r="A59" s="35">
        <v>40543</v>
      </c>
      <c r="B59">
        <v>-6.2519426443031767E-3</v>
      </c>
      <c r="D59">
        <v>2.9156213142640608E-2</v>
      </c>
      <c r="E59">
        <v>-6.7540930088194617E-3</v>
      </c>
      <c r="F59">
        <v>6.6852273521876837E-2</v>
      </c>
    </row>
    <row r="60" spans="1:6" x14ac:dyDescent="0.25">
      <c r="A60" s="35">
        <v>40574</v>
      </c>
      <c r="B60">
        <v>-9.5317896148960912E-4</v>
      </c>
      <c r="D60">
        <v>1.0071445498336162E-2</v>
      </c>
      <c r="E60">
        <v>-8.510301694886202E-4</v>
      </c>
      <c r="F60">
        <v>2.330013989560431E-2</v>
      </c>
    </row>
    <row r="61" spans="1:6" x14ac:dyDescent="0.25">
      <c r="A61" s="35">
        <v>40602</v>
      </c>
      <c r="B61">
        <v>2.8883660379874776E-3</v>
      </c>
      <c r="D61">
        <v>7.691740922269874E-3</v>
      </c>
      <c r="E61">
        <v>2.9047733054468061E-3</v>
      </c>
      <c r="F61">
        <v>3.4737343980458135E-2</v>
      </c>
    </row>
    <row r="62" spans="1:6" x14ac:dyDescent="0.25">
      <c r="A62" s="35">
        <v>40633</v>
      </c>
      <c r="B62">
        <v>-7.6408876242306523E-4</v>
      </c>
      <c r="D62">
        <v>7.7534451210492517E-3</v>
      </c>
      <c r="E62">
        <v>-2.2303692590385227E-3</v>
      </c>
      <c r="F62">
        <v>1.2012982928899518E-4</v>
      </c>
    </row>
    <row r="63" spans="1:6" x14ac:dyDescent="0.25">
      <c r="A63" s="35">
        <v>40663</v>
      </c>
      <c r="B63">
        <v>6.9430976403992428E-3</v>
      </c>
      <c r="D63">
        <v>4.1516746700452023E-2</v>
      </c>
      <c r="E63">
        <v>1.5674887064901499E-2</v>
      </c>
      <c r="F63">
        <v>2.8961434186372426E-2</v>
      </c>
    </row>
    <row r="64" spans="1:6" x14ac:dyDescent="0.25">
      <c r="A64" s="35">
        <v>40694</v>
      </c>
      <c r="B64">
        <v>7.0016058169146689E-3</v>
      </c>
      <c r="D64">
        <v>-1.7282858503677057E-2</v>
      </c>
      <c r="E64">
        <v>1.2398302944318651E-2</v>
      </c>
      <c r="F64">
        <v>-1.1214532811643307E-2</v>
      </c>
    </row>
    <row r="65" spans="1:6" x14ac:dyDescent="0.25">
      <c r="A65" s="35">
        <v>40724</v>
      </c>
      <c r="B65">
        <v>-2.7650202999989215E-3</v>
      </c>
      <c r="D65">
        <v>2.6067490221850509E-3</v>
      </c>
      <c r="E65">
        <v>-4.4518404351815422E-3</v>
      </c>
      <c r="F65">
        <v>-1.6869712678567628E-2</v>
      </c>
    </row>
    <row r="66" spans="1:6" x14ac:dyDescent="0.25">
      <c r="A66" s="35">
        <v>40755</v>
      </c>
      <c r="B66">
        <v>2.1200467332000539E-2</v>
      </c>
      <c r="D66">
        <v>1.7555130406444741E-2</v>
      </c>
      <c r="E66">
        <v>1.6866359647528029E-2</v>
      </c>
      <c r="F66">
        <v>-2.0004538464891808E-2</v>
      </c>
    </row>
    <row r="67" spans="1:6" x14ac:dyDescent="0.25">
      <c r="A67" s="35">
        <v>40786</v>
      </c>
      <c r="B67">
        <v>9.2483174529478518E-5</v>
      </c>
      <c r="D67">
        <v>1.9728570010407287E-2</v>
      </c>
      <c r="E67">
        <v>1.5204842079939995E-2</v>
      </c>
      <c r="F67">
        <v>-5.4975651744279541E-2</v>
      </c>
    </row>
    <row r="68" spans="1:6" x14ac:dyDescent="0.25">
      <c r="A68" s="35">
        <v>40816</v>
      </c>
      <c r="B68">
        <v>5.7587762619843996E-3</v>
      </c>
      <c r="D68">
        <v>-4.4823821037016209E-2</v>
      </c>
      <c r="E68">
        <v>7.705793418976592E-3</v>
      </c>
      <c r="F68">
        <v>-6.9420791948275329E-2</v>
      </c>
    </row>
    <row r="69" spans="1:6" x14ac:dyDescent="0.25">
      <c r="A69" s="35">
        <v>40847</v>
      </c>
      <c r="B69">
        <v>5.7445774555426876E-3</v>
      </c>
      <c r="D69">
        <v>5.9432721188454884E-3</v>
      </c>
      <c r="E69">
        <v>1.2648897077129906E-3</v>
      </c>
      <c r="F69">
        <v>0.10914712904344559</v>
      </c>
    </row>
    <row r="70" spans="1:6" x14ac:dyDescent="0.25">
      <c r="A70" s="35">
        <v>40877</v>
      </c>
      <c r="B70">
        <v>-1.1124083227198822E-2</v>
      </c>
      <c r="D70">
        <v>-4.7732864484705151E-2</v>
      </c>
      <c r="E70">
        <v>-3.3077493988833417E-3</v>
      </c>
      <c r="F70">
        <v>-4.0637549385384997E-3</v>
      </c>
    </row>
    <row r="71" spans="1:6" x14ac:dyDescent="0.25">
      <c r="A71" s="35">
        <v>40908</v>
      </c>
      <c r="B71">
        <v>2.8454572360369523E-2</v>
      </c>
      <c r="D71">
        <v>1.6389523835491415E-2</v>
      </c>
      <c r="E71">
        <v>1.3567172252466175E-2</v>
      </c>
      <c r="F71">
        <v>1.0448395694018231E-2</v>
      </c>
    </row>
    <row r="72" spans="1:6" x14ac:dyDescent="0.25">
      <c r="A72" s="35">
        <v>40939</v>
      </c>
      <c r="B72">
        <v>1.2954550826264066E-2</v>
      </c>
      <c r="D72">
        <v>-1.2712751525917332E-2</v>
      </c>
      <c r="E72">
        <v>7.2562650695562336E-3</v>
      </c>
      <c r="F72">
        <v>4.637456454331268E-2</v>
      </c>
    </row>
    <row r="73" spans="1:6" x14ac:dyDescent="0.25">
      <c r="A73" s="35">
        <v>40968</v>
      </c>
      <c r="B73">
        <v>1.7789150963654077E-3</v>
      </c>
      <c r="D73">
        <v>2.7258773377179857E-2</v>
      </c>
      <c r="E73">
        <v>-1.3540138575529603E-4</v>
      </c>
      <c r="F73">
        <v>4.3405393327891062E-2</v>
      </c>
    </row>
    <row r="74" spans="1:6" x14ac:dyDescent="0.25">
      <c r="A74" s="35">
        <v>40999</v>
      </c>
      <c r="B74">
        <v>6.7330806662608822E-3</v>
      </c>
      <c r="D74">
        <v>-1.1074928869126643E-2</v>
      </c>
      <c r="E74">
        <v>-5.7294656338595651E-3</v>
      </c>
      <c r="F74">
        <v>3.2163773439916055E-2</v>
      </c>
    </row>
    <row r="75" spans="1:6" x14ac:dyDescent="0.25">
      <c r="A75" s="35">
        <v>41029</v>
      </c>
      <c r="B75">
        <v>8.4707581508220997E-3</v>
      </c>
      <c r="D75">
        <v>1.2700050974492338E-2</v>
      </c>
      <c r="E75">
        <v>9.0596369977262725E-3</v>
      </c>
      <c r="F75">
        <v>-6.675679994346928E-3</v>
      </c>
    </row>
    <row r="76" spans="1:6" x14ac:dyDescent="0.25">
      <c r="A76" s="35">
        <v>41060</v>
      </c>
      <c r="B76">
        <v>5.095019701222725E-3</v>
      </c>
      <c r="D76">
        <v>-3.3768465102590683E-2</v>
      </c>
      <c r="E76">
        <v>1.0781919697119946E-2</v>
      </c>
      <c r="F76">
        <v>-6.0055727932028291E-2</v>
      </c>
    </row>
    <row r="77" spans="1:6" x14ac:dyDescent="0.25">
      <c r="A77" s="35">
        <v>41090</v>
      </c>
      <c r="B77">
        <v>1.3014147771222007E-3</v>
      </c>
      <c r="D77">
        <v>9.6929870553454922E-3</v>
      </c>
      <c r="E77">
        <v>-1.9753630170193937E-4</v>
      </c>
      <c r="F77">
        <v>4.0581063304806486E-2</v>
      </c>
    </row>
    <row r="78" spans="1:6" x14ac:dyDescent="0.25">
      <c r="A78" s="35">
        <v>41121</v>
      </c>
      <c r="B78">
        <v>1.8735222149739217E-2</v>
      </c>
      <c r="D78">
        <v>1.0528243109694024E-2</v>
      </c>
      <c r="E78">
        <v>1.362107213630237E-2</v>
      </c>
      <c r="F78">
        <v>1.1829544239647882E-2</v>
      </c>
    </row>
    <row r="79" spans="1:6" x14ac:dyDescent="0.25">
      <c r="A79" s="35">
        <v>41152</v>
      </c>
      <c r="B79">
        <v>1.0167286148009769E-2</v>
      </c>
      <c r="D79">
        <v>2.2244141859520949E-2</v>
      </c>
      <c r="E79">
        <v>3.9755314373834949E-8</v>
      </c>
      <c r="F79">
        <v>2.5052619658628705E-2</v>
      </c>
    </row>
    <row r="80" spans="1:6" x14ac:dyDescent="0.25">
      <c r="A80" s="35">
        <v>41182</v>
      </c>
      <c r="B80">
        <v>1.9898966357545733E-2</v>
      </c>
      <c r="D80">
        <v>1.6758024596950083E-2</v>
      </c>
      <c r="E80">
        <v>2.6660409710501654E-3</v>
      </c>
      <c r="F80">
        <v>2.5350914725459361E-2</v>
      </c>
    </row>
    <row r="81" spans="1:6" x14ac:dyDescent="0.25">
      <c r="A81" s="35">
        <v>41213</v>
      </c>
      <c r="B81">
        <v>2.4795637871626308E-3</v>
      </c>
      <c r="D81">
        <v>1.4277913989116708E-2</v>
      </c>
      <c r="E81">
        <v>-4.7215741273953782E-4</v>
      </c>
      <c r="F81">
        <v>-1.8198201817352877E-2</v>
      </c>
    </row>
    <row r="82" spans="1:6" x14ac:dyDescent="0.25">
      <c r="A82" s="35">
        <v>41243</v>
      </c>
      <c r="B82">
        <v>9.6331617424114668E-3</v>
      </c>
      <c r="D82">
        <v>-8.7766369258934773E-3</v>
      </c>
      <c r="E82">
        <v>2.7066002506344056E-3</v>
      </c>
      <c r="F82">
        <v>5.6596199272587189E-3</v>
      </c>
    </row>
    <row r="83" spans="1:6" x14ac:dyDescent="0.25">
      <c r="A83" s="35">
        <v>41274</v>
      </c>
      <c r="B83">
        <v>5.677198022329133E-3</v>
      </c>
      <c r="D83">
        <v>6.177521730669655E-3</v>
      </c>
      <c r="E83">
        <v>-2.4521452675964062E-3</v>
      </c>
      <c r="F83">
        <v>8.9344987474277993E-3</v>
      </c>
    </row>
    <row r="84" spans="1:6" x14ac:dyDescent="0.25">
      <c r="A84" s="35">
        <v>41305</v>
      </c>
      <c r="B84">
        <v>-4.587577674999288E-4</v>
      </c>
      <c r="D84">
        <v>1.5544133198561738E-3</v>
      </c>
      <c r="E84">
        <v>-6.2117615154720918E-3</v>
      </c>
      <c r="F84">
        <v>5.1190175669523219E-2</v>
      </c>
    </row>
    <row r="85" spans="1:6" x14ac:dyDescent="0.25">
      <c r="A85" s="35">
        <v>41333</v>
      </c>
      <c r="B85">
        <v>7.0601863942802989E-3</v>
      </c>
      <c r="D85">
        <v>-2.6736798374619286E-2</v>
      </c>
      <c r="E85">
        <v>5.9085509619494214E-3</v>
      </c>
      <c r="F85">
        <v>1.2758874885075988E-2</v>
      </c>
    </row>
    <row r="86" spans="1:6" x14ac:dyDescent="0.25">
      <c r="A86" s="35">
        <v>41364</v>
      </c>
      <c r="B86">
        <v>7.7577959348891223E-3</v>
      </c>
      <c r="D86">
        <v>-4.7222431855336033E-3</v>
      </c>
      <c r="E86">
        <v>9.8537293656053571E-4</v>
      </c>
      <c r="F86">
        <v>3.7971169863387777E-2</v>
      </c>
    </row>
    <row r="87" spans="1:6" x14ac:dyDescent="0.25">
      <c r="A87" s="35">
        <v>41394</v>
      </c>
      <c r="B87">
        <v>7.1586745923553075E-3</v>
      </c>
      <c r="D87">
        <v>2.3211904547682405E-2</v>
      </c>
      <c r="E87">
        <v>9.6858938999277999E-3</v>
      </c>
      <c r="F87">
        <v>1.9212322075700561E-2</v>
      </c>
    </row>
    <row r="88" spans="1:6" x14ac:dyDescent="0.25">
      <c r="A88" s="35">
        <v>41425</v>
      </c>
      <c r="B88">
        <v>-1.9523377328873326E-2</v>
      </c>
      <c r="D88">
        <v>-3.1397178515931601E-2</v>
      </c>
      <c r="E88">
        <v>-2.001114542324034E-2</v>
      </c>
      <c r="F88">
        <v>2.3609745795869275E-2</v>
      </c>
    </row>
    <row r="89" spans="1:6" x14ac:dyDescent="0.25">
      <c r="A89" s="35">
        <v>41455</v>
      </c>
      <c r="B89">
        <v>-1.8822725363579207E-2</v>
      </c>
      <c r="D89">
        <v>-2.2395590128185705E-2</v>
      </c>
      <c r="E89">
        <v>-1.5654451468650965E-2</v>
      </c>
      <c r="F89">
        <v>-1.3344497098375707E-2</v>
      </c>
    </row>
    <row r="90" spans="1:6" x14ac:dyDescent="0.25">
      <c r="A90" s="35">
        <v>41486</v>
      </c>
      <c r="B90">
        <v>8.2803307559446981E-3</v>
      </c>
      <c r="D90">
        <v>2.5308504971970791E-2</v>
      </c>
      <c r="E90">
        <v>2.6913410946103333E-3</v>
      </c>
      <c r="F90">
        <v>5.1676905631604875E-2</v>
      </c>
    </row>
    <row r="91" spans="1:6" x14ac:dyDescent="0.25">
      <c r="A91" s="35">
        <v>41517</v>
      </c>
      <c r="B91">
        <v>-4.0631025235626783E-3</v>
      </c>
      <c r="D91">
        <v>-7.2903707501523751E-3</v>
      </c>
      <c r="E91">
        <v>-8.2637638595317586E-3</v>
      </c>
      <c r="F91">
        <v>-2.9992372485860397E-2</v>
      </c>
    </row>
    <row r="92" spans="1:6" x14ac:dyDescent="0.25">
      <c r="A92" s="35">
        <v>41547</v>
      </c>
      <c r="B92">
        <v>5.4223606455727769E-3</v>
      </c>
      <c r="D92">
        <v>2.8898236113057196E-2</v>
      </c>
      <c r="E92">
        <v>1.1206295377440556E-2</v>
      </c>
      <c r="F92">
        <v>3.1646433255809292E-2</v>
      </c>
    </row>
    <row r="93" spans="1:6" x14ac:dyDescent="0.25">
      <c r="A93" s="35">
        <v>41578</v>
      </c>
      <c r="B93">
        <v>8.621347310549865E-3</v>
      </c>
      <c r="D93">
        <v>1.3763948347134125E-2</v>
      </c>
      <c r="E93">
        <v>8.3264333351931175E-3</v>
      </c>
      <c r="F93">
        <v>4.6306759685014853E-2</v>
      </c>
    </row>
    <row r="94" spans="1:6" x14ac:dyDescent="0.25">
      <c r="A94" s="35">
        <v>41608</v>
      </c>
      <c r="B94">
        <v>5.1760157186677702E-3</v>
      </c>
      <c r="D94">
        <v>-1.0908028652716784E-2</v>
      </c>
      <c r="E94">
        <v>-2.5066899729843106E-3</v>
      </c>
      <c r="F94">
        <v>2.9637676799003421E-2</v>
      </c>
    </row>
    <row r="95" spans="1:6" x14ac:dyDescent="0.25">
      <c r="A95" s="35">
        <v>41639</v>
      </c>
      <c r="B95">
        <v>-9.2258707042380816E-4</v>
      </c>
      <c r="D95">
        <v>-7.8964690645455526E-4</v>
      </c>
      <c r="E95">
        <v>-5.5675102447354519E-3</v>
      </c>
      <c r="F95">
        <v>2.5926447458732627E-2</v>
      </c>
    </row>
    <row r="96" spans="1:6" x14ac:dyDescent="0.25">
      <c r="A96" s="35">
        <v>41670</v>
      </c>
      <c r="B96">
        <v>9.1291511565121386E-3</v>
      </c>
      <c r="D96">
        <v>5.4895258744431796E-3</v>
      </c>
      <c r="E96">
        <v>1.5409180333327388E-2</v>
      </c>
      <c r="F96">
        <v>-3.5248303290587479E-2</v>
      </c>
    </row>
    <row r="97" spans="1:6" x14ac:dyDescent="0.25">
      <c r="A97" s="35">
        <v>41698</v>
      </c>
      <c r="B97">
        <v>8.3960006597383341E-3</v>
      </c>
      <c r="D97">
        <v>2.2053025426741923E-2</v>
      </c>
      <c r="E97">
        <v>3.7639591411762208E-3</v>
      </c>
      <c r="F97">
        <v>4.5515775951320503E-2</v>
      </c>
    </row>
    <row r="98" spans="1:6" x14ac:dyDescent="0.25">
      <c r="A98" s="35">
        <v>41729</v>
      </c>
      <c r="B98">
        <v>6.7521772303933414E-3</v>
      </c>
      <c r="D98">
        <v>2.2098304065205632E-3</v>
      </c>
      <c r="E98">
        <v>-1.480475353023758E-3</v>
      </c>
      <c r="F98">
        <v>8.2955864585396721E-3</v>
      </c>
    </row>
    <row r="99" spans="1:6" x14ac:dyDescent="0.25">
      <c r="A99" s="35">
        <v>41759</v>
      </c>
      <c r="B99">
        <v>6.7206686213827638E-3</v>
      </c>
      <c r="D99">
        <v>1.3974103705743923E-2</v>
      </c>
      <c r="E99">
        <v>8.2168030990656948E-3</v>
      </c>
      <c r="F99">
        <v>6.951512256845982E-3</v>
      </c>
    </row>
    <row r="100" spans="1:6" x14ac:dyDescent="0.25">
      <c r="A100" s="35">
        <v>41790</v>
      </c>
      <c r="B100">
        <v>5.7589815686533985E-3</v>
      </c>
      <c r="D100">
        <v>-3.1677804792651365E-4</v>
      </c>
      <c r="E100">
        <v>1.1790590848283822E-2</v>
      </c>
      <c r="F100">
        <v>2.3206390276856226E-2</v>
      </c>
    </row>
    <row r="101" spans="1:6" x14ac:dyDescent="0.25">
      <c r="A101" s="35">
        <v>41820</v>
      </c>
      <c r="B101">
        <v>8.974200154272749E-3</v>
      </c>
      <c r="D101">
        <v>1.2105636793514174E-2</v>
      </c>
      <c r="E101">
        <v>-5.7551875408612396E-4</v>
      </c>
      <c r="F101">
        <v>2.0644862545368348E-2</v>
      </c>
    </row>
    <row r="102" spans="1:6" x14ac:dyDescent="0.25">
      <c r="A102" s="35">
        <v>41851</v>
      </c>
      <c r="B102">
        <v>8.8148659143052477E-3</v>
      </c>
      <c r="D102">
        <v>-1.3600936071189063E-2</v>
      </c>
      <c r="E102">
        <v>-2.5090308029929176E-3</v>
      </c>
      <c r="F102">
        <v>-1.3437591212895672E-2</v>
      </c>
    </row>
    <row r="103" spans="1:6" x14ac:dyDescent="0.25">
      <c r="A103" s="35">
        <v>41882</v>
      </c>
      <c r="B103">
        <v>1.5317079545781542E-2</v>
      </c>
      <c r="D103">
        <v>1.9307053816166597E-3</v>
      </c>
      <c r="E103">
        <v>1.1496385365127981E-2</v>
      </c>
      <c r="F103">
        <v>3.9463518839607081E-2</v>
      </c>
    </row>
    <row r="104" spans="1:6" x14ac:dyDescent="0.25">
      <c r="A104" s="35">
        <v>41912</v>
      </c>
      <c r="B104">
        <v>9.0744397942255084E-4</v>
      </c>
      <c r="D104">
        <v>-4.2538783232313859E-2</v>
      </c>
      <c r="E104">
        <v>-6.1484200418729928E-3</v>
      </c>
      <c r="F104">
        <v>-1.3796255836847737E-2</v>
      </c>
    </row>
    <row r="105" spans="1:6" x14ac:dyDescent="0.25">
      <c r="A105" s="35">
        <v>41943</v>
      </c>
      <c r="B105">
        <v>6.1290334122825474E-3</v>
      </c>
      <c r="D105">
        <v>-6.7581419741871152E-3</v>
      </c>
      <c r="E105">
        <v>1.0640718834435736E-2</v>
      </c>
      <c r="F105">
        <v>2.3550906788805781E-2</v>
      </c>
    </row>
    <row r="106" spans="1:6" x14ac:dyDescent="0.25">
      <c r="A106" s="35">
        <v>41973</v>
      </c>
      <c r="B106">
        <v>1.3895533668864868E-2</v>
      </c>
      <c r="D106">
        <v>-6.5020600262997164E-3</v>
      </c>
      <c r="E106">
        <v>6.5703238738048508E-3</v>
      </c>
      <c r="F106">
        <v>2.7471947995168167E-2</v>
      </c>
    </row>
    <row r="107" spans="1:6" x14ac:dyDescent="0.25">
      <c r="A107" s="35">
        <v>42004</v>
      </c>
      <c r="B107">
        <v>1.1701360193112631E-2</v>
      </c>
      <c r="D107">
        <v>-8.9675057494066346E-3</v>
      </c>
      <c r="E107">
        <v>1.4760643332749623E-3</v>
      </c>
      <c r="F107">
        <v>-2.5366090033506206E-3</v>
      </c>
    </row>
    <row r="108" spans="1:6" x14ac:dyDescent="0.25">
      <c r="A108" s="35">
        <v>42035</v>
      </c>
      <c r="B108">
        <v>1.959440712181304E-2</v>
      </c>
      <c r="D108">
        <v>-2.8208255820871275E-2</v>
      </c>
      <c r="E108">
        <v>2.0523017867023707E-2</v>
      </c>
      <c r="F108">
        <v>-2.9629253756223051E-2</v>
      </c>
    </row>
    <row r="109" spans="1:6" x14ac:dyDescent="0.25">
      <c r="A109" s="35">
        <v>42063</v>
      </c>
      <c r="B109">
        <v>-1.9137936759199281E-3</v>
      </c>
      <c r="D109">
        <v>-8.1880775508641479E-3</v>
      </c>
      <c r="E109">
        <v>-8.9480026614139341E-3</v>
      </c>
      <c r="F109">
        <v>5.620459537799305E-2</v>
      </c>
    </row>
    <row r="110" spans="1:6" x14ac:dyDescent="0.25">
      <c r="A110" s="35">
        <v>42094</v>
      </c>
      <c r="B110">
        <v>6.9478986261519715E-3</v>
      </c>
      <c r="D110">
        <v>-1.7602192426503183E-2</v>
      </c>
      <c r="E110">
        <v>3.7473194109920449E-3</v>
      </c>
      <c r="F110">
        <v>-1.5705720382634847E-2</v>
      </c>
    </row>
    <row r="111" spans="1:6" x14ac:dyDescent="0.25">
      <c r="A111" s="35">
        <v>42124</v>
      </c>
      <c r="B111">
        <v>-1.1626707065275244E-2</v>
      </c>
      <c r="D111">
        <v>2.2508720354327272E-2</v>
      </c>
      <c r="E111">
        <v>-3.2278489168864333E-3</v>
      </c>
      <c r="F111">
        <v>9.8339115668917287E-3</v>
      </c>
    </row>
    <row r="112" spans="1:6" x14ac:dyDescent="0.25">
      <c r="A112" s="35">
        <v>42155</v>
      </c>
      <c r="B112">
        <v>-1.2414884208695076E-2</v>
      </c>
      <c r="D112">
        <v>-3.516082446730695E-2</v>
      </c>
      <c r="E112">
        <v>-4.3739949676774303E-3</v>
      </c>
      <c r="F112">
        <v>1.2856148709845971E-2</v>
      </c>
    </row>
    <row r="113" spans="1:6" x14ac:dyDescent="0.25">
      <c r="A113" s="35">
        <v>42185</v>
      </c>
      <c r="B113">
        <v>-1.743901010526705E-2</v>
      </c>
      <c r="D113">
        <v>-5.3173789678008232E-3</v>
      </c>
      <c r="E113">
        <v>-1.0767173151266407E-2</v>
      </c>
      <c r="F113">
        <v>-2.0312060889443484E-2</v>
      </c>
    </row>
    <row r="114" spans="1:6" x14ac:dyDescent="0.25">
      <c r="A114" s="35">
        <v>42216</v>
      </c>
      <c r="B114">
        <v>1.7876665688246085E-2</v>
      </c>
      <c r="D114">
        <v>4.4553515124112764E-4</v>
      </c>
      <c r="E114">
        <v>8.6216292791709837E-3</v>
      </c>
      <c r="F114">
        <v>2.2589235431014654E-2</v>
      </c>
    </row>
    <row r="115" spans="1:6" x14ac:dyDescent="0.25">
      <c r="A115" s="35">
        <v>42247</v>
      </c>
      <c r="B115">
        <v>-8.8874137919435769E-3</v>
      </c>
      <c r="D115">
        <v>6.0126628670447158E-3</v>
      </c>
      <c r="E115">
        <v>-3.3581406220829502E-3</v>
      </c>
      <c r="F115">
        <v>-6.0950127139620225E-2</v>
      </c>
    </row>
    <row r="116" spans="1:6" x14ac:dyDescent="0.25">
      <c r="A116" s="35">
        <v>42277</v>
      </c>
      <c r="B116">
        <v>3.1206128915808318E-3</v>
      </c>
      <c r="D116">
        <v>7.8704159899267712E-3</v>
      </c>
      <c r="E116">
        <v>8.1142733735828365E-3</v>
      </c>
      <c r="F116">
        <v>-2.5515915152330315E-2</v>
      </c>
    </row>
    <row r="117" spans="1:6" x14ac:dyDescent="0.25">
      <c r="A117" s="35">
        <v>42308</v>
      </c>
      <c r="B117">
        <v>7.7360461425270977E-3</v>
      </c>
      <c r="D117">
        <v>-4.1735911242689605E-3</v>
      </c>
      <c r="E117">
        <v>6.8567939396801947E-4</v>
      </c>
      <c r="F117">
        <v>8.5059687802027995E-2</v>
      </c>
    </row>
    <row r="118" spans="1:6" x14ac:dyDescent="0.25">
      <c r="A118" s="35">
        <v>42338</v>
      </c>
      <c r="B118">
        <v>4.7798911066716521E-3</v>
      </c>
      <c r="D118">
        <v>-2.525642944879225E-2</v>
      </c>
      <c r="E118">
        <v>-3.8906843478313524E-3</v>
      </c>
      <c r="F118">
        <v>3.6551210017865543E-3</v>
      </c>
    </row>
    <row r="119" spans="1:6" x14ac:dyDescent="0.25">
      <c r="A119" s="36">
        <v>42369</v>
      </c>
      <c r="B119">
        <v>-6.9620223684687677E-3</v>
      </c>
      <c r="C119">
        <v>-6.9321180683211692E-3</v>
      </c>
      <c r="D119">
        <v>1.4867187967613438E-2</v>
      </c>
      <c r="E119">
        <v>-1.9170836352168097E-3</v>
      </c>
      <c r="F119">
        <v>-1.728252246446571E-2</v>
      </c>
    </row>
    <row r="120" spans="1:6" x14ac:dyDescent="0.25">
      <c r="A120" s="35">
        <v>42400</v>
      </c>
      <c r="B120">
        <v>1.0496976173408834E-2</v>
      </c>
      <c r="C120">
        <v>1.8348662796865201E-2</v>
      </c>
      <c r="D120">
        <v>1.1598095618702509E-2</v>
      </c>
      <c r="E120">
        <v>1.2406222967001446E-2</v>
      </c>
      <c r="F120">
        <v>-4.9786600738369491E-2</v>
      </c>
    </row>
    <row r="121" spans="1:6" x14ac:dyDescent="0.25">
      <c r="A121" s="35">
        <v>42429</v>
      </c>
      <c r="B121">
        <v>4.2967470917165684E-3</v>
      </c>
      <c r="C121">
        <v>4.5045039680342569E-3</v>
      </c>
      <c r="D121">
        <v>3.0536922466753769E-2</v>
      </c>
      <c r="E121">
        <v>8.8707798572527086E-3</v>
      </c>
      <c r="F121">
        <v>-8.2595346583225204E-4</v>
      </c>
    </row>
    <row r="122" spans="1:6" x14ac:dyDescent="0.25">
      <c r="A122" s="35">
        <v>42460</v>
      </c>
      <c r="B122">
        <v>1.1741813927486078E-2</v>
      </c>
      <c r="C122">
        <v>8.5201862661810068E-3</v>
      </c>
      <c r="D122">
        <v>3.9687618194404584E-2</v>
      </c>
      <c r="E122">
        <v>8.7468129018521967E-3</v>
      </c>
      <c r="F122">
        <v>6.7266071868547384E-2</v>
      </c>
    </row>
    <row r="123" spans="1:6" x14ac:dyDescent="0.25">
      <c r="A123" s="35">
        <v>42490</v>
      </c>
      <c r="B123">
        <v>3.1511004818711719E-3</v>
      </c>
      <c r="C123">
        <v>-3.4218589587809989E-3</v>
      </c>
      <c r="D123">
        <v>1.6804346696772221E-2</v>
      </c>
      <c r="E123">
        <v>2.5495532134043319E-3</v>
      </c>
      <c r="F123">
        <v>3.9412095560900084E-3</v>
      </c>
    </row>
    <row r="124" spans="1:6" x14ac:dyDescent="0.25">
      <c r="A124" s="35">
        <v>42521</v>
      </c>
      <c r="B124">
        <v>5.4048874057688323E-3</v>
      </c>
      <c r="C124">
        <v>9.3951534735983167E-3</v>
      </c>
      <c r="D124">
        <v>-2.3037395349686518E-2</v>
      </c>
      <c r="E124">
        <v>1.3548756570846976E-4</v>
      </c>
      <c r="F124">
        <v>1.7011556653318882E-2</v>
      </c>
    </row>
    <row r="125" spans="1:6" x14ac:dyDescent="0.25">
      <c r="A125" s="35">
        <v>42551</v>
      </c>
      <c r="B125">
        <v>2.2704115392310653E-2</v>
      </c>
      <c r="C125">
        <v>2.0361064920755512E-2</v>
      </c>
      <c r="D125">
        <v>3.1749364127963364E-2</v>
      </c>
      <c r="E125">
        <v>1.9351588850603729E-2</v>
      </c>
      <c r="F125">
        <v>3.4758509617067723E-3</v>
      </c>
    </row>
    <row r="126" spans="1:6" x14ac:dyDescent="0.25">
      <c r="A126" s="35">
        <v>42582</v>
      </c>
      <c r="B126">
        <v>9.770369973127524E-3</v>
      </c>
      <c r="C126">
        <v>8.6791832976098604E-3</v>
      </c>
      <c r="D126">
        <v>1.2907380451399275E-2</v>
      </c>
      <c r="E126">
        <v>5.444421124042309E-3</v>
      </c>
      <c r="F126">
        <v>3.6471255818042447E-2</v>
      </c>
    </row>
    <row r="127" spans="1:6" x14ac:dyDescent="0.25">
      <c r="A127" s="35">
        <v>42613</v>
      </c>
      <c r="B127">
        <v>2.8490976538446677E-3</v>
      </c>
      <c r="C127">
        <v>1.309861452827521E-3</v>
      </c>
      <c r="D127">
        <v>-1.224895438870921E-2</v>
      </c>
      <c r="E127">
        <v>-2.1539591480986831E-3</v>
      </c>
      <c r="F127">
        <v>1.1975437845601622E-3</v>
      </c>
    </row>
    <row r="128" spans="1:6" x14ac:dyDescent="0.25">
      <c r="A128" s="35">
        <v>42643</v>
      </c>
      <c r="B128">
        <v>3.5074948922122484E-3</v>
      </c>
      <c r="C128">
        <v>5.6068884024118582E-4</v>
      </c>
      <c r="D128">
        <v>8.2338316445187409E-3</v>
      </c>
      <c r="E128">
        <v>5.1616304927826206E-4</v>
      </c>
      <c r="F128">
        <v>5.8013178934945842E-5</v>
      </c>
    </row>
    <row r="129" spans="1:6" x14ac:dyDescent="0.25">
      <c r="A129" s="35">
        <v>42674</v>
      </c>
      <c r="B129">
        <v>-7.9386780466701445E-3</v>
      </c>
      <c r="C129">
        <v>-1.4797623169793273E-2</v>
      </c>
      <c r="D129">
        <v>-4.2254355851686465E-2</v>
      </c>
      <c r="E129">
        <v>-8.1716519917208741E-3</v>
      </c>
      <c r="F129">
        <v>-1.7337033138540847E-2</v>
      </c>
    </row>
    <row r="130" spans="1:6" x14ac:dyDescent="0.25">
      <c r="A130" s="35">
        <v>42704</v>
      </c>
      <c r="B130">
        <v>-8.9604831081753211E-3</v>
      </c>
      <c r="C130">
        <v>-1.1439329661325215E-2</v>
      </c>
      <c r="D130">
        <v>-5.2344749134268787E-2</v>
      </c>
      <c r="E130">
        <v>-2.5654920155702809E-2</v>
      </c>
      <c r="F130">
        <v>3.6838396597744794E-2</v>
      </c>
    </row>
    <row r="131" spans="1:6" x14ac:dyDescent="0.25">
      <c r="A131" s="35">
        <v>42735</v>
      </c>
      <c r="B131">
        <v>7.411362006892297E-3</v>
      </c>
      <c r="C131">
        <v>5.8809837653612806E-3</v>
      </c>
      <c r="D131">
        <v>-8.5108920126418797E-3</v>
      </c>
      <c r="E131">
        <v>2.5413247178476261E-3</v>
      </c>
      <c r="F131">
        <v>2.0271805376194107E-2</v>
      </c>
    </row>
    <row r="132" spans="1:6" x14ac:dyDescent="0.25">
      <c r="A132" s="35">
        <v>42766</v>
      </c>
      <c r="B132">
        <v>-8.0302676079889723E-3</v>
      </c>
      <c r="C132">
        <v>-1.2124144801151537E-2</v>
      </c>
      <c r="D132">
        <v>1.3694090587197838E-2</v>
      </c>
      <c r="E132">
        <v>2.12848439858071E-3</v>
      </c>
      <c r="F132">
        <v>1.7894689830871391E-2</v>
      </c>
    </row>
    <row r="133" spans="1:6" x14ac:dyDescent="0.25">
      <c r="A133" s="35">
        <v>42794</v>
      </c>
      <c r="B133">
        <v>1.2536162005786E-2</v>
      </c>
      <c r="C133">
        <v>1.1437717140961201E-2</v>
      </c>
      <c r="D133">
        <v>-9.6673548871251125E-4</v>
      </c>
      <c r="E133">
        <v>6.7362404050543834E-3</v>
      </c>
      <c r="F133">
        <v>4.2104346864608067E-2</v>
      </c>
    </row>
    <row r="134" spans="1:6" x14ac:dyDescent="0.25">
      <c r="A134" s="2"/>
    </row>
    <row r="135" spans="1:6" x14ac:dyDescent="0.25">
      <c r="A135" s="2"/>
    </row>
    <row r="136" spans="1:6" x14ac:dyDescent="0.25">
      <c r="A136" s="2"/>
    </row>
    <row r="137" spans="1:6" x14ac:dyDescent="0.25">
      <c r="A137" s="2"/>
    </row>
    <row r="138" spans="1:6" x14ac:dyDescent="0.25">
      <c r="A138" s="2"/>
    </row>
    <row r="139" spans="1:6" x14ac:dyDescent="0.25">
      <c r="A139" s="2"/>
    </row>
    <row r="140" spans="1:6" x14ac:dyDescent="0.25">
      <c r="A140" s="2"/>
    </row>
    <row r="141" spans="1:6" x14ac:dyDescent="0.25">
      <c r="A141" s="2"/>
    </row>
    <row r="142" spans="1:6" x14ac:dyDescent="0.25">
      <c r="A142" s="2"/>
    </row>
    <row r="143" spans="1:6" x14ac:dyDescent="0.25">
      <c r="A143" s="2"/>
    </row>
    <row r="144" spans="1:6" x14ac:dyDescent="0.25">
      <c r="A144" s="2"/>
    </row>
    <row r="145" spans="1:1" x14ac:dyDescent="0.25">
      <c r="A145" s="2"/>
    </row>
    <row r="146" spans="1:1" x14ac:dyDescent="0.25">
      <c r="A146" s="2"/>
    </row>
    <row r="147" spans="1:1" x14ac:dyDescent="0.25">
      <c r="A147" s="2"/>
    </row>
    <row r="148" spans="1:1" x14ac:dyDescent="0.25">
      <c r="A148" s="2"/>
    </row>
    <row r="149" spans="1:1" x14ac:dyDescent="0.25">
      <c r="A149" s="2"/>
    </row>
    <row r="150" spans="1:1" x14ac:dyDescent="0.25">
      <c r="A150" s="2"/>
    </row>
    <row r="151" spans="1:1" x14ac:dyDescent="0.25">
      <c r="A151" s="2"/>
    </row>
    <row r="152" spans="1:1" x14ac:dyDescent="0.25">
      <c r="A152" s="2"/>
    </row>
    <row r="153" spans="1:1" x14ac:dyDescent="0.25">
      <c r="A153" s="2"/>
    </row>
    <row r="154" spans="1:1" x14ac:dyDescent="0.25">
      <c r="A154" s="2"/>
    </row>
    <row r="155" spans="1:1" x14ac:dyDescent="0.25">
      <c r="A155" s="2"/>
    </row>
    <row r="156" spans="1:1" x14ac:dyDescent="0.25">
      <c r="A156" s="2"/>
    </row>
    <row r="157" spans="1:1" x14ac:dyDescent="0.25">
      <c r="A157" s="2"/>
    </row>
    <row r="158" spans="1:1" x14ac:dyDescent="0.25">
      <c r="A158" s="2"/>
    </row>
    <row r="159" spans="1:1" x14ac:dyDescent="0.25">
      <c r="A159" s="2"/>
    </row>
    <row r="160" spans="1:1" x14ac:dyDescent="0.25">
      <c r="A160" s="2"/>
    </row>
    <row r="161" spans="1:1" x14ac:dyDescent="0.25">
      <c r="A161" s="2"/>
    </row>
    <row r="162" spans="1:1" x14ac:dyDescent="0.25">
      <c r="A162" s="2"/>
    </row>
    <row r="163" spans="1:1" x14ac:dyDescent="0.25">
      <c r="A163" s="2"/>
    </row>
    <row r="164" spans="1:1" x14ac:dyDescent="0.25">
      <c r="A164" s="2"/>
    </row>
    <row r="165" spans="1:1" x14ac:dyDescent="0.25">
      <c r="A165" s="2"/>
    </row>
    <row r="166" spans="1:1" x14ac:dyDescent="0.25">
      <c r="A166" s="2"/>
    </row>
    <row r="167" spans="1:1" x14ac:dyDescent="0.25">
      <c r="A167" s="2"/>
    </row>
    <row r="168" spans="1:1" x14ac:dyDescent="0.25">
      <c r="A168" s="2"/>
    </row>
    <row r="169" spans="1:1" x14ac:dyDescent="0.25">
      <c r="A169" s="2"/>
    </row>
    <row r="170" spans="1:1" x14ac:dyDescent="0.25">
      <c r="A170" s="2"/>
    </row>
    <row r="171" spans="1:1" x14ac:dyDescent="0.25">
      <c r="A171" s="2"/>
    </row>
    <row r="172" spans="1:1" x14ac:dyDescent="0.25">
      <c r="A172" s="2"/>
    </row>
    <row r="173" spans="1:1" x14ac:dyDescent="0.25">
      <c r="A173" s="2"/>
    </row>
    <row r="174" spans="1:1" x14ac:dyDescent="0.25">
      <c r="A174" s="2"/>
    </row>
    <row r="175" spans="1:1" x14ac:dyDescent="0.25">
      <c r="A175" s="2"/>
    </row>
    <row r="176" spans="1:1" x14ac:dyDescent="0.25">
      <c r="A176" s="2"/>
    </row>
    <row r="177" spans="1:1" x14ac:dyDescent="0.25">
      <c r="A177" s="2"/>
    </row>
    <row r="178" spans="1:1" x14ac:dyDescent="0.25">
      <c r="A178" s="2"/>
    </row>
    <row r="179" spans="1:1" x14ac:dyDescent="0.25">
      <c r="A179" s="2"/>
    </row>
    <row r="180" spans="1:1" x14ac:dyDescent="0.25">
      <c r="A180" s="2"/>
    </row>
    <row r="181" spans="1:1" x14ac:dyDescent="0.25">
      <c r="A181" s="2"/>
    </row>
    <row r="182" spans="1:1" x14ac:dyDescent="0.25">
      <c r="A182" s="2"/>
    </row>
    <row r="183" spans="1:1" x14ac:dyDescent="0.25">
      <c r="A183" s="2"/>
    </row>
    <row r="184" spans="1:1" x14ac:dyDescent="0.25">
      <c r="A184" s="2"/>
    </row>
    <row r="185" spans="1:1" x14ac:dyDescent="0.25">
      <c r="A185" s="2"/>
    </row>
    <row r="186" spans="1:1" x14ac:dyDescent="0.25">
      <c r="A186" s="2"/>
    </row>
    <row r="187" spans="1:1" x14ac:dyDescent="0.25">
      <c r="A187" s="2"/>
    </row>
    <row r="188" spans="1:1" x14ac:dyDescent="0.25">
      <c r="A188" s="2"/>
    </row>
    <row r="189" spans="1:1" x14ac:dyDescent="0.25">
      <c r="A189" s="2"/>
    </row>
    <row r="190" spans="1:1" x14ac:dyDescent="0.25">
      <c r="A190" s="2"/>
    </row>
    <row r="191" spans="1:1" x14ac:dyDescent="0.25">
      <c r="A191" s="2"/>
    </row>
    <row r="192" spans="1:1" x14ac:dyDescent="0.25">
      <c r="A192" s="2"/>
    </row>
    <row r="193" spans="1:1" x14ac:dyDescent="0.25">
      <c r="A193" s="2"/>
    </row>
    <row r="194" spans="1:1" x14ac:dyDescent="0.25">
      <c r="A194" s="2"/>
    </row>
    <row r="195" spans="1:1" x14ac:dyDescent="0.25">
      <c r="A195" s="2"/>
    </row>
    <row r="196" spans="1:1" x14ac:dyDescent="0.25">
      <c r="A196" s="2"/>
    </row>
    <row r="197" spans="1:1" x14ac:dyDescent="0.25">
      <c r="A197" s="2"/>
    </row>
    <row r="198" spans="1:1" x14ac:dyDescent="0.25">
      <c r="A198" s="2"/>
    </row>
    <row r="199" spans="1:1" x14ac:dyDescent="0.25">
      <c r="A199" s="2"/>
    </row>
    <row r="200" spans="1:1" x14ac:dyDescent="0.25">
      <c r="A200" s="2"/>
    </row>
    <row r="201" spans="1:1" x14ac:dyDescent="0.25">
      <c r="A201" s="2"/>
    </row>
    <row r="202" spans="1:1" x14ac:dyDescent="0.25">
      <c r="A202" s="2"/>
    </row>
    <row r="203" spans="1:1" x14ac:dyDescent="0.25">
      <c r="A203" s="2"/>
    </row>
    <row r="204" spans="1:1" x14ac:dyDescent="0.25">
      <c r="A204" s="2"/>
    </row>
    <row r="205" spans="1:1" x14ac:dyDescent="0.25">
      <c r="A205" s="2"/>
    </row>
    <row r="206" spans="1:1" x14ac:dyDescent="0.25">
      <c r="A206" s="2"/>
    </row>
    <row r="207" spans="1:1" x14ac:dyDescent="0.25">
      <c r="A207" s="2"/>
    </row>
    <row r="208" spans="1:1" x14ac:dyDescent="0.25">
      <c r="A208" s="2"/>
    </row>
    <row r="209" spans="1:1" x14ac:dyDescent="0.25">
      <c r="A209" s="2"/>
    </row>
    <row r="210" spans="1:1" x14ac:dyDescent="0.25">
      <c r="A210" s="2"/>
    </row>
    <row r="211" spans="1:1" x14ac:dyDescent="0.25">
      <c r="A211" s="2"/>
    </row>
    <row r="212" spans="1:1" x14ac:dyDescent="0.25">
      <c r="A212" s="2"/>
    </row>
    <row r="213" spans="1:1" x14ac:dyDescent="0.25">
      <c r="A213" s="2"/>
    </row>
    <row r="214" spans="1:1" x14ac:dyDescent="0.25">
      <c r="A214" s="2"/>
    </row>
    <row r="215" spans="1:1" x14ac:dyDescent="0.25">
      <c r="A215" s="2"/>
    </row>
    <row r="216" spans="1:1" x14ac:dyDescent="0.25">
      <c r="A216" s="2"/>
    </row>
    <row r="217" spans="1:1" x14ac:dyDescent="0.25">
      <c r="A217" s="2"/>
    </row>
    <row r="218" spans="1:1" x14ac:dyDescent="0.25">
      <c r="A218" s="2"/>
    </row>
    <row r="219" spans="1:1" x14ac:dyDescent="0.25">
      <c r="A219" s="2"/>
    </row>
    <row r="220" spans="1:1" x14ac:dyDescent="0.25">
      <c r="A220" s="2"/>
    </row>
    <row r="221" spans="1:1" x14ac:dyDescent="0.25">
      <c r="A221" s="2"/>
    </row>
    <row r="222" spans="1:1" x14ac:dyDescent="0.25">
      <c r="A222" s="2"/>
    </row>
    <row r="223" spans="1:1" x14ac:dyDescent="0.25">
      <c r="A223" s="2"/>
    </row>
    <row r="224" spans="1:1" x14ac:dyDescent="0.25">
      <c r="A224" s="2"/>
    </row>
    <row r="225" spans="1:1" x14ac:dyDescent="0.25">
      <c r="A225" s="2"/>
    </row>
    <row r="226" spans="1:1" x14ac:dyDescent="0.25">
      <c r="A226" s="2"/>
    </row>
    <row r="227" spans="1:1" x14ac:dyDescent="0.25">
      <c r="A227" s="2"/>
    </row>
    <row r="228" spans="1:1" x14ac:dyDescent="0.25">
      <c r="A228" s="2"/>
    </row>
    <row r="229" spans="1:1" x14ac:dyDescent="0.25">
      <c r="A229" s="2"/>
    </row>
    <row r="230" spans="1:1" x14ac:dyDescent="0.25">
      <c r="A230" s="2"/>
    </row>
    <row r="231" spans="1:1" x14ac:dyDescent="0.25">
      <c r="A231" s="2"/>
    </row>
    <row r="232" spans="1:1" x14ac:dyDescent="0.25">
      <c r="A232" s="2"/>
    </row>
    <row r="233" spans="1:1" x14ac:dyDescent="0.25">
      <c r="A233" s="2"/>
    </row>
    <row r="234" spans="1:1" x14ac:dyDescent="0.25">
      <c r="A234" s="2"/>
    </row>
    <row r="235" spans="1:1" x14ac:dyDescent="0.25">
      <c r="A235" s="2"/>
    </row>
    <row r="236" spans="1:1" x14ac:dyDescent="0.25">
      <c r="A236" s="2"/>
    </row>
    <row r="237" spans="1:1" x14ac:dyDescent="0.25">
      <c r="A237" s="2"/>
    </row>
    <row r="238" spans="1:1" x14ac:dyDescent="0.25">
      <c r="A238" s="2"/>
    </row>
    <row r="239" spans="1:1" x14ac:dyDescent="0.25">
      <c r="A239" s="2"/>
    </row>
    <row r="240" spans="1:1" x14ac:dyDescent="0.25">
      <c r="A240" s="2"/>
    </row>
    <row r="241" spans="1:1" x14ac:dyDescent="0.25">
      <c r="A241" s="2"/>
    </row>
    <row r="242" spans="1:1" x14ac:dyDescent="0.25">
      <c r="A242" s="2"/>
    </row>
    <row r="243" spans="1:1" x14ac:dyDescent="0.25">
      <c r="A243" s="2"/>
    </row>
    <row r="244" spans="1:1" x14ac:dyDescent="0.25">
      <c r="A244" s="2"/>
    </row>
    <row r="245" spans="1:1" x14ac:dyDescent="0.25">
      <c r="A245" s="2"/>
    </row>
    <row r="246" spans="1:1" x14ac:dyDescent="0.25">
      <c r="A246" s="2"/>
    </row>
    <row r="247" spans="1:1" x14ac:dyDescent="0.25">
      <c r="A247" s="2"/>
    </row>
    <row r="248" spans="1:1" x14ac:dyDescent="0.25">
      <c r="A248" s="2"/>
    </row>
    <row r="249" spans="1:1" x14ac:dyDescent="0.25">
      <c r="A249" s="2"/>
    </row>
    <row r="250" spans="1:1" x14ac:dyDescent="0.25">
      <c r="A250" s="2"/>
    </row>
    <row r="251" spans="1:1" x14ac:dyDescent="0.25">
      <c r="A251" s="2"/>
    </row>
    <row r="252" spans="1:1" x14ac:dyDescent="0.25">
      <c r="A252" s="2"/>
    </row>
    <row r="253" spans="1:1" x14ac:dyDescent="0.25">
      <c r="A253" s="2"/>
    </row>
    <row r="254" spans="1:1" x14ac:dyDescent="0.25">
      <c r="A254" s="2"/>
    </row>
    <row r="255" spans="1:1" x14ac:dyDescent="0.25">
      <c r="A255" s="2"/>
    </row>
    <row r="256" spans="1:1" x14ac:dyDescent="0.25">
      <c r="A256" s="2"/>
    </row>
    <row r="257" spans="1:1" x14ac:dyDescent="0.25">
      <c r="A257" s="2"/>
    </row>
    <row r="258" spans="1:1" x14ac:dyDescent="0.25">
      <c r="A258" s="2"/>
    </row>
    <row r="259" spans="1:1" x14ac:dyDescent="0.25">
      <c r="A259" s="2"/>
    </row>
    <row r="260" spans="1:1" x14ac:dyDescent="0.25">
      <c r="A260" s="2"/>
    </row>
    <row r="261" spans="1:1" x14ac:dyDescent="0.25">
      <c r="A261" s="2"/>
    </row>
    <row r="262" spans="1:1" x14ac:dyDescent="0.25">
      <c r="A262" s="2"/>
    </row>
    <row r="263" spans="1:1" x14ac:dyDescent="0.25">
      <c r="A263" s="2"/>
    </row>
    <row r="264" spans="1:1" x14ac:dyDescent="0.25">
      <c r="A264" s="2"/>
    </row>
    <row r="265" spans="1:1" x14ac:dyDescent="0.25">
      <c r="A265" s="2"/>
    </row>
    <row r="266" spans="1:1" x14ac:dyDescent="0.25">
      <c r="A266" s="2"/>
    </row>
    <row r="267" spans="1:1" x14ac:dyDescent="0.25">
      <c r="A267" s="2"/>
    </row>
    <row r="268" spans="1:1" x14ac:dyDescent="0.25">
      <c r="A268" s="2"/>
    </row>
    <row r="269" spans="1:1" x14ac:dyDescent="0.25">
      <c r="A269" s="2"/>
    </row>
    <row r="270" spans="1:1" x14ac:dyDescent="0.25">
      <c r="A270" s="2"/>
    </row>
    <row r="271" spans="1:1" x14ac:dyDescent="0.25">
      <c r="A271" s="2"/>
    </row>
    <row r="272" spans="1:1" x14ac:dyDescent="0.25">
      <c r="A272" s="2"/>
    </row>
    <row r="273" spans="1:1" x14ac:dyDescent="0.25">
      <c r="A273" s="2"/>
    </row>
    <row r="274" spans="1:1" x14ac:dyDescent="0.25">
      <c r="A274" s="2"/>
    </row>
    <row r="275" spans="1:1" x14ac:dyDescent="0.25">
      <c r="A275" s="2"/>
    </row>
    <row r="276" spans="1:1" x14ac:dyDescent="0.25">
      <c r="A276" s="2"/>
    </row>
    <row r="277" spans="1:1" x14ac:dyDescent="0.25">
      <c r="A277" s="2"/>
    </row>
    <row r="278" spans="1:1" x14ac:dyDescent="0.25">
      <c r="A278" s="2"/>
    </row>
    <row r="279" spans="1:1" x14ac:dyDescent="0.25">
      <c r="A279" s="2"/>
    </row>
    <row r="280" spans="1:1" x14ac:dyDescent="0.25">
      <c r="A280" s="2"/>
    </row>
    <row r="281" spans="1:1" x14ac:dyDescent="0.25">
      <c r="A281" s="2"/>
    </row>
    <row r="282" spans="1:1" x14ac:dyDescent="0.25">
      <c r="A282" s="2"/>
    </row>
    <row r="283" spans="1:1" x14ac:dyDescent="0.25">
      <c r="A283" s="2"/>
    </row>
    <row r="284" spans="1:1" x14ac:dyDescent="0.25">
      <c r="A284" s="2"/>
    </row>
    <row r="285" spans="1:1" x14ac:dyDescent="0.25">
      <c r="A285" s="2"/>
    </row>
    <row r="286" spans="1:1" x14ac:dyDescent="0.25">
      <c r="A286" s="2"/>
    </row>
    <row r="287" spans="1:1" x14ac:dyDescent="0.25">
      <c r="A287" s="2"/>
    </row>
    <row r="288" spans="1:1" x14ac:dyDescent="0.25">
      <c r="A288" s="2"/>
    </row>
    <row r="289" spans="1:1" x14ac:dyDescent="0.25">
      <c r="A289" s="2"/>
    </row>
    <row r="290" spans="1:1" x14ac:dyDescent="0.25">
      <c r="A290" s="2"/>
    </row>
    <row r="291" spans="1:1" x14ac:dyDescent="0.25">
      <c r="A291" s="2"/>
    </row>
    <row r="292" spans="1:1" x14ac:dyDescent="0.25">
      <c r="A292" s="2"/>
    </row>
    <row r="293" spans="1:1" x14ac:dyDescent="0.25">
      <c r="A293" s="2"/>
    </row>
    <row r="294" spans="1:1" x14ac:dyDescent="0.25">
      <c r="A294" s="2"/>
    </row>
    <row r="295" spans="1:1" x14ac:dyDescent="0.25">
      <c r="A295" s="2"/>
    </row>
    <row r="296" spans="1:1" x14ac:dyDescent="0.25">
      <c r="A296" s="2"/>
    </row>
    <row r="297" spans="1:1" x14ac:dyDescent="0.25">
      <c r="A297" s="2"/>
    </row>
    <row r="298" spans="1:1" x14ac:dyDescent="0.25">
      <c r="A298" s="2"/>
    </row>
    <row r="299" spans="1:1" x14ac:dyDescent="0.25">
      <c r="A299" s="2"/>
    </row>
    <row r="300" spans="1:1" x14ac:dyDescent="0.25">
      <c r="A300" s="2"/>
    </row>
    <row r="301" spans="1:1" x14ac:dyDescent="0.25">
      <c r="A301" s="2"/>
    </row>
    <row r="302" spans="1:1" x14ac:dyDescent="0.25">
      <c r="A302" s="2"/>
    </row>
    <row r="303" spans="1:1" x14ac:dyDescent="0.25">
      <c r="A303" s="2"/>
    </row>
    <row r="304" spans="1:1" x14ac:dyDescent="0.25">
      <c r="A304" s="2"/>
    </row>
    <row r="305" spans="1:1" x14ac:dyDescent="0.25">
      <c r="A305" s="2"/>
    </row>
    <row r="306" spans="1:1" x14ac:dyDescent="0.25">
      <c r="A306" s="2"/>
    </row>
    <row r="307" spans="1:1" x14ac:dyDescent="0.25">
      <c r="A307" s="2"/>
    </row>
    <row r="308" spans="1:1" x14ac:dyDescent="0.25">
      <c r="A308" s="2"/>
    </row>
    <row r="309" spans="1:1" x14ac:dyDescent="0.25">
      <c r="A309" s="2"/>
    </row>
    <row r="310" spans="1:1" x14ac:dyDescent="0.25">
      <c r="A310" s="2"/>
    </row>
    <row r="311" spans="1:1" x14ac:dyDescent="0.25">
      <c r="A311" s="2"/>
    </row>
    <row r="312" spans="1:1" x14ac:dyDescent="0.25">
      <c r="A312" s="2"/>
    </row>
    <row r="313" spans="1:1" x14ac:dyDescent="0.25">
      <c r="A313" s="2"/>
    </row>
    <row r="314" spans="1:1" x14ac:dyDescent="0.25">
      <c r="A314" s="2"/>
    </row>
    <row r="315" spans="1:1" x14ac:dyDescent="0.25">
      <c r="A315" s="2"/>
    </row>
    <row r="316" spans="1:1" x14ac:dyDescent="0.25">
      <c r="A316" s="2"/>
    </row>
    <row r="317" spans="1:1" x14ac:dyDescent="0.25">
      <c r="A317" s="2"/>
    </row>
    <row r="318" spans="1:1" x14ac:dyDescent="0.25">
      <c r="A318" s="2"/>
    </row>
    <row r="319" spans="1:1" x14ac:dyDescent="0.25">
      <c r="A319" s="2"/>
    </row>
    <row r="320" spans="1:1" x14ac:dyDescent="0.25">
      <c r="A320" s="2"/>
    </row>
    <row r="321" spans="1:1" x14ac:dyDescent="0.25">
      <c r="A321" s="2"/>
    </row>
    <row r="322" spans="1:1" x14ac:dyDescent="0.25">
      <c r="A322" s="2"/>
    </row>
    <row r="323" spans="1:1" x14ac:dyDescent="0.25">
      <c r="A323" s="2"/>
    </row>
    <row r="324" spans="1:1" x14ac:dyDescent="0.25">
      <c r="A324" s="2"/>
    </row>
    <row r="325" spans="1:1" x14ac:dyDescent="0.25">
      <c r="A325" s="2"/>
    </row>
    <row r="326" spans="1:1" x14ac:dyDescent="0.25">
      <c r="A326" s="2"/>
    </row>
    <row r="327" spans="1:1" x14ac:dyDescent="0.25">
      <c r="A327" s="2"/>
    </row>
    <row r="328" spans="1:1" x14ac:dyDescent="0.25">
      <c r="A328" s="2"/>
    </row>
    <row r="329" spans="1:1" x14ac:dyDescent="0.25">
      <c r="A329" s="2"/>
    </row>
    <row r="330" spans="1:1" x14ac:dyDescent="0.25">
      <c r="A330" s="2"/>
    </row>
    <row r="331" spans="1:1" x14ac:dyDescent="0.25">
      <c r="A331" s="2"/>
    </row>
    <row r="332" spans="1:1" x14ac:dyDescent="0.25">
      <c r="A332" s="2"/>
    </row>
    <row r="333" spans="1:1" x14ac:dyDescent="0.25">
      <c r="A333" s="2"/>
    </row>
    <row r="334" spans="1:1" x14ac:dyDescent="0.25">
      <c r="A334" s="2"/>
    </row>
    <row r="335" spans="1:1" x14ac:dyDescent="0.25">
      <c r="A335" s="2"/>
    </row>
    <row r="336" spans="1:1" x14ac:dyDescent="0.25">
      <c r="A336" s="2"/>
    </row>
    <row r="337" spans="1:1" x14ac:dyDescent="0.25">
      <c r="A337" s="2"/>
    </row>
    <row r="338" spans="1:1" x14ac:dyDescent="0.25">
      <c r="A338" s="2"/>
    </row>
    <row r="339" spans="1:1" x14ac:dyDescent="0.25">
      <c r="A339" s="2"/>
    </row>
    <row r="340" spans="1:1" x14ac:dyDescent="0.25">
      <c r="A340" s="2"/>
    </row>
    <row r="341" spans="1:1" x14ac:dyDescent="0.25">
      <c r="A341" s="2"/>
    </row>
    <row r="342" spans="1:1" x14ac:dyDescent="0.25">
      <c r="A342" s="2"/>
    </row>
    <row r="343" spans="1:1" x14ac:dyDescent="0.25">
      <c r="A343" s="2"/>
    </row>
    <row r="344" spans="1:1" x14ac:dyDescent="0.25">
      <c r="A344" s="2"/>
    </row>
    <row r="345" spans="1:1" x14ac:dyDescent="0.25">
      <c r="A345" s="2"/>
    </row>
    <row r="346" spans="1:1" x14ac:dyDescent="0.25">
      <c r="A346" s="2"/>
    </row>
    <row r="347" spans="1:1" x14ac:dyDescent="0.25">
      <c r="A347" s="2"/>
    </row>
    <row r="348" spans="1:1" x14ac:dyDescent="0.25">
      <c r="A348" s="2"/>
    </row>
    <row r="349" spans="1:1" x14ac:dyDescent="0.25">
      <c r="A349" s="2"/>
    </row>
    <row r="350" spans="1:1" x14ac:dyDescent="0.25">
      <c r="A350" s="2"/>
    </row>
    <row r="351" spans="1:1" x14ac:dyDescent="0.25">
      <c r="A351" s="2"/>
    </row>
    <row r="352" spans="1:1" x14ac:dyDescent="0.25">
      <c r="A352" s="2"/>
    </row>
    <row r="353" spans="1:1" x14ac:dyDescent="0.25">
      <c r="A353" s="2"/>
    </row>
    <row r="354" spans="1:1" x14ac:dyDescent="0.25">
      <c r="A354" s="2"/>
    </row>
    <row r="355" spans="1:1" x14ac:dyDescent="0.25">
      <c r="A355" s="2"/>
    </row>
    <row r="356" spans="1:1" x14ac:dyDescent="0.25">
      <c r="A356" s="2"/>
    </row>
    <row r="357" spans="1:1" x14ac:dyDescent="0.25">
      <c r="A357" s="2"/>
    </row>
    <row r="358" spans="1:1" x14ac:dyDescent="0.25">
      <c r="A358" s="2"/>
    </row>
    <row r="359" spans="1:1" x14ac:dyDescent="0.25">
      <c r="A359" s="2"/>
    </row>
    <row r="360" spans="1:1" x14ac:dyDescent="0.25">
      <c r="A360" s="2"/>
    </row>
    <row r="361" spans="1:1" x14ac:dyDescent="0.25">
      <c r="A361" s="2"/>
    </row>
    <row r="362" spans="1:1" x14ac:dyDescent="0.25">
      <c r="A362" s="2"/>
    </row>
    <row r="363" spans="1:1" x14ac:dyDescent="0.25">
      <c r="A363" s="2"/>
    </row>
    <row r="364" spans="1:1" x14ac:dyDescent="0.25">
      <c r="A364" s="2"/>
    </row>
    <row r="365" spans="1:1" x14ac:dyDescent="0.25">
      <c r="A365" s="2"/>
    </row>
    <row r="366" spans="1:1" x14ac:dyDescent="0.25">
      <c r="A366" s="2"/>
    </row>
    <row r="367" spans="1:1" x14ac:dyDescent="0.25">
      <c r="A367" s="2"/>
    </row>
    <row r="368" spans="1:1" x14ac:dyDescent="0.25">
      <c r="A368" s="2"/>
    </row>
    <row r="369" spans="1:1" x14ac:dyDescent="0.25">
      <c r="A369" s="2"/>
    </row>
    <row r="370" spans="1:1" x14ac:dyDescent="0.25">
      <c r="A370" s="2"/>
    </row>
    <row r="371" spans="1:1" x14ac:dyDescent="0.25">
      <c r="A371" s="2"/>
    </row>
    <row r="372" spans="1:1" x14ac:dyDescent="0.25">
      <c r="A372" s="2"/>
    </row>
    <row r="373" spans="1:1" x14ac:dyDescent="0.25">
      <c r="A373" s="2"/>
    </row>
    <row r="374" spans="1:1" x14ac:dyDescent="0.25">
      <c r="A374" s="2"/>
    </row>
    <row r="375" spans="1:1" x14ac:dyDescent="0.25">
      <c r="A375" s="2"/>
    </row>
    <row r="376" spans="1:1" x14ac:dyDescent="0.25">
      <c r="A376" s="2"/>
    </row>
    <row r="377" spans="1:1" x14ac:dyDescent="0.25">
      <c r="A377" s="2"/>
    </row>
    <row r="378" spans="1:1" x14ac:dyDescent="0.25">
      <c r="A378" s="2"/>
    </row>
    <row r="379" spans="1:1" x14ac:dyDescent="0.25">
      <c r="A379" s="2"/>
    </row>
    <row r="380" spans="1:1" x14ac:dyDescent="0.25">
      <c r="A380" s="2"/>
    </row>
    <row r="381" spans="1:1" x14ac:dyDescent="0.25">
      <c r="A381" s="2"/>
    </row>
    <row r="382" spans="1:1" x14ac:dyDescent="0.25">
      <c r="A382" s="2"/>
    </row>
    <row r="383" spans="1:1" x14ac:dyDescent="0.25">
      <c r="A383" s="2"/>
    </row>
    <row r="384" spans="1:1" x14ac:dyDescent="0.25">
      <c r="A384" s="2"/>
    </row>
    <row r="385" spans="1:1" x14ac:dyDescent="0.25">
      <c r="A385" s="2"/>
    </row>
    <row r="386" spans="1:1" x14ac:dyDescent="0.25">
      <c r="A386" s="2"/>
    </row>
    <row r="387" spans="1:1" x14ac:dyDescent="0.25">
      <c r="A387" s="2"/>
    </row>
    <row r="388" spans="1:1" x14ac:dyDescent="0.25">
      <c r="A388" s="2"/>
    </row>
    <row r="389" spans="1:1" x14ac:dyDescent="0.25">
      <c r="A389" s="2"/>
    </row>
    <row r="390" spans="1:1" x14ac:dyDescent="0.25">
      <c r="A390" s="2"/>
    </row>
    <row r="391" spans="1:1" x14ac:dyDescent="0.25">
      <c r="A391" s="2"/>
    </row>
    <row r="392" spans="1:1" x14ac:dyDescent="0.25">
      <c r="A392" s="2"/>
    </row>
    <row r="393" spans="1:1" x14ac:dyDescent="0.25">
      <c r="A393" s="2"/>
    </row>
    <row r="394" spans="1:1" x14ac:dyDescent="0.25">
      <c r="A394" s="2"/>
    </row>
    <row r="395" spans="1:1" x14ac:dyDescent="0.25">
      <c r="A395" s="2"/>
    </row>
    <row r="396" spans="1:1" x14ac:dyDescent="0.25">
      <c r="A396" s="2"/>
    </row>
    <row r="397" spans="1:1" x14ac:dyDescent="0.25">
      <c r="A397" s="2"/>
    </row>
    <row r="398" spans="1:1" x14ac:dyDescent="0.25">
      <c r="A398" s="2"/>
    </row>
    <row r="399" spans="1:1" x14ac:dyDescent="0.25">
      <c r="A399" s="2"/>
    </row>
    <row r="400" spans="1:1" x14ac:dyDescent="0.25">
      <c r="A400" s="2"/>
    </row>
    <row r="401" spans="1:1" x14ac:dyDescent="0.25">
      <c r="A401" s="2"/>
    </row>
    <row r="402" spans="1:1" x14ac:dyDescent="0.25">
      <c r="A402" s="2"/>
    </row>
    <row r="403" spans="1:1" x14ac:dyDescent="0.25">
      <c r="A403" s="2"/>
    </row>
    <row r="404" spans="1:1" x14ac:dyDescent="0.25">
      <c r="A404" s="2"/>
    </row>
    <row r="405" spans="1:1" x14ac:dyDescent="0.25">
      <c r="A405" s="2"/>
    </row>
    <row r="406" spans="1:1" x14ac:dyDescent="0.25">
      <c r="A406" s="2"/>
    </row>
    <row r="407" spans="1:1" x14ac:dyDescent="0.25">
      <c r="A407" s="2"/>
    </row>
    <row r="408" spans="1:1" x14ac:dyDescent="0.25">
      <c r="A408" s="2"/>
    </row>
    <row r="409" spans="1:1" x14ac:dyDescent="0.25">
      <c r="A409" s="2"/>
    </row>
    <row r="410" spans="1:1" x14ac:dyDescent="0.25">
      <c r="A410" s="2"/>
    </row>
    <row r="411" spans="1:1" x14ac:dyDescent="0.25">
      <c r="A411" s="2"/>
    </row>
    <row r="412" spans="1:1" x14ac:dyDescent="0.25">
      <c r="A412" s="2"/>
    </row>
    <row r="413" spans="1:1" x14ac:dyDescent="0.25">
      <c r="A413" s="2"/>
    </row>
    <row r="414" spans="1:1" x14ac:dyDescent="0.25">
      <c r="A414" s="2"/>
    </row>
    <row r="415" spans="1:1" x14ac:dyDescent="0.25">
      <c r="A415" s="2"/>
    </row>
    <row r="416" spans="1:1" x14ac:dyDescent="0.25">
      <c r="A416" s="2"/>
    </row>
    <row r="417" spans="1:1" x14ac:dyDescent="0.25">
      <c r="A417" s="2"/>
    </row>
    <row r="418" spans="1:1" x14ac:dyDescent="0.25">
      <c r="A418" s="2"/>
    </row>
    <row r="419" spans="1:1" x14ac:dyDescent="0.25">
      <c r="A419" s="2"/>
    </row>
    <row r="420" spans="1:1" x14ac:dyDescent="0.25">
      <c r="A420" s="2"/>
    </row>
    <row r="421" spans="1:1" x14ac:dyDescent="0.25">
      <c r="A421" s="2"/>
    </row>
    <row r="422" spans="1:1" x14ac:dyDescent="0.25">
      <c r="A422" s="2"/>
    </row>
    <row r="423" spans="1:1" x14ac:dyDescent="0.25">
      <c r="A423" s="2"/>
    </row>
    <row r="424" spans="1:1" x14ac:dyDescent="0.25">
      <c r="A424" s="2"/>
    </row>
    <row r="425" spans="1:1" x14ac:dyDescent="0.25">
      <c r="A425" s="2"/>
    </row>
    <row r="426" spans="1:1" x14ac:dyDescent="0.25">
      <c r="A426" s="2"/>
    </row>
    <row r="427" spans="1:1" x14ac:dyDescent="0.25">
      <c r="A427" s="2"/>
    </row>
    <row r="428" spans="1:1" x14ac:dyDescent="0.25">
      <c r="A428" s="2"/>
    </row>
    <row r="429" spans="1:1" x14ac:dyDescent="0.25">
      <c r="A429" s="2"/>
    </row>
    <row r="430" spans="1:1" x14ac:dyDescent="0.25">
      <c r="A430" s="2"/>
    </row>
    <row r="431" spans="1:1" x14ac:dyDescent="0.25">
      <c r="A431" s="2"/>
    </row>
    <row r="432" spans="1:1" x14ac:dyDescent="0.25">
      <c r="A432" s="2"/>
    </row>
    <row r="433" spans="1:1" x14ac:dyDescent="0.25">
      <c r="A433" s="2"/>
    </row>
    <row r="434" spans="1:1" x14ac:dyDescent="0.25">
      <c r="A434" s="2"/>
    </row>
    <row r="435" spans="1:1" x14ac:dyDescent="0.25">
      <c r="A435" s="2"/>
    </row>
    <row r="436" spans="1:1" x14ac:dyDescent="0.25">
      <c r="A436" s="2"/>
    </row>
    <row r="437" spans="1:1" x14ac:dyDescent="0.25">
      <c r="A437" s="2"/>
    </row>
    <row r="438" spans="1:1" x14ac:dyDescent="0.25">
      <c r="A438" s="2"/>
    </row>
    <row r="439" spans="1:1" x14ac:dyDescent="0.25">
      <c r="A439" s="2"/>
    </row>
    <row r="440" spans="1:1" x14ac:dyDescent="0.25">
      <c r="A440" s="2"/>
    </row>
    <row r="441" spans="1:1" x14ac:dyDescent="0.25">
      <c r="A441" s="2"/>
    </row>
    <row r="442" spans="1:1" x14ac:dyDescent="0.25">
      <c r="A442" s="2"/>
    </row>
    <row r="443" spans="1:1" x14ac:dyDescent="0.25">
      <c r="A443" s="2"/>
    </row>
    <row r="444" spans="1:1" x14ac:dyDescent="0.25">
      <c r="A444" s="2"/>
    </row>
    <row r="445" spans="1:1" x14ac:dyDescent="0.25">
      <c r="A445" s="2"/>
    </row>
    <row r="446" spans="1:1" x14ac:dyDescent="0.25">
      <c r="A446" s="2"/>
    </row>
    <row r="447" spans="1:1" x14ac:dyDescent="0.25">
      <c r="A447" s="2"/>
    </row>
    <row r="448" spans="1:1" x14ac:dyDescent="0.25">
      <c r="A448" s="2"/>
    </row>
    <row r="449" spans="1:1" x14ac:dyDescent="0.25">
      <c r="A449" s="2"/>
    </row>
    <row r="450" spans="1:1" x14ac:dyDescent="0.25">
      <c r="A450" s="2"/>
    </row>
    <row r="451" spans="1:1" x14ac:dyDescent="0.25">
      <c r="A451" s="2"/>
    </row>
    <row r="452" spans="1:1" x14ac:dyDescent="0.25">
      <c r="A452" s="2"/>
    </row>
    <row r="453" spans="1:1" x14ac:dyDescent="0.25">
      <c r="A453" s="2"/>
    </row>
    <row r="454" spans="1:1" x14ac:dyDescent="0.25">
      <c r="A454" s="2"/>
    </row>
    <row r="455" spans="1:1" x14ac:dyDescent="0.25">
      <c r="A455" s="2"/>
    </row>
    <row r="456" spans="1:1" x14ac:dyDescent="0.25">
      <c r="A456" s="2"/>
    </row>
    <row r="457" spans="1:1" x14ac:dyDescent="0.25">
      <c r="A457" s="2"/>
    </row>
    <row r="458" spans="1:1" x14ac:dyDescent="0.25">
      <c r="A458" s="2"/>
    </row>
    <row r="459" spans="1:1" x14ac:dyDescent="0.25">
      <c r="A459" s="2"/>
    </row>
    <row r="460" spans="1:1" x14ac:dyDescent="0.25">
      <c r="A460" s="2"/>
    </row>
    <row r="461" spans="1:1" x14ac:dyDescent="0.25">
      <c r="A461" s="2"/>
    </row>
    <row r="462" spans="1:1" x14ac:dyDescent="0.25">
      <c r="A462" s="2"/>
    </row>
    <row r="463" spans="1:1" x14ac:dyDescent="0.25">
      <c r="A463" s="2"/>
    </row>
    <row r="464" spans="1:1" x14ac:dyDescent="0.25">
      <c r="A464" s="2"/>
    </row>
    <row r="465" spans="1:1" x14ac:dyDescent="0.25">
      <c r="A465" s="2"/>
    </row>
    <row r="466" spans="1:1" x14ac:dyDescent="0.25">
      <c r="A466" s="2"/>
    </row>
    <row r="467" spans="1:1" x14ac:dyDescent="0.25">
      <c r="A467" s="2"/>
    </row>
    <row r="468" spans="1:1" x14ac:dyDescent="0.25">
      <c r="A468" s="2"/>
    </row>
    <row r="469" spans="1:1" x14ac:dyDescent="0.25">
      <c r="A469" s="2"/>
    </row>
    <row r="470" spans="1:1" x14ac:dyDescent="0.25">
      <c r="A470" s="2"/>
    </row>
    <row r="471" spans="1:1" x14ac:dyDescent="0.25">
      <c r="A471" s="2"/>
    </row>
    <row r="472" spans="1:1" x14ac:dyDescent="0.25">
      <c r="A472" s="2"/>
    </row>
    <row r="473" spans="1:1" x14ac:dyDescent="0.25">
      <c r="A473" s="2"/>
    </row>
    <row r="474" spans="1:1" x14ac:dyDescent="0.25">
      <c r="A474" s="2"/>
    </row>
    <row r="475" spans="1:1" x14ac:dyDescent="0.25">
      <c r="A475" s="2"/>
    </row>
    <row r="476" spans="1:1" x14ac:dyDescent="0.25">
      <c r="A476" s="2"/>
    </row>
    <row r="477" spans="1:1" x14ac:dyDescent="0.25">
      <c r="A477" s="2"/>
    </row>
    <row r="478" spans="1:1" x14ac:dyDescent="0.25">
      <c r="A478" s="2"/>
    </row>
    <row r="479" spans="1:1" x14ac:dyDescent="0.25">
      <c r="A479" s="2"/>
    </row>
    <row r="480" spans="1:1" x14ac:dyDescent="0.25">
      <c r="A480" s="2"/>
    </row>
    <row r="481" spans="1:1" x14ac:dyDescent="0.25">
      <c r="A481" s="2"/>
    </row>
    <row r="482" spans="1:1" x14ac:dyDescent="0.25">
      <c r="A482" s="2"/>
    </row>
    <row r="483" spans="1:1" x14ac:dyDescent="0.25">
      <c r="A483" s="2"/>
    </row>
    <row r="484" spans="1:1" x14ac:dyDescent="0.25">
      <c r="A484" s="2"/>
    </row>
    <row r="485" spans="1:1" x14ac:dyDescent="0.25">
      <c r="A485" s="2"/>
    </row>
    <row r="486" spans="1:1" x14ac:dyDescent="0.25">
      <c r="A486" s="2"/>
    </row>
    <row r="487" spans="1:1" x14ac:dyDescent="0.25">
      <c r="A487" s="2"/>
    </row>
    <row r="488" spans="1:1" x14ac:dyDescent="0.25">
      <c r="A488" s="2"/>
    </row>
    <row r="489" spans="1:1" x14ac:dyDescent="0.25">
      <c r="A489" s="2"/>
    </row>
    <row r="490" spans="1:1" x14ac:dyDescent="0.25">
      <c r="A490" s="2"/>
    </row>
    <row r="491" spans="1:1" x14ac:dyDescent="0.25">
      <c r="A491" s="2"/>
    </row>
    <row r="492" spans="1:1" x14ac:dyDescent="0.25">
      <c r="A492" s="2"/>
    </row>
    <row r="493" spans="1:1" x14ac:dyDescent="0.25">
      <c r="A493" s="2"/>
    </row>
    <row r="494" spans="1:1" x14ac:dyDescent="0.25">
      <c r="A494" s="2"/>
    </row>
    <row r="495" spans="1:1" x14ac:dyDescent="0.25">
      <c r="A495" s="2"/>
    </row>
    <row r="496" spans="1:1" x14ac:dyDescent="0.25">
      <c r="A496" s="2"/>
    </row>
    <row r="497" spans="1:1" x14ac:dyDescent="0.25">
      <c r="A497" s="2"/>
    </row>
    <row r="498" spans="1:1" x14ac:dyDescent="0.25">
      <c r="A498" s="2"/>
    </row>
    <row r="499" spans="1:1" x14ac:dyDescent="0.25">
      <c r="A499" s="2"/>
    </row>
    <row r="500" spans="1:1" x14ac:dyDescent="0.25">
      <c r="A500" s="2"/>
    </row>
    <row r="501" spans="1:1" x14ac:dyDescent="0.25">
      <c r="A501" s="2"/>
    </row>
    <row r="502" spans="1:1" x14ac:dyDescent="0.25">
      <c r="A502" s="2"/>
    </row>
    <row r="503" spans="1:1" x14ac:dyDescent="0.25">
      <c r="A503" s="2"/>
    </row>
    <row r="504" spans="1:1" x14ac:dyDescent="0.25">
      <c r="A504" s="2"/>
    </row>
    <row r="505" spans="1:1" x14ac:dyDescent="0.25">
      <c r="A505" s="2"/>
    </row>
    <row r="506" spans="1:1" x14ac:dyDescent="0.25">
      <c r="A506" s="2"/>
    </row>
    <row r="507" spans="1:1" x14ac:dyDescent="0.25">
      <c r="A507" s="2"/>
    </row>
    <row r="508" spans="1:1" x14ac:dyDescent="0.25">
      <c r="A508" s="2"/>
    </row>
    <row r="509" spans="1:1" x14ac:dyDescent="0.25">
      <c r="A509" s="2"/>
    </row>
    <row r="510" spans="1:1" x14ac:dyDescent="0.25">
      <c r="A510" s="2"/>
    </row>
    <row r="511" spans="1:1" x14ac:dyDescent="0.25">
      <c r="A511" s="2"/>
    </row>
    <row r="512" spans="1:1" x14ac:dyDescent="0.25">
      <c r="A512" s="2"/>
    </row>
    <row r="513" spans="1:1" x14ac:dyDescent="0.25">
      <c r="A513" s="2"/>
    </row>
    <row r="514" spans="1:1" x14ac:dyDescent="0.25">
      <c r="A514" s="2"/>
    </row>
    <row r="515" spans="1:1" x14ac:dyDescent="0.25">
      <c r="A515" s="2"/>
    </row>
    <row r="516" spans="1:1" x14ac:dyDescent="0.25">
      <c r="A516" s="2"/>
    </row>
    <row r="517" spans="1:1" x14ac:dyDescent="0.25">
      <c r="A517" s="2"/>
    </row>
    <row r="518" spans="1:1" x14ac:dyDescent="0.25">
      <c r="A518" s="2"/>
    </row>
    <row r="519" spans="1:1" x14ac:dyDescent="0.25">
      <c r="A519" s="2"/>
    </row>
    <row r="520" spans="1:1" x14ac:dyDescent="0.25">
      <c r="A520" s="2"/>
    </row>
    <row r="521" spans="1:1" x14ac:dyDescent="0.25">
      <c r="A521" s="2"/>
    </row>
    <row r="522" spans="1:1" x14ac:dyDescent="0.25">
      <c r="A522" s="2"/>
    </row>
    <row r="523" spans="1:1" x14ac:dyDescent="0.25">
      <c r="A523" s="2"/>
    </row>
    <row r="524" spans="1:1" x14ac:dyDescent="0.25">
      <c r="A524" s="2"/>
    </row>
    <row r="525" spans="1:1" x14ac:dyDescent="0.25">
      <c r="A525" s="2"/>
    </row>
    <row r="526" spans="1:1" x14ac:dyDescent="0.25">
      <c r="A526" s="2"/>
    </row>
    <row r="527" spans="1:1" x14ac:dyDescent="0.25">
      <c r="A527" s="2"/>
    </row>
    <row r="528" spans="1:1" x14ac:dyDescent="0.25">
      <c r="A528" s="2"/>
    </row>
    <row r="529" spans="1:1" x14ac:dyDescent="0.25">
      <c r="A529" s="2"/>
    </row>
    <row r="530" spans="1:1" x14ac:dyDescent="0.25">
      <c r="A530" s="2"/>
    </row>
    <row r="531" spans="1:1" x14ac:dyDescent="0.25">
      <c r="A531" s="2"/>
    </row>
    <row r="532" spans="1:1" x14ac:dyDescent="0.25">
      <c r="A532" s="2"/>
    </row>
    <row r="533" spans="1:1" x14ac:dyDescent="0.25">
      <c r="A533" s="2"/>
    </row>
    <row r="534" spans="1:1" x14ac:dyDescent="0.25">
      <c r="A534" s="2"/>
    </row>
    <row r="535" spans="1:1" x14ac:dyDescent="0.25">
      <c r="A535" s="2"/>
    </row>
    <row r="536" spans="1:1" x14ac:dyDescent="0.25">
      <c r="A536" s="2"/>
    </row>
    <row r="537" spans="1:1" x14ac:dyDescent="0.25">
      <c r="A537" s="2"/>
    </row>
    <row r="538" spans="1:1" x14ac:dyDescent="0.25">
      <c r="A538" s="2"/>
    </row>
    <row r="539" spans="1:1" x14ac:dyDescent="0.25">
      <c r="A539" s="2"/>
    </row>
    <row r="540" spans="1:1" x14ac:dyDescent="0.25">
      <c r="A540" s="2"/>
    </row>
    <row r="541" spans="1:1" x14ac:dyDescent="0.25">
      <c r="A541" s="2"/>
    </row>
    <row r="542" spans="1:1" x14ac:dyDescent="0.25">
      <c r="A542" s="2"/>
    </row>
    <row r="543" spans="1:1" x14ac:dyDescent="0.25">
      <c r="A543" s="2"/>
    </row>
    <row r="544" spans="1:1" x14ac:dyDescent="0.25">
      <c r="A544" s="2"/>
    </row>
    <row r="545" spans="1:1" x14ac:dyDescent="0.25">
      <c r="A545" s="2"/>
    </row>
    <row r="546" spans="1:1" x14ac:dyDescent="0.25">
      <c r="A546" s="2"/>
    </row>
    <row r="547" spans="1:1" x14ac:dyDescent="0.25">
      <c r="A547" s="2"/>
    </row>
    <row r="548" spans="1:1" x14ac:dyDescent="0.25">
      <c r="A548" s="2"/>
    </row>
    <row r="549" spans="1:1" x14ac:dyDescent="0.25">
      <c r="A549" s="2"/>
    </row>
    <row r="550" spans="1:1" x14ac:dyDescent="0.25">
      <c r="A550" s="2"/>
    </row>
    <row r="551" spans="1:1" x14ac:dyDescent="0.25">
      <c r="A551" s="2"/>
    </row>
    <row r="552" spans="1:1" x14ac:dyDescent="0.25">
      <c r="A552" s="2"/>
    </row>
    <row r="553" spans="1:1" x14ac:dyDescent="0.25">
      <c r="A553" s="2"/>
    </row>
    <row r="554" spans="1:1" x14ac:dyDescent="0.25">
      <c r="A554" s="2"/>
    </row>
    <row r="555" spans="1:1" x14ac:dyDescent="0.25">
      <c r="A555" s="2"/>
    </row>
    <row r="556" spans="1:1" x14ac:dyDescent="0.25">
      <c r="A556" s="2"/>
    </row>
    <row r="557" spans="1:1" x14ac:dyDescent="0.25">
      <c r="A557" s="2"/>
    </row>
    <row r="558" spans="1:1" x14ac:dyDescent="0.25">
      <c r="A558" s="2"/>
    </row>
    <row r="559" spans="1:1" x14ac:dyDescent="0.25">
      <c r="A559" s="2"/>
    </row>
    <row r="560" spans="1:1" x14ac:dyDescent="0.25">
      <c r="A560" s="2"/>
    </row>
    <row r="561" spans="1:1" x14ac:dyDescent="0.25">
      <c r="A561" s="2"/>
    </row>
    <row r="562" spans="1:1" x14ac:dyDescent="0.25">
      <c r="A562" s="2"/>
    </row>
    <row r="563" spans="1:1" x14ac:dyDescent="0.25">
      <c r="A563" s="2"/>
    </row>
    <row r="564" spans="1:1" x14ac:dyDescent="0.25">
      <c r="A564" s="2"/>
    </row>
    <row r="565" spans="1:1" x14ac:dyDescent="0.25">
      <c r="A565" s="2"/>
    </row>
    <row r="566" spans="1:1" x14ac:dyDescent="0.25">
      <c r="A566" s="2"/>
    </row>
    <row r="567" spans="1:1" x14ac:dyDescent="0.25">
      <c r="A567" s="2"/>
    </row>
    <row r="568" spans="1:1" x14ac:dyDescent="0.25">
      <c r="A568" s="2"/>
    </row>
    <row r="569" spans="1:1" x14ac:dyDescent="0.25">
      <c r="A569" s="2"/>
    </row>
    <row r="570" spans="1:1" x14ac:dyDescent="0.25">
      <c r="A570" s="2"/>
    </row>
    <row r="571" spans="1:1" x14ac:dyDescent="0.25">
      <c r="A571" s="2"/>
    </row>
    <row r="572" spans="1:1" x14ac:dyDescent="0.25">
      <c r="A572" s="2"/>
    </row>
    <row r="573" spans="1:1" x14ac:dyDescent="0.25">
      <c r="A573" s="2"/>
    </row>
    <row r="574" spans="1:1" x14ac:dyDescent="0.25">
      <c r="A574" s="2"/>
    </row>
    <row r="575" spans="1:1" x14ac:dyDescent="0.25">
      <c r="A575" s="2"/>
    </row>
    <row r="576" spans="1:1" x14ac:dyDescent="0.25">
      <c r="A576" s="2"/>
    </row>
    <row r="577" spans="1:1" x14ac:dyDescent="0.25">
      <c r="A577" s="2"/>
    </row>
    <row r="578" spans="1:1" x14ac:dyDescent="0.25">
      <c r="A578" s="2"/>
    </row>
    <row r="579" spans="1:1" x14ac:dyDescent="0.25">
      <c r="A579" s="2"/>
    </row>
    <row r="580" spans="1:1" x14ac:dyDescent="0.25">
      <c r="A580" s="2"/>
    </row>
    <row r="581" spans="1:1" x14ac:dyDescent="0.25">
      <c r="A581" s="2"/>
    </row>
    <row r="582" spans="1:1" x14ac:dyDescent="0.25">
      <c r="A582" s="2"/>
    </row>
    <row r="583" spans="1:1" x14ac:dyDescent="0.25">
      <c r="A583" s="2"/>
    </row>
    <row r="584" spans="1:1" x14ac:dyDescent="0.25">
      <c r="A584" s="2"/>
    </row>
    <row r="585" spans="1:1" x14ac:dyDescent="0.25">
      <c r="A585" s="2"/>
    </row>
    <row r="586" spans="1:1" x14ac:dyDescent="0.25">
      <c r="A586" s="2"/>
    </row>
    <row r="587" spans="1:1" x14ac:dyDescent="0.25">
      <c r="A587" s="2"/>
    </row>
    <row r="588" spans="1:1" x14ac:dyDescent="0.25">
      <c r="A588" s="2"/>
    </row>
    <row r="589" spans="1:1" x14ac:dyDescent="0.25">
      <c r="A589" s="2"/>
    </row>
    <row r="590" spans="1:1" x14ac:dyDescent="0.25">
      <c r="A590" s="2"/>
    </row>
    <row r="591" spans="1:1" x14ac:dyDescent="0.25">
      <c r="A591" s="2"/>
    </row>
    <row r="592" spans="1:1" x14ac:dyDescent="0.25">
      <c r="A592" s="2"/>
    </row>
    <row r="593" spans="1:1" x14ac:dyDescent="0.25">
      <c r="A593" s="2"/>
    </row>
    <row r="594" spans="1:1" x14ac:dyDescent="0.25">
      <c r="A594" s="2"/>
    </row>
    <row r="595" spans="1:1" x14ac:dyDescent="0.25">
      <c r="A595" s="2"/>
    </row>
    <row r="596" spans="1:1" x14ac:dyDescent="0.25">
      <c r="A596" s="2"/>
    </row>
    <row r="597" spans="1:1" x14ac:dyDescent="0.25">
      <c r="A597" s="2"/>
    </row>
    <row r="598" spans="1:1" x14ac:dyDescent="0.25">
      <c r="A598" s="2"/>
    </row>
    <row r="599" spans="1:1" x14ac:dyDescent="0.25">
      <c r="A599" s="2"/>
    </row>
    <row r="600" spans="1:1" x14ac:dyDescent="0.25">
      <c r="A600" s="2"/>
    </row>
    <row r="601" spans="1:1" x14ac:dyDescent="0.25">
      <c r="A601" s="2"/>
    </row>
    <row r="602" spans="1:1" x14ac:dyDescent="0.25">
      <c r="A602" s="2"/>
    </row>
    <row r="603" spans="1:1" x14ac:dyDescent="0.25">
      <c r="A603" s="2"/>
    </row>
    <row r="604" spans="1:1" x14ac:dyDescent="0.25">
      <c r="A604" s="2"/>
    </row>
    <row r="605" spans="1:1" x14ac:dyDescent="0.25">
      <c r="A605" s="2"/>
    </row>
    <row r="606" spans="1:1" x14ac:dyDescent="0.25">
      <c r="A606" s="2"/>
    </row>
    <row r="607" spans="1:1" x14ac:dyDescent="0.25">
      <c r="A607" s="2"/>
    </row>
    <row r="608" spans="1:1" x14ac:dyDescent="0.25">
      <c r="A608" s="2"/>
    </row>
    <row r="609" spans="1:1" x14ac:dyDescent="0.25">
      <c r="A609" s="2"/>
    </row>
    <row r="610" spans="1:1" x14ac:dyDescent="0.25">
      <c r="A610" s="2"/>
    </row>
    <row r="611" spans="1:1" x14ac:dyDescent="0.25">
      <c r="A611" s="2"/>
    </row>
    <row r="612" spans="1:1" x14ac:dyDescent="0.25">
      <c r="A612" s="2"/>
    </row>
    <row r="613" spans="1:1" x14ac:dyDescent="0.25">
      <c r="A613" s="2"/>
    </row>
    <row r="614" spans="1:1" x14ac:dyDescent="0.25">
      <c r="A614" s="2"/>
    </row>
    <row r="615" spans="1:1" x14ac:dyDescent="0.25">
      <c r="A615" s="2"/>
    </row>
    <row r="616" spans="1:1" x14ac:dyDescent="0.25">
      <c r="A616" s="2"/>
    </row>
    <row r="617" spans="1:1" x14ac:dyDescent="0.25">
      <c r="A617" s="2"/>
    </row>
    <row r="618" spans="1:1" x14ac:dyDescent="0.25">
      <c r="A618" s="2"/>
    </row>
    <row r="619" spans="1:1" x14ac:dyDescent="0.25">
      <c r="A619" s="2"/>
    </row>
    <row r="620" spans="1:1" x14ac:dyDescent="0.25">
      <c r="A620" s="2"/>
    </row>
    <row r="621" spans="1:1" x14ac:dyDescent="0.25">
      <c r="A621" s="2"/>
    </row>
    <row r="622" spans="1:1" x14ac:dyDescent="0.25">
      <c r="A622" s="2"/>
    </row>
    <row r="623" spans="1:1" x14ac:dyDescent="0.25">
      <c r="A623" s="2"/>
    </row>
    <row r="624" spans="1:1" x14ac:dyDescent="0.25">
      <c r="A624" s="2"/>
    </row>
    <row r="625" spans="1:1" x14ac:dyDescent="0.25">
      <c r="A625" s="2"/>
    </row>
    <row r="626" spans="1:1" x14ac:dyDescent="0.25">
      <c r="A626" s="2"/>
    </row>
    <row r="627" spans="1:1" x14ac:dyDescent="0.25">
      <c r="A627" s="2"/>
    </row>
    <row r="628" spans="1:1" x14ac:dyDescent="0.25">
      <c r="A628" s="2"/>
    </row>
    <row r="629" spans="1:1" x14ac:dyDescent="0.25">
      <c r="A629" s="2"/>
    </row>
    <row r="630" spans="1:1" x14ac:dyDescent="0.25">
      <c r="A630" s="2"/>
    </row>
    <row r="631" spans="1:1" x14ac:dyDescent="0.25">
      <c r="A631" s="2"/>
    </row>
    <row r="632" spans="1:1" x14ac:dyDescent="0.25">
      <c r="A632" s="2"/>
    </row>
    <row r="633" spans="1:1" x14ac:dyDescent="0.25">
      <c r="A633" s="2"/>
    </row>
    <row r="634" spans="1:1" x14ac:dyDescent="0.25">
      <c r="A634" s="2"/>
    </row>
    <row r="635" spans="1:1" x14ac:dyDescent="0.25">
      <c r="A635" s="2"/>
    </row>
    <row r="636" spans="1:1" x14ac:dyDescent="0.25">
      <c r="A636" s="2"/>
    </row>
    <row r="637" spans="1:1" x14ac:dyDescent="0.25">
      <c r="A637" s="2"/>
    </row>
    <row r="638" spans="1:1" x14ac:dyDescent="0.25">
      <c r="A638" s="2"/>
    </row>
    <row r="639" spans="1:1" x14ac:dyDescent="0.25">
      <c r="A639" s="2"/>
    </row>
    <row r="640" spans="1:1" x14ac:dyDescent="0.25">
      <c r="A640" s="2"/>
    </row>
    <row r="641" spans="1:1" x14ac:dyDescent="0.25">
      <c r="A641" s="2"/>
    </row>
    <row r="642" spans="1:1" x14ac:dyDescent="0.25">
      <c r="A642" s="2"/>
    </row>
    <row r="643" spans="1:1" x14ac:dyDescent="0.25">
      <c r="A643" s="2"/>
    </row>
    <row r="644" spans="1:1" x14ac:dyDescent="0.25">
      <c r="A644" s="2"/>
    </row>
    <row r="645" spans="1:1" x14ac:dyDescent="0.25">
      <c r="A645" s="2"/>
    </row>
    <row r="646" spans="1:1" x14ac:dyDescent="0.25">
      <c r="A646" s="2"/>
    </row>
    <row r="647" spans="1:1" x14ac:dyDescent="0.25">
      <c r="A647" s="2"/>
    </row>
    <row r="648" spans="1:1" x14ac:dyDescent="0.25">
      <c r="A648" s="2"/>
    </row>
    <row r="649" spans="1:1" x14ac:dyDescent="0.25">
      <c r="A649" s="2"/>
    </row>
    <row r="650" spans="1:1" x14ac:dyDescent="0.25">
      <c r="A650" s="2"/>
    </row>
    <row r="651" spans="1:1" x14ac:dyDescent="0.25">
      <c r="A651" s="2"/>
    </row>
    <row r="652" spans="1:1" x14ac:dyDescent="0.25">
      <c r="A652" s="2"/>
    </row>
    <row r="653" spans="1:1" x14ac:dyDescent="0.25">
      <c r="A653" s="2"/>
    </row>
    <row r="654" spans="1:1" x14ac:dyDescent="0.25">
      <c r="A654" s="2"/>
    </row>
    <row r="655" spans="1:1" x14ac:dyDescent="0.25">
      <c r="A655" s="2"/>
    </row>
    <row r="656" spans="1:1" x14ac:dyDescent="0.25">
      <c r="A656" s="2"/>
    </row>
    <row r="657" spans="1:1" x14ac:dyDescent="0.25">
      <c r="A657" s="2"/>
    </row>
    <row r="658" spans="1:1" x14ac:dyDescent="0.25">
      <c r="A658" s="2"/>
    </row>
    <row r="659" spans="1:1" x14ac:dyDescent="0.25">
      <c r="A659" s="2"/>
    </row>
    <row r="660" spans="1:1" x14ac:dyDescent="0.25">
      <c r="A660" s="2"/>
    </row>
    <row r="661" spans="1:1" x14ac:dyDescent="0.25">
      <c r="A661" s="2"/>
    </row>
    <row r="662" spans="1:1" x14ac:dyDescent="0.25">
      <c r="A662" s="2"/>
    </row>
    <row r="663" spans="1:1" x14ac:dyDescent="0.25">
      <c r="A663" s="2"/>
    </row>
    <row r="664" spans="1:1" x14ac:dyDescent="0.25">
      <c r="A664" s="2"/>
    </row>
    <row r="665" spans="1:1" x14ac:dyDescent="0.25">
      <c r="A665" s="2"/>
    </row>
    <row r="666" spans="1:1" x14ac:dyDescent="0.25">
      <c r="A666" s="2"/>
    </row>
    <row r="667" spans="1:1" x14ac:dyDescent="0.25">
      <c r="A667" s="2"/>
    </row>
    <row r="668" spans="1:1" x14ac:dyDescent="0.25">
      <c r="A668" s="2"/>
    </row>
    <row r="669" spans="1:1" x14ac:dyDescent="0.25">
      <c r="A669" s="2"/>
    </row>
    <row r="670" spans="1:1" x14ac:dyDescent="0.25">
      <c r="A670" s="2"/>
    </row>
    <row r="671" spans="1:1" x14ac:dyDescent="0.25">
      <c r="A671" s="2"/>
    </row>
    <row r="672" spans="1:1" x14ac:dyDescent="0.25">
      <c r="A672" s="2"/>
    </row>
    <row r="673" spans="1:1" x14ac:dyDescent="0.25">
      <c r="A673" s="2"/>
    </row>
    <row r="674" spans="1:1" x14ac:dyDescent="0.25">
      <c r="A674" s="2"/>
    </row>
    <row r="675" spans="1:1" x14ac:dyDescent="0.25">
      <c r="A675" s="2"/>
    </row>
    <row r="676" spans="1:1" x14ac:dyDescent="0.25">
      <c r="A676" s="2"/>
    </row>
    <row r="677" spans="1:1" x14ac:dyDescent="0.25">
      <c r="A677" s="2"/>
    </row>
    <row r="678" spans="1:1" x14ac:dyDescent="0.25">
      <c r="A678" s="2"/>
    </row>
    <row r="679" spans="1:1" x14ac:dyDescent="0.25">
      <c r="A679" s="2"/>
    </row>
    <row r="680" spans="1:1" x14ac:dyDescent="0.25">
      <c r="A680" s="2"/>
    </row>
    <row r="681" spans="1:1" x14ac:dyDescent="0.25">
      <c r="A681" s="2"/>
    </row>
    <row r="682" spans="1:1" x14ac:dyDescent="0.25">
      <c r="A682" s="2"/>
    </row>
    <row r="683" spans="1:1" x14ac:dyDescent="0.25">
      <c r="A683" s="2"/>
    </row>
    <row r="684" spans="1:1" x14ac:dyDescent="0.25">
      <c r="A684" s="2"/>
    </row>
    <row r="685" spans="1:1" x14ac:dyDescent="0.25">
      <c r="A685" s="2"/>
    </row>
    <row r="686" spans="1:1" x14ac:dyDescent="0.25">
      <c r="A686" s="2"/>
    </row>
    <row r="687" spans="1:1" x14ac:dyDescent="0.25">
      <c r="A687" s="2"/>
    </row>
    <row r="688" spans="1:1" x14ac:dyDescent="0.25">
      <c r="A688" s="2"/>
    </row>
    <row r="689" spans="1:1" x14ac:dyDescent="0.25">
      <c r="A689" s="2"/>
    </row>
    <row r="690" spans="1:1" x14ac:dyDescent="0.25">
      <c r="A690" s="2"/>
    </row>
    <row r="691" spans="1:1" x14ac:dyDescent="0.25">
      <c r="A691" s="2"/>
    </row>
    <row r="692" spans="1:1" x14ac:dyDescent="0.25">
      <c r="A692" s="2"/>
    </row>
    <row r="693" spans="1:1" x14ac:dyDescent="0.25">
      <c r="A693" s="2"/>
    </row>
    <row r="694" spans="1:1" x14ac:dyDescent="0.25">
      <c r="A694" s="2"/>
    </row>
    <row r="695" spans="1:1" x14ac:dyDescent="0.25">
      <c r="A695" s="2"/>
    </row>
    <row r="696" spans="1:1" x14ac:dyDescent="0.25">
      <c r="A696" s="2"/>
    </row>
    <row r="697" spans="1:1" x14ac:dyDescent="0.25">
      <c r="A697" s="2"/>
    </row>
    <row r="698" spans="1:1" x14ac:dyDescent="0.25">
      <c r="A698" s="2"/>
    </row>
    <row r="699" spans="1:1" x14ac:dyDescent="0.25">
      <c r="A699" s="2"/>
    </row>
    <row r="700" spans="1:1" x14ac:dyDescent="0.25">
      <c r="A700" s="2"/>
    </row>
    <row r="701" spans="1:1" x14ac:dyDescent="0.25">
      <c r="A701" s="2"/>
    </row>
    <row r="702" spans="1:1" x14ac:dyDescent="0.25">
      <c r="A702" s="2"/>
    </row>
    <row r="703" spans="1:1" x14ac:dyDescent="0.25">
      <c r="A703" s="2"/>
    </row>
    <row r="704" spans="1:1" x14ac:dyDescent="0.25">
      <c r="A704" s="2"/>
    </row>
    <row r="705" spans="1:1" x14ac:dyDescent="0.25">
      <c r="A705" s="2"/>
    </row>
    <row r="706" spans="1:1" x14ac:dyDescent="0.25">
      <c r="A706" s="2"/>
    </row>
    <row r="707" spans="1:1" x14ac:dyDescent="0.25">
      <c r="A707" s="2"/>
    </row>
    <row r="708" spans="1:1" x14ac:dyDescent="0.25">
      <c r="A708" s="2"/>
    </row>
    <row r="709" spans="1:1" x14ac:dyDescent="0.25">
      <c r="A709" s="2"/>
    </row>
    <row r="710" spans="1:1" x14ac:dyDescent="0.25">
      <c r="A710" s="2"/>
    </row>
    <row r="711" spans="1:1" x14ac:dyDescent="0.25">
      <c r="A711" s="2"/>
    </row>
    <row r="712" spans="1:1" x14ac:dyDescent="0.25">
      <c r="A712" s="2"/>
    </row>
    <row r="713" spans="1:1" x14ac:dyDescent="0.25">
      <c r="A713" s="2"/>
    </row>
    <row r="714" spans="1:1" x14ac:dyDescent="0.25">
      <c r="A714" s="2"/>
    </row>
    <row r="715" spans="1:1" x14ac:dyDescent="0.25">
      <c r="A715" s="2"/>
    </row>
    <row r="716" spans="1:1" x14ac:dyDescent="0.25">
      <c r="A716" s="2"/>
    </row>
    <row r="717" spans="1:1" x14ac:dyDescent="0.25">
      <c r="A717" s="2"/>
    </row>
    <row r="718" spans="1:1" x14ac:dyDescent="0.25">
      <c r="A718" s="2"/>
    </row>
    <row r="719" spans="1:1" x14ac:dyDescent="0.25">
      <c r="A719" s="2"/>
    </row>
    <row r="720" spans="1:1" x14ac:dyDescent="0.25">
      <c r="A720" s="2"/>
    </row>
    <row r="721" spans="1:1" x14ac:dyDescent="0.25">
      <c r="A721" s="2"/>
    </row>
    <row r="722" spans="1:1" x14ac:dyDescent="0.25">
      <c r="A722" s="2"/>
    </row>
    <row r="723" spans="1:1" x14ac:dyDescent="0.25">
      <c r="A723" s="2"/>
    </row>
    <row r="724" spans="1:1" x14ac:dyDescent="0.25">
      <c r="A724" s="2"/>
    </row>
    <row r="725" spans="1:1" x14ac:dyDescent="0.25">
      <c r="A725" s="2"/>
    </row>
    <row r="726" spans="1:1" x14ac:dyDescent="0.25">
      <c r="A726" s="2"/>
    </row>
    <row r="727" spans="1:1" x14ac:dyDescent="0.25">
      <c r="A727" s="2"/>
    </row>
    <row r="728" spans="1:1" x14ac:dyDescent="0.25">
      <c r="A728" s="2"/>
    </row>
    <row r="729" spans="1:1" x14ac:dyDescent="0.25">
      <c r="A729" s="2"/>
    </row>
    <row r="730" spans="1:1" x14ac:dyDescent="0.25">
      <c r="A730" s="2"/>
    </row>
    <row r="731" spans="1:1" x14ac:dyDescent="0.25">
      <c r="A731" s="2"/>
    </row>
    <row r="732" spans="1:1" x14ac:dyDescent="0.25">
      <c r="A732" s="2"/>
    </row>
    <row r="733" spans="1:1" x14ac:dyDescent="0.25">
      <c r="A733" s="2"/>
    </row>
    <row r="734" spans="1:1" x14ac:dyDescent="0.25">
      <c r="A734" s="2"/>
    </row>
    <row r="735" spans="1:1" x14ac:dyDescent="0.25">
      <c r="A735" s="2"/>
    </row>
    <row r="736" spans="1:1" x14ac:dyDescent="0.25">
      <c r="A736" s="2"/>
    </row>
    <row r="737" spans="1:1" x14ac:dyDescent="0.25">
      <c r="A737" s="2"/>
    </row>
    <row r="738" spans="1:1" x14ac:dyDescent="0.25">
      <c r="A738" s="2"/>
    </row>
    <row r="739" spans="1:1" x14ac:dyDescent="0.25">
      <c r="A739" s="2"/>
    </row>
    <row r="740" spans="1:1" x14ac:dyDescent="0.25">
      <c r="A740" s="2"/>
    </row>
    <row r="741" spans="1:1" x14ac:dyDescent="0.25">
      <c r="A741" s="2"/>
    </row>
    <row r="742" spans="1:1" x14ac:dyDescent="0.25">
      <c r="A742" s="2"/>
    </row>
    <row r="743" spans="1:1" x14ac:dyDescent="0.25">
      <c r="A743" s="2"/>
    </row>
    <row r="744" spans="1:1" x14ac:dyDescent="0.25">
      <c r="A744" s="2"/>
    </row>
    <row r="745" spans="1:1" x14ac:dyDescent="0.25">
      <c r="A745" s="2"/>
    </row>
    <row r="746" spans="1:1" x14ac:dyDescent="0.25">
      <c r="A746" s="2"/>
    </row>
    <row r="747" spans="1:1" x14ac:dyDescent="0.25">
      <c r="A747" s="2"/>
    </row>
    <row r="748" spans="1:1" x14ac:dyDescent="0.25">
      <c r="A748" s="2"/>
    </row>
    <row r="749" spans="1:1" x14ac:dyDescent="0.25">
      <c r="A749" s="2"/>
    </row>
    <row r="750" spans="1:1" x14ac:dyDescent="0.25">
      <c r="A750" s="2"/>
    </row>
    <row r="751" spans="1:1" x14ac:dyDescent="0.25">
      <c r="A751" s="2"/>
    </row>
    <row r="752" spans="1:1" x14ac:dyDescent="0.25">
      <c r="A752" s="2"/>
    </row>
    <row r="753" spans="1:1" x14ac:dyDescent="0.25">
      <c r="A753" s="2"/>
    </row>
    <row r="754" spans="1:1" x14ac:dyDescent="0.25">
      <c r="A754" s="2"/>
    </row>
    <row r="755" spans="1:1" x14ac:dyDescent="0.25">
      <c r="A755" s="2"/>
    </row>
    <row r="756" spans="1:1" x14ac:dyDescent="0.25">
      <c r="A756" s="2"/>
    </row>
    <row r="757" spans="1:1" x14ac:dyDescent="0.25">
      <c r="A757" s="2"/>
    </row>
    <row r="758" spans="1:1" x14ac:dyDescent="0.25">
      <c r="A758" s="2"/>
    </row>
    <row r="759" spans="1:1" x14ac:dyDescent="0.25">
      <c r="A759" s="2"/>
    </row>
    <row r="760" spans="1:1" x14ac:dyDescent="0.25">
      <c r="A760" s="2"/>
    </row>
    <row r="761" spans="1:1" x14ac:dyDescent="0.25">
      <c r="A761" s="2"/>
    </row>
    <row r="762" spans="1:1" x14ac:dyDescent="0.25">
      <c r="A762" s="2"/>
    </row>
    <row r="763" spans="1:1" x14ac:dyDescent="0.25">
      <c r="A763" s="2"/>
    </row>
    <row r="764" spans="1:1" x14ac:dyDescent="0.25">
      <c r="A764" s="2"/>
    </row>
    <row r="765" spans="1:1" x14ac:dyDescent="0.25">
      <c r="A765" s="2"/>
    </row>
    <row r="766" spans="1:1" x14ac:dyDescent="0.25">
      <c r="A766" s="2"/>
    </row>
    <row r="767" spans="1:1" x14ac:dyDescent="0.25">
      <c r="A767" s="2"/>
    </row>
    <row r="768" spans="1:1" x14ac:dyDescent="0.25">
      <c r="A768" s="2"/>
    </row>
    <row r="769" spans="1:1" x14ac:dyDescent="0.25">
      <c r="A769" s="2"/>
    </row>
    <row r="770" spans="1:1" x14ac:dyDescent="0.25">
      <c r="A770" s="2"/>
    </row>
    <row r="771" spans="1:1" x14ac:dyDescent="0.25">
      <c r="A771" s="2"/>
    </row>
    <row r="772" spans="1:1" x14ac:dyDescent="0.25">
      <c r="A772" s="2"/>
    </row>
    <row r="773" spans="1:1" x14ac:dyDescent="0.25">
      <c r="A773" s="2"/>
    </row>
    <row r="774" spans="1:1" x14ac:dyDescent="0.25">
      <c r="A774" s="2"/>
    </row>
    <row r="775" spans="1:1" x14ac:dyDescent="0.25">
      <c r="A775" s="2"/>
    </row>
    <row r="776" spans="1:1" x14ac:dyDescent="0.25">
      <c r="A776" s="2"/>
    </row>
    <row r="777" spans="1:1" x14ac:dyDescent="0.25">
      <c r="A777" s="2"/>
    </row>
    <row r="778" spans="1:1" x14ac:dyDescent="0.25">
      <c r="A778" s="2"/>
    </row>
    <row r="779" spans="1:1" x14ac:dyDescent="0.25">
      <c r="A779" s="2"/>
    </row>
    <row r="780" spans="1:1" x14ac:dyDescent="0.25">
      <c r="A780" s="2"/>
    </row>
    <row r="781" spans="1:1" x14ac:dyDescent="0.25">
      <c r="A781" s="2"/>
    </row>
    <row r="782" spans="1:1" x14ac:dyDescent="0.25">
      <c r="A782" s="2"/>
    </row>
    <row r="783" spans="1:1" x14ac:dyDescent="0.25">
      <c r="A783" s="2"/>
    </row>
    <row r="784" spans="1:1" x14ac:dyDescent="0.25">
      <c r="A784" s="2"/>
    </row>
    <row r="785" spans="1:1" x14ac:dyDescent="0.25">
      <c r="A785" s="2"/>
    </row>
    <row r="786" spans="1:1" x14ac:dyDescent="0.25">
      <c r="A786" s="2"/>
    </row>
    <row r="787" spans="1:1" x14ac:dyDescent="0.25">
      <c r="A787" s="2"/>
    </row>
    <row r="788" spans="1:1" x14ac:dyDescent="0.25">
      <c r="A788" s="2"/>
    </row>
    <row r="789" spans="1:1" x14ac:dyDescent="0.25">
      <c r="A789" s="2"/>
    </row>
    <row r="790" spans="1:1" x14ac:dyDescent="0.25">
      <c r="A790" s="2"/>
    </row>
    <row r="791" spans="1:1" x14ac:dyDescent="0.25">
      <c r="A791" s="2"/>
    </row>
    <row r="792" spans="1:1" x14ac:dyDescent="0.25">
      <c r="A792" s="2"/>
    </row>
    <row r="793" spans="1:1" x14ac:dyDescent="0.25">
      <c r="A793" s="2"/>
    </row>
    <row r="794" spans="1:1" x14ac:dyDescent="0.25">
      <c r="A794" s="2"/>
    </row>
    <row r="795" spans="1:1" x14ac:dyDescent="0.25">
      <c r="A795" s="2"/>
    </row>
    <row r="796" spans="1:1" x14ac:dyDescent="0.25">
      <c r="A796" s="2"/>
    </row>
    <row r="797" spans="1:1" x14ac:dyDescent="0.25">
      <c r="A797" s="2"/>
    </row>
    <row r="798" spans="1:1" x14ac:dyDescent="0.25">
      <c r="A798" s="2"/>
    </row>
    <row r="799" spans="1:1" x14ac:dyDescent="0.25">
      <c r="A799" s="2"/>
    </row>
    <row r="800" spans="1:1" x14ac:dyDescent="0.25">
      <c r="A800" s="2"/>
    </row>
    <row r="801" spans="1:1" x14ac:dyDescent="0.25">
      <c r="A801" s="2"/>
    </row>
    <row r="802" spans="1:1" x14ac:dyDescent="0.25">
      <c r="A802" s="2"/>
    </row>
    <row r="803" spans="1:1" x14ac:dyDescent="0.25">
      <c r="A803" s="2"/>
    </row>
    <row r="804" spans="1:1" x14ac:dyDescent="0.25">
      <c r="A804" s="2"/>
    </row>
    <row r="805" spans="1:1" x14ac:dyDescent="0.25">
      <c r="A805" s="2"/>
    </row>
    <row r="806" spans="1:1" x14ac:dyDescent="0.25">
      <c r="A806" s="2"/>
    </row>
    <row r="807" spans="1:1" x14ac:dyDescent="0.25">
      <c r="A807" s="2"/>
    </row>
    <row r="808" spans="1:1" x14ac:dyDescent="0.25">
      <c r="A808" s="2"/>
    </row>
    <row r="809" spans="1:1" x14ac:dyDescent="0.25">
      <c r="A809" s="2"/>
    </row>
    <row r="810" spans="1:1" x14ac:dyDescent="0.25">
      <c r="A810" s="2"/>
    </row>
    <row r="811" spans="1:1" x14ac:dyDescent="0.25">
      <c r="A811" s="2"/>
    </row>
    <row r="812" spans="1:1" x14ac:dyDescent="0.25">
      <c r="A812" s="2"/>
    </row>
    <row r="813" spans="1:1" x14ac:dyDescent="0.25">
      <c r="A813" s="2"/>
    </row>
    <row r="814" spans="1:1" x14ac:dyDescent="0.25">
      <c r="A814" s="2"/>
    </row>
    <row r="815" spans="1:1" x14ac:dyDescent="0.25">
      <c r="A815" s="2"/>
    </row>
    <row r="816" spans="1:1" x14ac:dyDescent="0.25">
      <c r="A816" s="2"/>
    </row>
    <row r="817" spans="1:1" x14ac:dyDescent="0.25">
      <c r="A817" s="2"/>
    </row>
    <row r="818" spans="1:1" x14ac:dyDescent="0.25">
      <c r="A818" s="2"/>
    </row>
    <row r="819" spans="1:1" x14ac:dyDescent="0.25">
      <c r="A819" s="2"/>
    </row>
    <row r="820" spans="1:1" x14ac:dyDescent="0.25">
      <c r="A820" s="2"/>
    </row>
    <row r="821" spans="1:1" x14ac:dyDescent="0.25">
      <c r="A821" s="2"/>
    </row>
    <row r="822" spans="1:1" x14ac:dyDescent="0.25">
      <c r="A822" s="2"/>
    </row>
    <row r="823" spans="1:1" x14ac:dyDescent="0.25">
      <c r="A823" s="2"/>
    </row>
    <row r="824" spans="1:1" x14ac:dyDescent="0.25">
      <c r="A824" s="2"/>
    </row>
    <row r="825" spans="1:1" x14ac:dyDescent="0.25">
      <c r="A825" s="2"/>
    </row>
    <row r="826" spans="1:1" x14ac:dyDescent="0.25">
      <c r="A826" s="2"/>
    </row>
    <row r="827" spans="1:1" x14ac:dyDescent="0.25">
      <c r="A827" s="2"/>
    </row>
    <row r="828" spans="1:1" x14ac:dyDescent="0.25">
      <c r="A828" s="2"/>
    </row>
    <row r="829" spans="1:1" x14ac:dyDescent="0.25">
      <c r="A829" s="2"/>
    </row>
    <row r="830" spans="1:1" x14ac:dyDescent="0.25">
      <c r="A830" s="2"/>
    </row>
    <row r="831" spans="1:1" x14ac:dyDescent="0.25">
      <c r="A831" s="2"/>
    </row>
    <row r="832" spans="1:1" x14ac:dyDescent="0.25">
      <c r="A832" s="2"/>
    </row>
    <row r="833" spans="1:1" x14ac:dyDescent="0.25">
      <c r="A833" s="2"/>
    </row>
    <row r="834" spans="1:1" x14ac:dyDescent="0.25">
      <c r="A834" s="2"/>
    </row>
    <row r="835" spans="1:1" x14ac:dyDescent="0.25">
      <c r="A835" s="2"/>
    </row>
    <row r="836" spans="1:1" x14ac:dyDescent="0.25">
      <c r="A836" s="2"/>
    </row>
    <row r="837" spans="1:1" x14ac:dyDescent="0.25">
      <c r="A837" s="2"/>
    </row>
    <row r="838" spans="1:1" x14ac:dyDescent="0.25">
      <c r="A838" s="2"/>
    </row>
    <row r="839" spans="1:1" x14ac:dyDescent="0.25">
      <c r="A839" s="2"/>
    </row>
    <row r="840" spans="1:1" x14ac:dyDescent="0.25">
      <c r="A840" s="2"/>
    </row>
    <row r="841" spans="1:1" x14ac:dyDescent="0.25">
      <c r="A841" s="2"/>
    </row>
    <row r="842" spans="1:1" x14ac:dyDescent="0.25">
      <c r="A842" s="2"/>
    </row>
    <row r="843" spans="1:1" x14ac:dyDescent="0.25">
      <c r="A843" s="2"/>
    </row>
    <row r="844" spans="1:1" x14ac:dyDescent="0.25">
      <c r="A844" s="2"/>
    </row>
    <row r="845" spans="1:1" x14ac:dyDescent="0.25">
      <c r="A845" s="2"/>
    </row>
    <row r="846" spans="1:1" x14ac:dyDescent="0.25">
      <c r="A846" s="2"/>
    </row>
    <row r="847" spans="1:1" x14ac:dyDescent="0.25">
      <c r="A847" s="2"/>
    </row>
    <row r="848" spans="1:1" x14ac:dyDescent="0.25">
      <c r="A848" s="2"/>
    </row>
    <row r="849" spans="1:1" x14ac:dyDescent="0.25">
      <c r="A849" s="2"/>
    </row>
    <row r="850" spans="1:1" x14ac:dyDescent="0.25">
      <c r="A850" s="2"/>
    </row>
    <row r="851" spans="1:1" x14ac:dyDescent="0.25">
      <c r="A851" s="2"/>
    </row>
    <row r="852" spans="1:1" x14ac:dyDescent="0.25">
      <c r="A852" s="2"/>
    </row>
    <row r="853" spans="1:1" x14ac:dyDescent="0.25">
      <c r="A853" s="2"/>
    </row>
    <row r="854" spans="1:1" x14ac:dyDescent="0.25">
      <c r="A854" s="2"/>
    </row>
    <row r="855" spans="1:1" x14ac:dyDescent="0.25">
      <c r="A855" s="2"/>
    </row>
    <row r="856" spans="1:1" x14ac:dyDescent="0.25">
      <c r="A856" s="2"/>
    </row>
    <row r="857" spans="1:1" x14ac:dyDescent="0.25">
      <c r="A857" s="2"/>
    </row>
    <row r="858" spans="1:1" x14ac:dyDescent="0.25">
      <c r="A858" s="2"/>
    </row>
    <row r="859" spans="1:1" x14ac:dyDescent="0.25">
      <c r="A859" s="2"/>
    </row>
    <row r="860" spans="1:1" x14ac:dyDescent="0.25">
      <c r="A860" s="2"/>
    </row>
    <row r="861" spans="1:1" x14ac:dyDescent="0.25">
      <c r="A861" s="2"/>
    </row>
    <row r="862" spans="1:1" x14ac:dyDescent="0.25">
      <c r="A862" s="2"/>
    </row>
    <row r="863" spans="1:1" x14ac:dyDescent="0.25">
      <c r="A863" s="2"/>
    </row>
    <row r="864" spans="1:1" x14ac:dyDescent="0.25">
      <c r="A864" s="2"/>
    </row>
    <row r="865" spans="1:1" x14ac:dyDescent="0.25">
      <c r="A865" s="2"/>
    </row>
    <row r="866" spans="1:1" x14ac:dyDescent="0.25">
      <c r="A866" s="2"/>
    </row>
    <row r="867" spans="1:1" x14ac:dyDescent="0.25">
      <c r="A867" s="2"/>
    </row>
    <row r="868" spans="1:1" x14ac:dyDescent="0.25">
      <c r="A868" s="2"/>
    </row>
    <row r="869" spans="1:1" x14ac:dyDescent="0.25">
      <c r="A869" s="2"/>
    </row>
    <row r="870" spans="1:1" x14ac:dyDescent="0.25">
      <c r="A870" s="2"/>
    </row>
    <row r="871" spans="1:1" x14ac:dyDescent="0.25">
      <c r="A871" s="2"/>
    </row>
    <row r="872" spans="1:1" x14ac:dyDescent="0.25">
      <c r="A872" s="2"/>
    </row>
    <row r="873" spans="1:1" x14ac:dyDescent="0.25">
      <c r="A873" s="2"/>
    </row>
    <row r="874" spans="1:1" x14ac:dyDescent="0.25">
      <c r="A874" s="2"/>
    </row>
    <row r="875" spans="1:1" x14ac:dyDescent="0.25">
      <c r="A875" s="2"/>
    </row>
    <row r="876" spans="1:1" x14ac:dyDescent="0.25">
      <c r="A876" s="2"/>
    </row>
    <row r="877" spans="1:1" x14ac:dyDescent="0.25">
      <c r="A877" s="2"/>
    </row>
    <row r="878" spans="1:1" x14ac:dyDescent="0.25">
      <c r="A878" s="2"/>
    </row>
    <row r="879" spans="1:1" x14ac:dyDescent="0.25">
      <c r="A879" s="2"/>
    </row>
    <row r="880" spans="1:1" x14ac:dyDescent="0.25">
      <c r="A880" s="2"/>
    </row>
    <row r="881" spans="1:1" x14ac:dyDescent="0.25">
      <c r="A881" s="2"/>
    </row>
    <row r="882" spans="1:1" x14ac:dyDescent="0.25">
      <c r="A882" s="2"/>
    </row>
    <row r="883" spans="1:1" x14ac:dyDescent="0.25">
      <c r="A883" s="2"/>
    </row>
    <row r="884" spans="1:1" x14ac:dyDescent="0.25">
      <c r="A884" s="2"/>
    </row>
    <row r="885" spans="1:1" x14ac:dyDescent="0.25">
      <c r="A885" s="2"/>
    </row>
    <row r="886" spans="1:1" x14ac:dyDescent="0.25">
      <c r="A886" s="2"/>
    </row>
    <row r="887" spans="1:1" x14ac:dyDescent="0.25">
      <c r="A887" s="2"/>
    </row>
    <row r="888" spans="1:1" x14ac:dyDescent="0.25">
      <c r="A888" s="2"/>
    </row>
    <row r="889" spans="1:1" x14ac:dyDescent="0.25">
      <c r="A889" s="2"/>
    </row>
    <row r="890" spans="1:1" x14ac:dyDescent="0.25">
      <c r="A890" s="2"/>
    </row>
    <row r="891" spans="1:1" x14ac:dyDescent="0.25">
      <c r="A891" s="2"/>
    </row>
    <row r="892" spans="1:1" x14ac:dyDescent="0.25">
      <c r="A892" s="2"/>
    </row>
    <row r="893" spans="1:1" x14ac:dyDescent="0.25">
      <c r="A893" s="2"/>
    </row>
    <row r="894" spans="1:1" x14ac:dyDescent="0.25">
      <c r="A894" s="2"/>
    </row>
    <row r="895" spans="1:1" x14ac:dyDescent="0.25">
      <c r="A895" s="2"/>
    </row>
    <row r="896" spans="1:1" x14ac:dyDescent="0.25">
      <c r="A896" s="2"/>
    </row>
    <row r="897" spans="1:1" x14ac:dyDescent="0.25">
      <c r="A897" s="2"/>
    </row>
    <row r="898" spans="1:1" x14ac:dyDescent="0.25">
      <c r="A898" s="2"/>
    </row>
    <row r="899" spans="1:1" x14ac:dyDescent="0.25">
      <c r="A899" s="2"/>
    </row>
    <row r="900" spans="1:1" x14ac:dyDescent="0.25">
      <c r="A900" s="2"/>
    </row>
    <row r="901" spans="1:1" x14ac:dyDescent="0.25">
      <c r="A901" s="2"/>
    </row>
    <row r="902" spans="1:1" x14ac:dyDescent="0.25">
      <c r="A902" s="2"/>
    </row>
    <row r="903" spans="1:1" x14ac:dyDescent="0.25">
      <c r="A903" s="2"/>
    </row>
    <row r="904" spans="1:1" x14ac:dyDescent="0.25">
      <c r="A904" s="2"/>
    </row>
    <row r="905" spans="1:1" x14ac:dyDescent="0.25">
      <c r="A905" s="2"/>
    </row>
    <row r="906" spans="1:1" x14ac:dyDescent="0.25">
      <c r="A906" s="2"/>
    </row>
    <row r="907" spans="1:1" x14ac:dyDescent="0.25">
      <c r="A907" s="2"/>
    </row>
    <row r="908" spans="1:1" x14ac:dyDescent="0.25">
      <c r="A908" s="2"/>
    </row>
    <row r="909" spans="1:1" x14ac:dyDescent="0.25">
      <c r="A909" s="2"/>
    </row>
    <row r="910" spans="1:1" x14ac:dyDescent="0.25">
      <c r="A910" s="2"/>
    </row>
    <row r="911" spans="1:1" x14ac:dyDescent="0.25">
      <c r="A911" s="2"/>
    </row>
    <row r="912" spans="1:1" x14ac:dyDescent="0.25">
      <c r="A912" s="2"/>
    </row>
    <row r="913" spans="1:1" x14ac:dyDescent="0.25">
      <c r="A913" s="2"/>
    </row>
    <row r="914" spans="1:1" x14ac:dyDescent="0.25">
      <c r="A914" s="2"/>
    </row>
    <row r="915" spans="1:1" x14ac:dyDescent="0.25">
      <c r="A915" s="2"/>
    </row>
    <row r="916" spans="1:1" x14ac:dyDescent="0.25">
      <c r="A916" s="2"/>
    </row>
    <row r="917" spans="1:1" x14ac:dyDescent="0.25">
      <c r="A917" s="2"/>
    </row>
    <row r="918" spans="1:1" x14ac:dyDescent="0.25">
      <c r="A918" s="2"/>
    </row>
    <row r="919" spans="1:1" x14ac:dyDescent="0.25">
      <c r="A919" s="2"/>
    </row>
    <row r="920" spans="1:1" x14ac:dyDescent="0.25">
      <c r="A920" s="2"/>
    </row>
    <row r="921" spans="1:1" x14ac:dyDescent="0.25">
      <c r="A921" s="2"/>
    </row>
    <row r="922" spans="1:1" x14ac:dyDescent="0.25">
      <c r="A922" s="2"/>
    </row>
    <row r="923" spans="1:1" x14ac:dyDescent="0.25">
      <c r="A923" s="2"/>
    </row>
    <row r="924" spans="1:1" x14ac:dyDescent="0.25">
      <c r="A924" s="2"/>
    </row>
    <row r="925" spans="1:1" x14ac:dyDescent="0.25">
      <c r="A925" s="2"/>
    </row>
    <row r="926" spans="1:1" x14ac:dyDescent="0.25">
      <c r="A926" s="2"/>
    </row>
    <row r="927" spans="1:1" x14ac:dyDescent="0.25">
      <c r="A927" s="2"/>
    </row>
    <row r="928" spans="1:1" x14ac:dyDescent="0.25">
      <c r="A928" s="2"/>
    </row>
    <row r="929" spans="1:1" x14ac:dyDescent="0.25">
      <c r="A929" s="2"/>
    </row>
    <row r="930" spans="1:1" x14ac:dyDescent="0.25">
      <c r="A930" s="2"/>
    </row>
    <row r="931" spans="1:1" x14ac:dyDescent="0.25">
      <c r="A931" s="2"/>
    </row>
    <row r="932" spans="1:1" x14ac:dyDescent="0.25">
      <c r="A932" s="2"/>
    </row>
    <row r="933" spans="1:1" x14ac:dyDescent="0.25">
      <c r="A933" s="2"/>
    </row>
    <row r="934" spans="1:1" x14ac:dyDescent="0.25">
      <c r="A934" s="2"/>
    </row>
    <row r="935" spans="1:1" x14ac:dyDescent="0.25">
      <c r="A935" s="2"/>
    </row>
    <row r="936" spans="1:1" x14ac:dyDescent="0.25">
      <c r="A936" s="2"/>
    </row>
    <row r="937" spans="1:1" x14ac:dyDescent="0.25">
      <c r="A937" s="2"/>
    </row>
    <row r="938" spans="1:1" x14ac:dyDescent="0.25">
      <c r="A938" s="2"/>
    </row>
    <row r="939" spans="1:1" x14ac:dyDescent="0.25">
      <c r="A939" s="2"/>
    </row>
    <row r="940" spans="1:1" x14ac:dyDescent="0.25">
      <c r="A940" s="2"/>
    </row>
    <row r="941" spans="1:1" x14ac:dyDescent="0.25">
      <c r="A941" s="2"/>
    </row>
    <row r="942" spans="1:1" x14ac:dyDescent="0.25">
      <c r="A942" s="2"/>
    </row>
    <row r="943" spans="1:1" x14ac:dyDescent="0.25">
      <c r="A943" s="2"/>
    </row>
    <row r="944" spans="1:1" x14ac:dyDescent="0.25">
      <c r="A944" s="2"/>
    </row>
    <row r="945" spans="1:1" x14ac:dyDescent="0.25">
      <c r="A945" s="2"/>
    </row>
    <row r="946" spans="1:1" x14ac:dyDescent="0.25">
      <c r="A946" s="2"/>
    </row>
    <row r="947" spans="1:1" x14ac:dyDescent="0.25">
      <c r="A947" s="2"/>
    </row>
    <row r="948" spans="1:1" x14ac:dyDescent="0.25">
      <c r="A948" s="2"/>
    </row>
    <row r="949" spans="1:1" x14ac:dyDescent="0.25">
      <c r="A949" s="2"/>
    </row>
    <row r="950" spans="1:1" x14ac:dyDescent="0.25">
      <c r="A950" s="2"/>
    </row>
    <row r="951" spans="1:1" x14ac:dyDescent="0.25">
      <c r="A951" s="2"/>
    </row>
    <row r="952" spans="1:1" x14ac:dyDescent="0.25">
      <c r="A952" s="2"/>
    </row>
    <row r="953" spans="1:1" x14ac:dyDescent="0.25">
      <c r="A953" s="2"/>
    </row>
    <row r="954" spans="1:1" x14ac:dyDescent="0.25">
      <c r="A954" s="2"/>
    </row>
    <row r="955" spans="1:1" x14ac:dyDescent="0.25">
      <c r="A955" s="2"/>
    </row>
    <row r="956" spans="1:1" x14ac:dyDescent="0.25">
      <c r="A956" s="2"/>
    </row>
    <row r="957" spans="1:1" x14ac:dyDescent="0.25">
      <c r="A957" s="2"/>
    </row>
    <row r="958" spans="1:1" x14ac:dyDescent="0.25">
      <c r="A958" s="2"/>
    </row>
    <row r="959" spans="1:1" x14ac:dyDescent="0.25">
      <c r="A959" s="2"/>
    </row>
    <row r="960" spans="1:1" x14ac:dyDescent="0.25">
      <c r="A960" s="2"/>
    </row>
    <row r="961" spans="1:1" x14ac:dyDescent="0.25">
      <c r="A961" s="2"/>
    </row>
    <row r="962" spans="1:1" x14ac:dyDescent="0.25">
      <c r="A962" s="2"/>
    </row>
    <row r="963" spans="1:1" x14ac:dyDescent="0.25">
      <c r="A963" s="2"/>
    </row>
    <row r="964" spans="1:1" x14ac:dyDescent="0.25">
      <c r="A964" s="2"/>
    </row>
    <row r="965" spans="1:1" x14ac:dyDescent="0.25">
      <c r="A965" s="2"/>
    </row>
    <row r="966" spans="1:1" x14ac:dyDescent="0.25">
      <c r="A966" s="2"/>
    </row>
    <row r="967" spans="1:1" x14ac:dyDescent="0.25">
      <c r="A967" s="2"/>
    </row>
    <row r="968" spans="1:1" x14ac:dyDescent="0.25">
      <c r="A968" s="2"/>
    </row>
    <row r="969" spans="1:1" x14ac:dyDescent="0.25">
      <c r="A969" s="2"/>
    </row>
    <row r="970" spans="1:1" x14ac:dyDescent="0.25">
      <c r="A970" s="2"/>
    </row>
    <row r="971" spans="1:1" x14ac:dyDescent="0.25">
      <c r="A971" s="2"/>
    </row>
    <row r="972" spans="1:1" x14ac:dyDescent="0.25">
      <c r="A972" s="2"/>
    </row>
    <row r="973" spans="1:1" x14ac:dyDescent="0.25">
      <c r="A973" s="2"/>
    </row>
    <row r="974" spans="1:1" x14ac:dyDescent="0.25">
      <c r="A974" s="2"/>
    </row>
    <row r="975" spans="1:1" x14ac:dyDescent="0.25">
      <c r="A975" s="2"/>
    </row>
    <row r="976" spans="1:1" x14ac:dyDescent="0.25">
      <c r="A976" s="2"/>
    </row>
    <row r="977" spans="1:1" x14ac:dyDescent="0.25">
      <c r="A977" s="2"/>
    </row>
    <row r="978" spans="1:1" x14ac:dyDescent="0.25">
      <c r="A978" s="2"/>
    </row>
    <row r="979" spans="1:1" x14ac:dyDescent="0.25">
      <c r="A979" s="2"/>
    </row>
    <row r="980" spans="1:1" x14ac:dyDescent="0.25">
      <c r="A980" s="2"/>
    </row>
    <row r="981" spans="1:1" x14ac:dyDescent="0.25">
      <c r="A981" s="2"/>
    </row>
    <row r="982" spans="1:1" x14ac:dyDescent="0.25">
      <c r="A982" s="2"/>
    </row>
    <row r="983" spans="1:1" x14ac:dyDescent="0.25">
      <c r="A983" s="2"/>
    </row>
    <row r="984" spans="1:1" x14ac:dyDescent="0.25">
      <c r="A984" s="2"/>
    </row>
    <row r="985" spans="1:1" x14ac:dyDescent="0.25">
      <c r="A985" s="2"/>
    </row>
    <row r="986" spans="1:1" x14ac:dyDescent="0.25">
      <c r="A986" s="2"/>
    </row>
    <row r="987" spans="1:1" x14ac:dyDescent="0.25">
      <c r="A987" s="2"/>
    </row>
    <row r="988" spans="1:1" x14ac:dyDescent="0.25">
      <c r="A988" s="2"/>
    </row>
    <row r="989" spans="1:1" x14ac:dyDescent="0.25">
      <c r="A989" s="2"/>
    </row>
    <row r="990" spans="1:1" x14ac:dyDescent="0.25">
      <c r="A990" s="2"/>
    </row>
    <row r="991" spans="1:1" x14ac:dyDescent="0.25">
      <c r="A991" s="2"/>
    </row>
    <row r="992" spans="1:1" x14ac:dyDescent="0.25">
      <c r="A992" s="2"/>
    </row>
    <row r="993" spans="1:1" x14ac:dyDescent="0.25">
      <c r="A993" s="2"/>
    </row>
    <row r="994" spans="1:1" x14ac:dyDescent="0.25">
      <c r="A994" s="2"/>
    </row>
    <row r="995" spans="1:1" x14ac:dyDescent="0.25">
      <c r="A995" s="2"/>
    </row>
    <row r="996" spans="1:1" x14ac:dyDescent="0.25">
      <c r="A996" s="2"/>
    </row>
    <row r="997" spans="1:1" x14ac:dyDescent="0.25">
      <c r="A997" s="2"/>
    </row>
    <row r="998" spans="1:1" x14ac:dyDescent="0.25">
      <c r="A998" s="2"/>
    </row>
    <row r="999" spans="1:1" x14ac:dyDescent="0.25">
      <c r="A999" s="2"/>
    </row>
    <row r="1000" spans="1:1" x14ac:dyDescent="0.25">
      <c r="A1000" s="2"/>
    </row>
    <row r="1001" spans="1:1" x14ac:dyDescent="0.25">
      <c r="A1001" s="2"/>
    </row>
    <row r="1002" spans="1:1" x14ac:dyDescent="0.25">
      <c r="A1002" s="2"/>
    </row>
    <row r="1003" spans="1:1" x14ac:dyDescent="0.25">
      <c r="A1003" s="2"/>
    </row>
    <row r="1004" spans="1:1" x14ac:dyDescent="0.25">
      <c r="A1004" s="2"/>
    </row>
    <row r="1005" spans="1:1" x14ac:dyDescent="0.25">
      <c r="A1005" s="2"/>
    </row>
    <row r="1006" spans="1:1" x14ac:dyDescent="0.25">
      <c r="A1006" s="2"/>
    </row>
    <row r="1007" spans="1:1" x14ac:dyDescent="0.25">
      <c r="A1007" s="2"/>
    </row>
    <row r="1008" spans="1:1" x14ac:dyDescent="0.25">
      <c r="A1008" s="2"/>
    </row>
    <row r="1009" spans="1:1" x14ac:dyDescent="0.25">
      <c r="A1009" s="2"/>
    </row>
    <row r="1010" spans="1:1" x14ac:dyDescent="0.25">
      <c r="A1010" s="2"/>
    </row>
    <row r="1011" spans="1:1" x14ac:dyDescent="0.25">
      <c r="A1011" s="2"/>
    </row>
    <row r="1012" spans="1:1" x14ac:dyDescent="0.25">
      <c r="A1012" s="2"/>
    </row>
    <row r="1013" spans="1:1" x14ac:dyDescent="0.25">
      <c r="A1013" s="2"/>
    </row>
    <row r="1014" spans="1:1" x14ac:dyDescent="0.25">
      <c r="A1014" s="2"/>
    </row>
    <row r="1015" spans="1:1" x14ac:dyDescent="0.25">
      <c r="A1015" s="2"/>
    </row>
    <row r="1016" spans="1:1" x14ac:dyDescent="0.25">
      <c r="A1016" s="2"/>
    </row>
    <row r="1017" spans="1:1" x14ac:dyDescent="0.25">
      <c r="A1017" s="2"/>
    </row>
    <row r="1018" spans="1:1" x14ac:dyDescent="0.25">
      <c r="A1018" s="2"/>
    </row>
    <row r="1019" spans="1:1" x14ac:dyDescent="0.25">
      <c r="A1019" s="2"/>
    </row>
    <row r="1020" spans="1:1" x14ac:dyDescent="0.25">
      <c r="A1020" s="2"/>
    </row>
    <row r="1021" spans="1:1" x14ac:dyDescent="0.25">
      <c r="A1021" s="2"/>
    </row>
    <row r="1022" spans="1:1" x14ac:dyDescent="0.25">
      <c r="A1022" s="2"/>
    </row>
    <row r="1023" spans="1:1" x14ac:dyDescent="0.25">
      <c r="A1023" s="2"/>
    </row>
    <row r="1024" spans="1:1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  <row r="1093" spans="1:1" x14ac:dyDescent="0.25">
      <c r="A1093" s="2"/>
    </row>
    <row r="1094" spans="1:1" x14ac:dyDescent="0.25">
      <c r="A1094" s="2"/>
    </row>
    <row r="1095" spans="1:1" x14ac:dyDescent="0.25">
      <c r="A1095" s="2"/>
    </row>
    <row r="1096" spans="1:1" x14ac:dyDescent="0.25">
      <c r="A1096" s="2"/>
    </row>
    <row r="1097" spans="1:1" x14ac:dyDescent="0.25">
      <c r="A1097" s="2"/>
    </row>
    <row r="1098" spans="1:1" x14ac:dyDescent="0.25">
      <c r="A1098" s="2"/>
    </row>
    <row r="1099" spans="1:1" x14ac:dyDescent="0.25">
      <c r="A1099" s="2"/>
    </row>
    <row r="1100" spans="1:1" x14ac:dyDescent="0.25">
      <c r="A1100" s="2"/>
    </row>
    <row r="1101" spans="1:1" x14ac:dyDescent="0.25">
      <c r="A1101" s="2"/>
    </row>
    <row r="1102" spans="1:1" x14ac:dyDescent="0.25">
      <c r="A1102" s="2"/>
    </row>
    <row r="1103" spans="1:1" x14ac:dyDescent="0.25">
      <c r="A1103" s="2"/>
    </row>
    <row r="1104" spans="1:1" x14ac:dyDescent="0.25">
      <c r="A1104" s="2"/>
    </row>
    <row r="1105" spans="1:1" x14ac:dyDescent="0.25">
      <c r="A1105" s="2"/>
    </row>
    <row r="1106" spans="1:1" x14ac:dyDescent="0.25">
      <c r="A1106" s="2"/>
    </row>
    <row r="1107" spans="1:1" x14ac:dyDescent="0.25">
      <c r="A1107" s="2"/>
    </row>
    <row r="1108" spans="1:1" x14ac:dyDescent="0.25">
      <c r="A1108" s="2"/>
    </row>
    <row r="1109" spans="1:1" x14ac:dyDescent="0.25">
      <c r="A1109" s="2"/>
    </row>
    <row r="1110" spans="1:1" x14ac:dyDescent="0.25">
      <c r="A1110" s="2"/>
    </row>
    <row r="1111" spans="1:1" x14ac:dyDescent="0.25">
      <c r="A1111" s="2"/>
    </row>
    <row r="1112" spans="1:1" x14ac:dyDescent="0.25">
      <c r="A1112" s="2"/>
    </row>
    <row r="1113" spans="1:1" x14ac:dyDescent="0.25">
      <c r="A1113" s="2"/>
    </row>
    <row r="1114" spans="1:1" x14ac:dyDescent="0.25">
      <c r="A1114" s="2"/>
    </row>
    <row r="1115" spans="1:1" x14ac:dyDescent="0.25">
      <c r="A1115" s="2"/>
    </row>
    <row r="1116" spans="1:1" x14ac:dyDescent="0.25">
      <c r="A1116" s="2"/>
    </row>
    <row r="1117" spans="1:1" x14ac:dyDescent="0.25">
      <c r="A1117" s="2"/>
    </row>
    <row r="1118" spans="1:1" x14ac:dyDescent="0.25">
      <c r="A1118" s="2"/>
    </row>
    <row r="1119" spans="1:1" x14ac:dyDescent="0.25">
      <c r="A1119" s="2"/>
    </row>
    <row r="1120" spans="1:1" x14ac:dyDescent="0.25">
      <c r="A1120" s="2"/>
    </row>
    <row r="1121" spans="1:1" x14ac:dyDescent="0.25">
      <c r="A1121" s="2"/>
    </row>
    <row r="1122" spans="1:1" x14ac:dyDescent="0.25">
      <c r="A1122" s="2"/>
    </row>
    <row r="1123" spans="1:1" x14ac:dyDescent="0.25">
      <c r="A1123" s="2"/>
    </row>
    <row r="1124" spans="1:1" x14ac:dyDescent="0.25">
      <c r="A1124" s="2"/>
    </row>
    <row r="1125" spans="1:1" x14ac:dyDescent="0.25">
      <c r="A1125" s="2"/>
    </row>
    <row r="1126" spans="1:1" x14ac:dyDescent="0.25">
      <c r="A1126" s="2"/>
    </row>
    <row r="1127" spans="1:1" x14ac:dyDescent="0.25">
      <c r="A1127" s="2"/>
    </row>
    <row r="1128" spans="1:1" x14ac:dyDescent="0.25">
      <c r="A1128" s="2"/>
    </row>
    <row r="1129" spans="1:1" x14ac:dyDescent="0.25">
      <c r="A1129" s="2"/>
    </row>
    <row r="1130" spans="1:1" x14ac:dyDescent="0.25">
      <c r="A1130" s="2"/>
    </row>
    <row r="1131" spans="1:1" x14ac:dyDescent="0.25">
      <c r="A1131" s="2"/>
    </row>
    <row r="1132" spans="1:1" x14ac:dyDescent="0.25">
      <c r="A1132" s="2"/>
    </row>
    <row r="1133" spans="1:1" x14ac:dyDescent="0.25">
      <c r="A1133" s="2"/>
    </row>
    <row r="1134" spans="1:1" x14ac:dyDescent="0.25">
      <c r="A1134" s="2"/>
    </row>
    <row r="1135" spans="1:1" x14ac:dyDescent="0.25">
      <c r="A1135" s="2"/>
    </row>
    <row r="1136" spans="1:1" x14ac:dyDescent="0.25">
      <c r="A1136" s="2"/>
    </row>
    <row r="1137" spans="1:1" x14ac:dyDescent="0.25">
      <c r="A1137" s="2"/>
    </row>
    <row r="1138" spans="1:1" x14ac:dyDescent="0.25">
      <c r="A1138" s="2"/>
    </row>
    <row r="1139" spans="1:1" x14ac:dyDescent="0.25">
      <c r="A1139" s="2"/>
    </row>
    <row r="1140" spans="1:1" x14ac:dyDescent="0.25">
      <c r="A1140" s="2"/>
    </row>
    <row r="1141" spans="1:1" x14ac:dyDescent="0.25">
      <c r="A1141" s="2"/>
    </row>
    <row r="1142" spans="1:1" x14ac:dyDescent="0.25">
      <c r="A1142" s="2"/>
    </row>
    <row r="1143" spans="1:1" x14ac:dyDescent="0.25">
      <c r="A1143" s="2"/>
    </row>
    <row r="1144" spans="1:1" x14ac:dyDescent="0.25">
      <c r="A1144" s="2"/>
    </row>
    <row r="1145" spans="1:1" x14ac:dyDescent="0.25">
      <c r="A1145" s="2"/>
    </row>
    <row r="1146" spans="1:1" x14ac:dyDescent="0.25">
      <c r="A1146" s="2"/>
    </row>
    <row r="1147" spans="1:1" x14ac:dyDescent="0.25">
      <c r="A1147" s="2"/>
    </row>
    <row r="1148" spans="1:1" x14ac:dyDescent="0.25">
      <c r="A1148" s="2"/>
    </row>
    <row r="1149" spans="1:1" x14ac:dyDescent="0.25">
      <c r="A1149" s="2"/>
    </row>
    <row r="1150" spans="1:1" x14ac:dyDescent="0.25">
      <c r="A1150" s="2"/>
    </row>
    <row r="1151" spans="1:1" x14ac:dyDescent="0.25">
      <c r="A1151" s="2"/>
    </row>
    <row r="1152" spans="1:1" x14ac:dyDescent="0.25">
      <c r="A1152" s="2"/>
    </row>
    <row r="1153" spans="1:1" x14ac:dyDescent="0.25">
      <c r="A1153" s="2"/>
    </row>
    <row r="1154" spans="1:1" x14ac:dyDescent="0.25">
      <c r="A1154" s="2"/>
    </row>
    <row r="1155" spans="1:1" x14ac:dyDescent="0.25">
      <c r="A1155" s="2"/>
    </row>
    <row r="1156" spans="1:1" x14ac:dyDescent="0.25">
      <c r="A1156" s="2"/>
    </row>
    <row r="1157" spans="1:1" x14ac:dyDescent="0.25">
      <c r="A1157" s="2"/>
    </row>
    <row r="1158" spans="1:1" x14ac:dyDescent="0.25">
      <c r="A1158" s="2"/>
    </row>
    <row r="1159" spans="1:1" x14ac:dyDescent="0.25">
      <c r="A1159" s="2"/>
    </row>
    <row r="1160" spans="1:1" x14ac:dyDescent="0.25">
      <c r="A1160" s="2"/>
    </row>
    <row r="1161" spans="1:1" x14ac:dyDescent="0.25">
      <c r="A1161" s="2"/>
    </row>
    <row r="1162" spans="1:1" x14ac:dyDescent="0.25">
      <c r="A1162" s="2"/>
    </row>
    <row r="1163" spans="1:1" x14ac:dyDescent="0.25">
      <c r="A1163" s="2"/>
    </row>
    <row r="1164" spans="1:1" x14ac:dyDescent="0.25">
      <c r="A1164" s="2"/>
    </row>
    <row r="1165" spans="1:1" x14ac:dyDescent="0.25">
      <c r="A1165" s="2"/>
    </row>
    <row r="1166" spans="1:1" x14ac:dyDescent="0.25">
      <c r="A1166" s="2"/>
    </row>
    <row r="1167" spans="1:1" x14ac:dyDescent="0.25">
      <c r="A1167" s="2"/>
    </row>
    <row r="1168" spans="1:1" x14ac:dyDescent="0.25">
      <c r="A1168" s="2"/>
    </row>
    <row r="1169" spans="1:1" x14ac:dyDescent="0.25">
      <c r="A1169" s="2"/>
    </row>
    <row r="1170" spans="1:1" x14ac:dyDescent="0.25">
      <c r="A1170" s="2"/>
    </row>
    <row r="1171" spans="1:1" x14ac:dyDescent="0.25">
      <c r="A1171" s="2"/>
    </row>
    <row r="1172" spans="1:1" x14ac:dyDescent="0.25">
      <c r="A1172" s="2"/>
    </row>
    <row r="1173" spans="1:1" x14ac:dyDescent="0.25">
      <c r="A1173" s="2"/>
    </row>
    <row r="1174" spans="1:1" x14ac:dyDescent="0.25">
      <c r="A1174" s="2"/>
    </row>
    <row r="1175" spans="1:1" x14ac:dyDescent="0.25">
      <c r="A1175" s="2"/>
    </row>
    <row r="1176" spans="1:1" x14ac:dyDescent="0.25">
      <c r="A1176" s="2"/>
    </row>
    <row r="1177" spans="1:1" x14ac:dyDescent="0.25">
      <c r="A1177" s="2"/>
    </row>
    <row r="1178" spans="1:1" x14ac:dyDescent="0.25">
      <c r="A1178" s="2"/>
    </row>
    <row r="1179" spans="1:1" x14ac:dyDescent="0.25">
      <c r="A1179" s="2"/>
    </row>
    <row r="1180" spans="1:1" x14ac:dyDescent="0.25">
      <c r="A1180" s="2"/>
    </row>
    <row r="1181" spans="1:1" x14ac:dyDescent="0.25">
      <c r="A1181" s="2"/>
    </row>
    <row r="1182" spans="1:1" x14ac:dyDescent="0.25">
      <c r="A1182" s="2"/>
    </row>
    <row r="1183" spans="1:1" x14ac:dyDescent="0.25">
      <c r="A1183" s="2"/>
    </row>
    <row r="1184" spans="1:1" x14ac:dyDescent="0.25">
      <c r="A1184" s="2"/>
    </row>
    <row r="1185" spans="1:1" x14ac:dyDescent="0.25">
      <c r="A1185" s="2"/>
    </row>
    <row r="1186" spans="1:1" x14ac:dyDescent="0.25">
      <c r="A1186" s="2"/>
    </row>
    <row r="1187" spans="1:1" x14ac:dyDescent="0.25">
      <c r="A1187" s="2"/>
    </row>
    <row r="1188" spans="1:1" x14ac:dyDescent="0.25">
      <c r="A1188" s="2"/>
    </row>
    <row r="1189" spans="1:1" x14ac:dyDescent="0.25">
      <c r="A1189" s="2"/>
    </row>
    <row r="1190" spans="1:1" x14ac:dyDescent="0.25">
      <c r="A1190" s="2"/>
    </row>
    <row r="1191" spans="1:1" x14ac:dyDescent="0.25">
      <c r="A1191" s="2"/>
    </row>
    <row r="1192" spans="1:1" x14ac:dyDescent="0.25">
      <c r="A1192" s="2"/>
    </row>
    <row r="1193" spans="1:1" x14ac:dyDescent="0.25">
      <c r="A1193" s="2"/>
    </row>
    <row r="1194" spans="1:1" x14ac:dyDescent="0.25">
      <c r="A1194" s="2"/>
    </row>
    <row r="1195" spans="1:1" x14ac:dyDescent="0.25">
      <c r="A1195" s="2"/>
    </row>
    <row r="1196" spans="1:1" x14ac:dyDescent="0.25">
      <c r="A1196" s="2"/>
    </row>
    <row r="1197" spans="1:1" x14ac:dyDescent="0.25">
      <c r="A1197" s="2"/>
    </row>
    <row r="1198" spans="1:1" x14ac:dyDescent="0.25">
      <c r="A1198" s="2"/>
    </row>
    <row r="1199" spans="1:1" x14ac:dyDescent="0.25">
      <c r="A1199" s="2"/>
    </row>
    <row r="1200" spans="1:1" x14ac:dyDescent="0.25">
      <c r="A1200" s="2"/>
    </row>
    <row r="1201" spans="1:1" x14ac:dyDescent="0.25">
      <c r="A1201" s="2"/>
    </row>
    <row r="1202" spans="1:1" x14ac:dyDescent="0.25">
      <c r="A1202" s="2"/>
    </row>
    <row r="1203" spans="1:1" x14ac:dyDescent="0.25">
      <c r="A1203" s="2"/>
    </row>
    <row r="1204" spans="1:1" x14ac:dyDescent="0.25">
      <c r="A1204" s="2"/>
    </row>
    <row r="1205" spans="1:1" x14ac:dyDescent="0.25">
      <c r="A1205" s="2"/>
    </row>
    <row r="1206" spans="1:1" x14ac:dyDescent="0.25">
      <c r="A1206" s="2"/>
    </row>
    <row r="1207" spans="1:1" x14ac:dyDescent="0.25">
      <c r="A1207" s="2"/>
    </row>
    <row r="1208" spans="1:1" x14ac:dyDescent="0.25">
      <c r="A1208" s="2"/>
    </row>
    <row r="1209" spans="1:1" x14ac:dyDescent="0.25">
      <c r="A1209" s="2"/>
    </row>
    <row r="1210" spans="1:1" x14ac:dyDescent="0.25">
      <c r="A1210" s="2"/>
    </row>
    <row r="1211" spans="1:1" x14ac:dyDescent="0.25">
      <c r="A1211" s="2"/>
    </row>
    <row r="1212" spans="1:1" x14ac:dyDescent="0.25">
      <c r="A1212" s="2"/>
    </row>
    <row r="1213" spans="1:1" x14ac:dyDescent="0.25">
      <c r="A1213" s="2"/>
    </row>
    <row r="1214" spans="1:1" x14ac:dyDescent="0.25">
      <c r="A1214" s="2"/>
    </row>
    <row r="1215" spans="1:1" x14ac:dyDescent="0.25">
      <c r="A1215" s="2"/>
    </row>
    <row r="1216" spans="1:1" x14ac:dyDescent="0.25">
      <c r="A1216" s="2"/>
    </row>
    <row r="1217" spans="1:1" x14ac:dyDescent="0.25">
      <c r="A1217" s="2"/>
    </row>
    <row r="1218" spans="1:1" x14ac:dyDescent="0.25">
      <c r="A1218" s="2"/>
    </row>
    <row r="1219" spans="1:1" x14ac:dyDescent="0.25">
      <c r="A1219" s="2"/>
    </row>
    <row r="1220" spans="1:1" x14ac:dyDescent="0.25">
      <c r="A1220" s="2"/>
    </row>
    <row r="1221" spans="1:1" x14ac:dyDescent="0.25">
      <c r="A1221" s="2"/>
    </row>
    <row r="1222" spans="1:1" x14ac:dyDescent="0.25">
      <c r="A1222" s="2"/>
    </row>
    <row r="1223" spans="1:1" x14ac:dyDescent="0.25">
      <c r="A1223" s="2"/>
    </row>
    <row r="1224" spans="1:1" x14ac:dyDescent="0.25">
      <c r="A1224" s="2"/>
    </row>
    <row r="1225" spans="1:1" x14ac:dyDescent="0.25">
      <c r="A1225" s="2"/>
    </row>
    <row r="1226" spans="1:1" x14ac:dyDescent="0.25">
      <c r="A1226" s="2"/>
    </row>
    <row r="1227" spans="1:1" x14ac:dyDescent="0.25">
      <c r="A1227" s="2"/>
    </row>
    <row r="1228" spans="1:1" x14ac:dyDescent="0.25">
      <c r="A1228" s="2"/>
    </row>
    <row r="1229" spans="1:1" x14ac:dyDescent="0.25">
      <c r="A1229" s="2"/>
    </row>
    <row r="1230" spans="1:1" x14ac:dyDescent="0.25">
      <c r="A1230" s="2"/>
    </row>
    <row r="1231" spans="1:1" x14ac:dyDescent="0.25">
      <c r="A1231" s="2"/>
    </row>
    <row r="1232" spans="1:1" x14ac:dyDescent="0.25">
      <c r="A1232" s="2"/>
    </row>
    <row r="1233" spans="1:1" x14ac:dyDescent="0.25">
      <c r="A1233" s="2"/>
    </row>
    <row r="1234" spans="1:1" x14ac:dyDescent="0.25">
      <c r="A1234" s="2"/>
    </row>
    <row r="1235" spans="1:1" x14ac:dyDescent="0.25">
      <c r="A1235" s="2"/>
    </row>
    <row r="1236" spans="1:1" x14ac:dyDescent="0.25">
      <c r="A1236" s="2"/>
    </row>
    <row r="1237" spans="1:1" x14ac:dyDescent="0.25">
      <c r="A1237" s="2"/>
    </row>
    <row r="1238" spans="1:1" x14ac:dyDescent="0.25">
      <c r="A1238" s="2"/>
    </row>
    <row r="1239" spans="1:1" x14ac:dyDescent="0.25">
      <c r="A1239" s="2"/>
    </row>
    <row r="1240" spans="1:1" x14ac:dyDescent="0.25">
      <c r="A1240" s="2"/>
    </row>
    <row r="1241" spans="1:1" x14ac:dyDescent="0.25">
      <c r="A1241" s="2"/>
    </row>
    <row r="1242" spans="1:1" x14ac:dyDescent="0.25">
      <c r="A1242" s="2"/>
    </row>
    <row r="1243" spans="1:1" x14ac:dyDescent="0.25">
      <c r="A1243" s="2"/>
    </row>
    <row r="1244" spans="1:1" x14ac:dyDescent="0.25">
      <c r="A1244" s="2"/>
    </row>
    <row r="1245" spans="1:1" x14ac:dyDescent="0.25">
      <c r="A1245" s="2"/>
    </row>
    <row r="1246" spans="1:1" x14ac:dyDescent="0.25">
      <c r="A1246" s="2"/>
    </row>
    <row r="1247" spans="1:1" x14ac:dyDescent="0.25">
      <c r="A1247" s="2"/>
    </row>
    <row r="1248" spans="1:1" x14ac:dyDescent="0.25">
      <c r="A1248" s="2"/>
    </row>
    <row r="1249" spans="1:1" x14ac:dyDescent="0.25">
      <c r="A1249" s="2"/>
    </row>
    <row r="1250" spans="1:1" x14ac:dyDescent="0.25">
      <c r="A1250" s="2"/>
    </row>
    <row r="1251" spans="1:1" x14ac:dyDescent="0.25">
      <c r="A1251" s="2"/>
    </row>
    <row r="1252" spans="1:1" x14ac:dyDescent="0.25">
      <c r="A1252" s="2"/>
    </row>
    <row r="1253" spans="1:1" x14ac:dyDescent="0.25">
      <c r="A1253" s="2"/>
    </row>
    <row r="1254" spans="1:1" x14ac:dyDescent="0.25">
      <c r="A1254" s="2"/>
    </row>
    <row r="1255" spans="1:1" x14ac:dyDescent="0.25">
      <c r="A1255" s="2"/>
    </row>
    <row r="1256" spans="1:1" x14ac:dyDescent="0.25">
      <c r="A1256" s="2"/>
    </row>
    <row r="1257" spans="1:1" x14ac:dyDescent="0.25">
      <c r="A1257" s="2"/>
    </row>
    <row r="1258" spans="1:1" x14ac:dyDescent="0.25">
      <c r="A1258" s="2"/>
    </row>
    <row r="1259" spans="1:1" x14ac:dyDescent="0.25">
      <c r="A1259" s="2"/>
    </row>
    <row r="1260" spans="1:1" x14ac:dyDescent="0.25">
      <c r="A1260" s="2"/>
    </row>
    <row r="1261" spans="1:1" x14ac:dyDescent="0.25">
      <c r="A1261" s="2"/>
    </row>
    <row r="1262" spans="1:1" x14ac:dyDescent="0.25">
      <c r="A1262" s="2"/>
    </row>
    <row r="1263" spans="1:1" x14ac:dyDescent="0.25">
      <c r="A1263" s="2"/>
    </row>
    <row r="1264" spans="1:1" x14ac:dyDescent="0.25">
      <c r="A1264" s="2"/>
    </row>
    <row r="1265" spans="1:1" x14ac:dyDescent="0.25">
      <c r="A1265" s="2"/>
    </row>
    <row r="1266" spans="1:1" x14ac:dyDescent="0.25">
      <c r="A1266" s="2"/>
    </row>
    <row r="1267" spans="1:1" x14ac:dyDescent="0.25">
      <c r="A1267" s="2"/>
    </row>
    <row r="1268" spans="1:1" x14ac:dyDescent="0.25">
      <c r="A1268" s="2"/>
    </row>
    <row r="1269" spans="1:1" x14ac:dyDescent="0.25">
      <c r="A1269" s="2"/>
    </row>
    <row r="1270" spans="1:1" x14ac:dyDescent="0.25">
      <c r="A1270" s="2"/>
    </row>
    <row r="1271" spans="1:1" x14ac:dyDescent="0.25">
      <c r="A1271" s="2"/>
    </row>
    <row r="1272" spans="1:1" x14ac:dyDescent="0.25">
      <c r="A1272" s="2"/>
    </row>
    <row r="1273" spans="1:1" x14ac:dyDescent="0.25">
      <c r="A1273" s="2"/>
    </row>
    <row r="1274" spans="1:1" x14ac:dyDescent="0.25">
      <c r="A1274" s="2"/>
    </row>
    <row r="1275" spans="1:1" x14ac:dyDescent="0.25">
      <c r="A1275" s="2"/>
    </row>
    <row r="1276" spans="1:1" x14ac:dyDescent="0.25">
      <c r="A1276" s="2"/>
    </row>
    <row r="1277" spans="1:1" x14ac:dyDescent="0.25">
      <c r="A1277" s="2"/>
    </row>
    <row r="1278" spans="1:1" x14ac:dyDescent="0.25">
      <c r="A1278" s="2"/>
    </row>
    <row r="1279" spans="1:1" x14ac:dyDescent="0.25">
      <c r="A1279" s="2"/>
    </row>
    <row r="1280" spans="1:1" x14ac:dyDescent="0.25">
      <c r="A1280" s="2"/>
    </row>
    <row r="1281" spans="1:1" x14ac:dyDescent="0.25">
      <c r="A1281" s="2"/>
    </row>
    <row r="1282" spans="1:1" x14ac:dyDescent="0.25">
      <c r="A1282" s="2"/>
    </row>
    <row r="1283" spans="1:1" x14ac:dyDescent="0.25">
      <c r="A1283" s="2"/>
    </row>
    <row r="1284" spans="1:1" x14ac:dyDescent="0.25">
      <c r="A1284" s="2"/>
    </row>
    <row r="1285" spans="1:1" x14ac:dyDescent="0.25">
      <c r="A1285" s="2"/>
    </row>
    <row r="1286" spans="1:1" x14ac:dyDescent="0.25">
      <c r="A1286" s="2"/>
    </row>
    <row r="1287" spans="1:1" x14ac:dyDescent="0.25">
      <c r="A1287" s="2"/>
    </row>
    <row r="1288" spans="1:1" x14ac:dyDescent="0.25">
      <c r="A1288" s="2"/>
    </row>
    <row r="1289" spans="1:1" x14ac:dyDescent="0.25">
      <c r="A1289" s="2"/>
    </row>
    <row r="1290" spans="1:1" x14ac:dyDescent="0.25">
      <c r="A1290" s="2"/>
    </row>
    <row r="1291" spans="1:1" x14ac:dyDescent="0.25">
      <c r="A1291" s="2"/>
    </row>
    <row r="1292" spans="1:1" x14ac:dyDescent="0.25">
      <c r="A1292" s="2"/>
    </row>
    <row r="1293" spans="1:1" x14ac:dyDescent="0.25">
      <c r="A1293" s="2"/>
    </row>
    <row r="1294" spans="1:1" x14ac:dyDescent="0.25">
      <c r="A1294" s="2"/>
    </row>
    <row r="1295" spans="1:1" x14ac:dyDescent="0.25">
      <c r="A1295" s="2"/>
    </row>
    <row r="1296" spans="1:1" x14ac:dyDescent="0.25">
      <c r="A1296" s="2"/>
    </row>
    <row r="1297" spans="1:1" x14ac:dyDescent="0.25">
      <c r="A1297" s="2"/>
    </row>
    <row r="1298" spans="1:1" x14ac:dyDescent="0.25">
      <c r="A1298" s="2"/>
    </row>
    <row r="1299" spans="1:1" x14ac:dyDescent="0.25">
      <c r="A1299" s="2"/>
    </row>
    <row r="1300" spans="1:1" x14ac:dyDescent="0.25">
      <c r="A1300" s="2"/>
    </row>
    <row r="1301" spans="1:1" x14ac:dyDescent="0.25">
      <c r="A1301" s="2"/>
    </row>
    <row r="1302" spans="1:1" x14ac:dyDescent="0.25">
      <c r="A1302" s="2"/>
    </row>
    <row r="1303" spans="1:1" x14ac:dyDescent="0.25">
      <c r="A1303" s="2"/>
    </row>
    <row r="1304" spans="1:1" x14ac:dyDescent="0.25">
      <c r="A1304" s="2"/>
    </row>
    <row r="1305" spans="1:1" x14ac:dyDescent="0.25">
      <c r="A1305" s="2"/>
    </row>
    <row r="1306" spans="1:1" x14ac:dyDescent="0.25">
      <c r="A1306" s="2"/>
    </row>
    <row r="1307" spans="1:1" x14ac:dyDescent="0.25">
      <c r="A1307" s="2"/>
    </row>
    <row r="1308" spans="1:1" x14ac:dyDescent="0.25">
      <c r="A1308" s="2"/>
    </row>
    <row r="1309" spans="1:1" x14ac:dyDescent="0.25">
      <c r="A1309" s="2"/>
    </row>
    <row r="1310" spans="1:1" x14ac:dyDescent="0.25">
      <c r="A1310" s="2"/>
    </row>
    <row r="1311" spans="1:1" x14ac:dyDescent="0.25">
      <c r="A1311" s="2"/>
    </row>
    <row r="1312" spans="1:1" x14ac:dyDescent="0.25">
      <c r="A1312" s="2"/>
    </row>
    <row r="1313" spans="1:1" x14ac:dyDescent="0.25">
      <c r="A1313" s="2"/>
    </row>
    <row r="1314" spans="1:1" x14ac:dyDescent="0.25">
      <c r="A1314" s="2"/>
    </row>
    <row r="1315" spans="1:1" x14ac:dyDescent="0.25">
      <c r="A1315" s="2"/>
    </row>
    <row r="1316" spans="1:1" x14ac:dyDescent="0.25">
      <c r="A1316" s="2"/>
    </row>
    <row r="1317" spans="1:1" x14ac:dyDescent="0.25">
      <c r="A1317" s="2"/>
    </row>
    <row r="1318" spans="1:1" x14ac:dyDescent="0.25">
      <c r="A1318" s="2"/>
    </row>
    <row r="1319" spans="1:1" x14ac:dyDescent="0.25">
      <c r="A1319" s="2"/>
    </row>
    <row r="1320" spans="1:1" x14ac:dyDescent="0.25">
      <c r="A1320" s="2"/>
    </row>
    <row r="1321" spans="1:1" x14ac:dyDescent="0.25">
      <c r="A1321" s="2"/>
    </row>
    <row r="1322" spans="1:1" x14ac:dyDescent="0.25">
      <c r="A1322" s="2"/>
    </row>
    <row r="1323" spans="1:1" x14ac:dyDescent="0.25">
      <c r="A1323" s="2"/>
    </row>
    <row r="1324" spans="1:1" x14ac:dyDescent="0.25">
      <c r="A1324" s="2"/>
    </row>
    <row r="1325" spans="1:1" x14ac:dyDescent="0.25">
      <c r="A1325" s="2"/>
    </row>
    <row r="1326" spans="1:1" x14ac:dyDescent="0.25">
      <c r="A1326" s="2"/>
    </row>
    <row r="1327" spans="1:1" x14ac:dyDescent="0.25">
      <c r="A1327" s="2"/>
    </row>
    <row r="1328" spans="1:1" x14ac:dyDescent="0.25">
      <c r="A1328" s="2"/>
    </row>
    <row r="1329" spans="1:1" x14ac:dyDescent="0.25">
      <c r="A1329" s="2"/>
    </row>
    <row r="1330" spans="1:1" x14ac:dyDescent="0.25">
      <c r="A1330" s="2"/>
    </row>
    <row r="1331" spans="1:1" x14ac:dyDescent="0.25">
      <c r="A1331" s="2"/>
    </row>
    <row r="1332" spans="1:1" x14ac:dyDescent="0.25">
      <c r="A1332" s="2"/>
    </row>
    <row r="1333" spans="1:1" x14ac:dyDescent="0.25">
      <c r="A1333" s="2"/>
    </row>
    <row r="1334" spans="1:1" x14ac:dyDescent="0.25">
      <c r="A1334" s="2"/>
    </row>
    <row r="1335" spans="1:1" x14ac:dyDescent="0.25">
      <c r="A1335" s="2"/>
    </row>
    <row r="1336" spans="1:1" x14ac:dyDescent="0.25">
      <c r="A1336" s="2"/>
    </row>
    <row r="1337" spans="1:1" x14ac:dyDescent="0.25">
      <c r="A1337" s="2"/>
    </row>
    <row r="1338" spans="1:1" x14ac:dyDescent="0.25">
      <c r="A1338" s="2"/>
    </row>
    <row r="1339" spans="1:1" x14ac:dyDescent="0.25">
      <c r="A1339" s="2"/>
    </row>
    <row r="1340" spans="1:1" x14ac:dyDescent="0.25">
      <c r="A1340" s="2"/>
    </row>
    <row r="1341" spans="1:1" x14ac:dyDescent="0.25">
      <c r="A1341" s="2"/>
    </row>
    <row r="1342" spans="1:1" x14ac:dyDescent="0.25">
      <c r="A1342" s="2"/>
    </row>
    <row r="1343" spans="1:1" x14ac:dyDescent="0.25">
      <c r="A1343" s="2"/>
    </row>
    <row r="1344" spans="1:1" x14ac:dyDescent="0.25">
      <c r="A1344" s="2"/>
    </row>
    <row r="1345" spans="1:1" x14ac:dyDescent="0.25">
      <c r="A1345" s="2"/>
    </row>
    <row r="1346" spans="1:1" x14ac:dyDescent="0.25">
      <c r="A1346" s="2"/>
    </row>
    <row r="1347" spans="1:1" x14ac:dyDescent="0.25">
      <c r="A1347" s="2"/>
    </row>
    <row r="1348" spans="1:1" x14ac:dyDescent="0.25">
      <c r="A1348" s="2"/>
    </row>
    <row r="1349" spans="1:1" x14ac:dyDescent="0.25">
      <c r="A1349" s="2"/>
    </row>
    <row r="1350" spans="1:1" x14ac:dyDescent="0.25">
      <c r="A1350" s="2"/>
    </row>
    <row r="1351" spans="1:1" x14ac:dyDescent="0.25">
      <c r="A1351" s="2"/>
    </row>
    <row r="1352" spans="1:1" x14ac:dyDescent="0.25">
      <c r="A1352" s="2"/>
    </row>
    <row r="1353" spans="1:1" x14ac:dyDescent="0.25">
      <c r="A1353" s="2"/>
    </row>
    <row r="1354" spans="1:1" x14ac:dyDescent="0.25">
      <c r="A1354" s="2"/>
    </row>
    <row r="1355" spans="1:1" x14ac:dyDescent="0.25">
      <c r="A1355" s="2"/>
    </row>
    <row r="1356" spans="1:1" x14ac:dyDescent="0.25">
      <c r="A1356" s="2"/>
    </row>
    <row r="1357" spans="1:1" x14ac:dyDescent="0.25">
      <c r="A1357" s="2"/>
    </row>
    <row r="1358" spans="1:1" x14ac:dyDescent="0.25">
      <c r="A1358" s="2"/>
    </row>
    <row r="1359" spans="1:1" x14ac:dyDescent="0.25">
      <c r="A1359" s="2"/>
    </row>
    <row r="1360" spans="1:1" x14ac:dyDescent="0.25">
      <c r="A1360" s="2"/>
    </row>
    <row r="1361" spans="1:1" x14ac:dyDescent="0.25">
      <c r="A1361" s="2"/>
    </row>
    <row r="1362" spans="1:1" x14ac:dyDescent="0.25">
      <c r="A1362" s="2"/>
    </row>
    <row r="1363" spans="1:1" x14ac:dyDescent="0.25">
      <c r="A1363" s="2"/>
    </row>
    <row r="1364" spans="1:1" x14ac:dyDescent="0.25">
      <c r="A1364" s="2"/>
    </row>
    <row r="1365" spans="1:1" x14ac:dyDescent="0.25">
      <c r="A1365" s="2"/>
    </row>
    <row r="1366" spans="1:1" x14ac:dyDescent="0.25">
      <c r="A1366" s="2"/>
    </row>
    <row r="1367" spans="1:1" x14ac:dyDescent="0.25">
      <c r="A1367" s="2"/>
    </row>
    <row r="1368" spans="1:1" x14ac:dyDescent="0.25">
      <c r="A1368" s="2"/>
    </row>
    <row r="1369" spans="1:1" x14ac:dyDescent="0.25">
      <c r="A1369" s="2"/>
    </row>
    <row r="1370" spans="1:1" x14ac:dyDescent="0.25">
      <c r="A1370" s="2"/>
    </row>
    <row r="1371" spans="1:1" x14ac:dyDescent="0.25">
      <c r="A1371" s="2"/>
    </row>
    <row r="1372" spans="1:1" x14ac:dyDescent="0.25">
      <c r="A1372" s="2"/>
    </row>
    <row r="1373" spans="1:1" x14ac:dyDescent="0.25">
      <c r="A1373" s="2"/>
    </row>
    <row r="1374" spans="1:1" x14ac:dyDescent="0.25">
      <c r="A1374" s="2"/>
    </row>
    <row r="1375" spans="1:1" x14ac:dyDescent="0.25">
      <c r="A1375" s="2"/>
    </row>
    <row r="1376" spans="1:1" x14ac:dyDescent="0.25">
      <c r="A1376" s="2"/>
    </row>
    <row r="1377" spans="1:1" x14ac:dyDescent="0.25">
      <c r="A1377" s="2"/>
    </row>
    <row r="1378" spans="1:1" x14ac:dyDescent="0.25">
      <c r="A1378" s="2"/>
    </row>
    <row r="1379" spans="1:1" x14ac:dyDescent="0.25">
      <c r="A1379" s="2"/>
    </row>
    <row r="1380" spans="1:1" x14ac:dyDescent="0.25">
      <c r="A1380" s="2"/>
    </row>
    <row r="1381" spans="1:1" x14ac:dyDescent="0.25">
      <c r="A1381" s="2"/>
    </row>
    <row r="1382" spans="1:1" x14ac:dyDescent="0.25">
      <c r="A1382" s="2"/>
    </row>
    <row r="1383" spans="1:1" x14ac:dyDescent="0.25">
      <c r="A1383" s="2"/>
    </row>
    <row r="1384" spans="1:1" x14ac:dyDescent="0.25">
      <c r="A1384" s="2"/>
    </row>
    <row r="1385" spans="1:1" x14ac:dyDescent="0.25">
      <c r="A1385" s="2"/>
    </row>
    <row r="1386" spans="1:1" x14ac:dyDescent="0.25">
      <c r="A1386" s="2"/>
    </row>
    <row r="1387" spans="1:1" x14ac:dyDescent="0.25">
      <c r="A1387" s="2"/>
    </row>
    <row r="1388" spans="1:1" x14ac:dyDescent="0.25">
      <c r="A1388" s="2"/>
    </row>
    <row r="1389" spans="1:1" x14ac:dyDescent="0.25">
      <c r="A1389" s="2"/>
    </row>
    <row r="1390" spans="1:1" x14ac:dyDescent="0.25">
      <c r="A1390" s="2"/>
    </row>
    <row r="1391" spans="1:1" x14ac:dyDescent="0.25">
      <c r="A1391" s="2"/>
    </row>
    <row r="1392" spans="1:1" x14ac:dyDescent="0.25">
      <c r="A1392" s="2"/>
    </row>
    <row r="1393" spans="1:1" x14ac:dyDescent="0.25">
      <c r="A1393" s="2"/>
    </row>
    <row r="1394" spans="1:1" x14ac:dyDescent="0.25">
      <c r="A1394" s="2"/>
    </row>
    <row r="1395" spans="1:1" x14ac:dyDescent="0.25">
      <c r="A1395" s="2"/>
    </row>
    <row r="1396" spans="1:1" x14ac:dyDescent="0.25">
      <c r="A1396" s="2"/>
    </row>
    <row r="1397" spans="1:1" x14ac:dyDescent="0.25">
      <c r="A1397" s="2"/>
    </row>
    <row r="1398" spans="1:1" x14ac:dyDescent="0.25">
      <c r="A1398" s="2"/>
    </row>
    <row r="1399" spans="1:1" x14ac:dyDescent="0.25">
      <c r="A1399" s="2"/>
    </row>
    <row r="1400" spans="1:1" x14ac:dyDescent="0.25">
      <c r="A1400" s="2"/>
    </row>
    <row r="1401" spans="1:1" x14ac:dyDescent="0.25">
      <c r="A1401" s="2"/>
    </row>
    <row r="1402" spans="1:1" x14ac:dyDescent="0.25">
      <c r="A1402" s="2"/>
    </row>
    <row r="1403" spans="1:1" x14ac:dyDescent="0.25">
      <c r="A1403" s="2"/>
    </row>
    <row r="1404" spans="1:1" x14ac:dyDescent="0.25">
      <c r="A1404" s="2"/>
    </row>
    <row r="1405" spans="1:1" x14ac:dyDescent="0.25">
      <c r="A1405" s="2"/>
    </row>
    <row r="1406" spans="1:1" x14ac:dyDescent="0.25">
      <c r="A1406" s="2"/>
    </row>
    <row r="1407" spans="1:1" x14ac:dyDescent="0.25">
      <c r="A1407" s="2"/>
    </row>
    <row r="1408" spans="1:1" x14ac:dyDescent="0.25">
      <c r="A1408" s="2"/>
    </row>
    <row r="1409" spans="1:1" x14ac:dyDescent="0.25">
      <c r="A1409" s="2"/>
    </row>
    <row r="1410" spans="1:1" x14ac:dyDescent="0.25">
      <c r="A1410" s="2"/>
    </row>
    <row r="1411" spans="1:1" x14ac:dyDescent="0.25">
      <c r="A1411" s="2"/>
    </row>
    <row r="1412" spans="1:1" x14ac:dyDescent="0.25">
      <c r="A1412" s="2"/>
    </row>
    <row r="1413" spans="1:1" x14ac:dyDescent="0.25">
      <c r="A1413" s="2"/>
    </row>
    <row r="1414" spans="1:1" x14ac:dyDescent="0.25">
      <c r="A1414" s="2"/>
    </row>
    <row r="1415" spans="1:1" x14ac:dyDescent="0.25">
      <c r="A1415" s="2"/>
    </row>
    <row r="1416" spans="1:1" x14ac:dyDescent="0.25">
      <c r="A1416" s="2"/>
    </row>
    <row r="1417" spans="1:1" x14ac:dyDescent="0.25">
      <c r="A1417" s="2"/>
    </row>
    <row r="1418" spans="1:1" x14ac:dyDescent="0.25">
      <c r="A1418" s="2"/>
    </row>
    <row r="1419" spans="1:1" x14ac:dyDescent="0.25">
      <c r="A1419" s="2"/>
    </row>
    <row r="1420" spans="1:1" x14ac:dyDescent="0.25">
      <c r="A1420" s="2"/>
    </row>
    <row r="1421" spans="1:1" x14ac:dyDescent="0.25">
      <c r="A1421" s="2"/>
    </row>
    <row r="1422" spans="1:1" x14ac:dyDescent="0.25">
      <c r="A1422" s="2"/>
    </row>
    <row r="1423" spans="1:1" x14ac:dyDescent="0.25">
      <c r="A1423" s="2"/>
    </row>
    <row r="1424" spans="1:1" x14ac:dyDescent="0.25">
      <c r="A1424" s="2"/>
    </row>
    <row r="1425" spans="1:1" x14ac:dyDescent="0.25">
      <c r="A1425" s="2"/>
    </row>
    <row r="1426" spans="1:1" x14ac:dyDescent="0.25">
      <c r="A1426" s="2"/>
    </row>
    <row r="1427" spans="1:1" x14ac:dyDescent="0.25">
      <c r="A1427" s="2"/>
    </row>
    <row r="1428" spans="1:1" x14ac:dyDescent="0.25">
      <c r="A1428" s="2"/>
    </row>
    <row r="1429" spans="1:1" x14ac:dyDescent="0.25">
      <c r="A1429" s="2"/>
    </row>
    <row r="1430" spans="1:1" x14ac:dyDescent="0.25">
      <c r="A1430" s="2"/>
    </row>
    <row r="1431" spans="1:1" x14ac:dyDescent="0.25">
      <c r="A1431" s="2"/>
    </row>
    <row r="1432" spans="1:1" x14ac:dyDescent="0.25">
      <c r="A1432" s="2"/>
    </row>
    <row r="1433" spans="1:1" x14ac:dyDescent="0.25">
      <c r="A1433" s="2"/>
    </row>
    <row r="1434" spans="1:1" x14ac:dyDescent="0.25">
      <c r="A1434" s="2"/>
    </row>
    <row r="1435" spans="1:1" x14ac:dyDescent="0.25">
      <c r="A1435" s="2"/>
    </row>
    <row r="1436" spans="1:1" x14ac:dyDescent="0.25">
      <c r="A1436" s="2"/>
    </row>
    <row r="1437" spans="1:1" x14ac:dyDescent="0.25">
      <c r="A1437" s="2"/>
    </row>
    <row r="1438" spans="1:1" x14ac:dyDescent="0.25">
      <c r="A1438" s="2"/>
    </row>
    <row r="1439" spans="1:1" x14ac:dyDescent="0.25">
      <c r="A1439" s="2"/>
    </row>
    <row r="1440" spans="1:1" x14ac:dyDescent="0.25">
      <c r="A1440" s="2"/>
    </row>
    <row r="1441" spans="1:1" x14ac:dyDescent="0.25">
      <c r="A1441" s="2"/>
    </row>
    <row r="1442" spans="1:1" x14ac:dyDescent="0.25">
      <c r="A1442" s="2"/>
    </row>
    <row r="1443" spans="1:1" x14ac:dyDescent="0.25">
      <c r="A1443" s="2"/>
    </row>
    <row r="1444" spans="1:1" x14ac:dyDescent="0.25">
      <c r="A1444" s="2"/>
    </row>
    <row r="1445" spans="1:1" x14ac:dyDescent="0.25">
      <c r="A1445" s="2"/>
    </row>
    <row r="1446" spans="1:1" x14ac:dyDescent="0.25">
      <c r="A1446" s="2"/>
    </row>
    <row r="1447" spans="1:1" x14ac:dyDescent="0.25">
      <c r="A1447" s="2"/>
    </row>
    <row r="1448" spans="1:1" x14ac:dyDescent="0.25">
      <c r="A1448" s="2"/>
    </row>
    <row r="1449" spans="1:1" x14ac:dyDescent="0.25">
      <c r="A1449" s="2"/>
    </row>
    <row r="1450" spans="1:1" x14ac:dyDescent="0.25">
      <c r="A1450" s="2"/>
    </row>
    <row r="1451" spans="1:1" x14ac:dyDescent="0.25">
      <c r="A1451" s="2"/>
    </row>
    <row r="1452" spans="1:1" x14ac:dyDescent="0.25">
      <c r="A1452" s="2"/>
    </row>
    <row r="1453" spans="1:1" x14ac:dyDescent="0.25">
      <c r="A1453" s="2"/>
    </row>
    <row r="1454" spans="1:1" x14ac:dyDescent="0.25">
      <c r="A1454" s="2"/>
    </row>
    <row r="1455" spans="1:1" x14ac:dyDescent="0.25">
      <c r="A1455" s="2"/>
    </row>
    <row r="1456" spans="1:1" x14ac:dyDescent="0.25">
      <c r="A1456" s="2"/>
    </row>
    <row r="1457" spans="1:1" x14ac:dyDescent="0.25">
      <c r="A1457" s="2"/>
    </row>
    <row r="1458" spans="1:1" x14ac:dyDescent="0.25">
      <c r="A1458" s="2"/>
    </row>
    <row r="1459" spans="1:1" x14ac:dyDescent="0.25">
      <c r="A1459" s="2"/>
    </row>
    <row r="1460" spans="1:1" x14ac:dyDescent="0.25">
      <c r="A1460" s="2"/>
    </row>
    <row r="1461" spans="1:1" x14ac:dyDescent="0.25">
      <c r="A1461" s="2"/>
    </row>
    <row r="1462" spans="1:1" x14ac:dyDescent="0.25">
      <c r="A1462" s="2"/>
    </row>
    <row r="1463" spans="1:1" x14ac:dyDescent="0.25">
      <c r="A1463" s="2"/>
    </row>
    <row r="1464" spans="1:1" x14ac:dyDescent="0.25">
      <c r="A1464" s="2"/>
    </row>
    <row r="1465" spans="1:1" x14ac:dyDescent="0.25">
      <c r="A1465" s="2"/>
    </row>
    <row r="1466" spans="1:1" x14ac:dyDescent="0.25">
      <c r="A1466" s="2"/>
    </row>
    <row r="1467" spans="1:1" x14ac:dyDescent="0.25">
      <c r="A1467" s="2"/>
    </row>
    <row r="1468" spans="1:1" x14ac:dyDescent="0.25">
      <c r="A1468" s="2"/>
    </row>
    <row r="1469" spans="1:1" x14ac:dyDescent="0.25">
      <c r="A1469" s="2"/>
    </row>
    <row r="1470" spans="1:1" x14ac:dyDescent="0.25">
      <c r="A1470" s="2"/>
    </row>
    <row r="1471" spans="1:1" x14ac:dyDescent="0.25">
      <c r="A1471" s="2"/>
    </row>
    <row r="1472" spans="1:1" x14ac:dyDescent="0.25">
      <c r="A1472" s="2"/>
    </row>
    <row r="1473" spans="1:1" x14ac:dyDescent="0.25">
      <c r="A1473" s="2"/>
    </row>
    <row r="1474" spans="1:1" x14ac:dyDescent="0.25">
      <c r="A1474" s="2"/>
    </row>
    <row r="1475" spans="1:1" x14ac:dyDescent="0.25">
      <c r="A1475" s="2"/>
    </row>
    <row r="1476" spans="1:1" x14ac:dyDescent="0.25">
      <c r="A1476" s="2"/>
    </row>
    <row r="1477" spans="1:1" x14ac:dyDescent="0.25">
      <c r="A1477" s="2"/>
    </row>
    <row r="1478" spans="1:1" x14ac:dyDescent="0.25">
      <c r="A1478" s="2"/>
    </row>
    <row r="1479" spans="1:1" x14ac:dyDescent="0.25">
      <c r="A1479" s="2"/>
    </row>
    <row r="1480" spans="1:1" x14ac:dyDescent="0.25">
      <c r="A1480" s="2"/>
    </row>
    <row r="1481" spans="1:1" x14ac:dyDescent="0.25">
      <c r="A1481" s="2"/>
    </row>
    <row r="1482" spans="1:1" x14ac:dyDescent="0.25">
      <c r="A1482" s="2"/>
    </row>
    <row r="1483" spans="1:1" x14ac:dyDescent="0.25">
      <c r="A1483" s="2"/>
    </row>
    <row r="1484" spans="1:1" x14ac:dyDescent="0.25">
      <c r="A1484" s="2"/>
    </row>
    <row r="1485" spans="1:1" x14ac:dyDescent="0.25">
      <c r="A1485" s="2"/>
    </row>
    <row r="1486" spans="1:1" x14ac:dyDescent="0.25">
      <c r="A1486" s="2"/>
    </row>
    <row r="1487" spans="1:1" x14ac:dyDescent="0.25">
      <c r="A1487" s="2"/>
    </row>
    <row r="1488" spans="1:1" x14ac:dyDescent="0.25">
      <c r="A1488" s="2"/>
    </row>
    <row r="1489" spans="1:1" x14ac:dyDescent="0.25">
      <c r="A1489" s="2"/>
    </row>
    <row r="1490" spans="1:1" x14ac:dyDescent="0.25">
      <c r="A1490" s="2"/>
    </row>
    <row r="1491" spans="1:1" x14ac:dyDescent="0.25">
      <c r="A1491" s="2"/>
    </row>
    <row r="1492" spans="1:1" x14ac:dyDescent="0.25">
      <c r="A1492" s="2"/>
    </row>
    <row r="1493" spans="1:1" x14ac:dyDescent="0.25">
      <c r="A1493" s="2"/>
    </row>
    <row r="1494" spans="1:1" x14ac:dyDescent="0.25">
      <c r="A1494" s="2"/>
    </row>
    <row r="1495" spans="1:1" x14ac:dyDescent="0.25">
      <c r="A1495" s="2"/>
    </row>
    <row r="1496" spans="1:1" x14ac:dyDescent="0.25">
      <c r="A1496" s="2"/>
    </row>
    <row r="1497" spans="1:1" x14ac:dyDescent="0.25">
      <c r="A1497" s="2"/>
    </row>
    <row r="1498" spans="1:1" x14ac:dyDescent="0.25">
      <c r="A1498" s="2"/>
    </row>
    <row r="1499" spans="1:1" x14ac:dyDescent="0.25">
      <c r="A1499" s="2"/>
    </row>
    <row r="1500" spans="1:1" x14ac:dyDescent="0.25">
      <c r="A1500" s="2"/>
    </row>
    <row r="1501" spans="1:1" x14ac:dyDescent="0.25">
      <c r="A1501" s="2"/>
    </row>
    <row r="1502" spans="1:1" x14ac:dyDescent="0.25">
      <c r="A1502" s="2"/>
    </row>
    <row r="1503" spans="1:1" x14ac:dyDescent="0.25">
      <c r="A1503" s="2"/>
    </row>
    <row r="1504" spans="1:1" x14ac:dyDescent="0.25">
      <c r="A1504" s="2"/>
    </row>
    <row r="1505" spans="1:1" x14ac:dyDescent="0.25">
      <c r="A1505" s="2"/>
    </row>
    <row r="1506" spans="1:1" x14ac:dyDescent="0.25">
      <c r="A1506" s="2"/>
    </row>
    <row r="1507" spans="1:1" x14ac:dyDescent="0.25">
      <c r="A1507" s="2"/>
    </row>
    <row r="1508" spans="1:1" x14ac:dyDescent="0.25">
      <c r="A1508" s="2"/>
    </row>
    <row r="1509" spans="1:1" x14ac:dyDescent="0.25">
      <c r="A1509" s="2"/>
    </row>
    <row r="1510" spans="1:1" x14ac:dyDescent="0.25">
      <c r="A1510" s="2"/>
    </row>
    <row r="1511" spans="1:1" x14ac:dyDescent="0.25">
      <c r="A1511" s="2"/>
    </row>
    <row r="1512" spans="1:1" x14ac:dyDescent="0.25">
      <c r="A1512" s="2"/>
    </row>
    <row r="1513" spans="1:1" x14ac:dyDescent="0.25">
      <c r="A1513" s="2"/>
    </row>
    <row r="1514" spans="1:1" x14ac:dyDescent="0.25">
      <c r="A1514" s="2"/>
    </row>
    <row r="1515" spans="1:1" x14ac:dyDescent="0.25">
      <c r="A1515" s="2"/>
    </row>
    <row r="1516" spans="1:1" x14ac:dyDescent="0.25">
      <c r="A1516" s="2"/>
    </row>
    <row r="1517" spans="1:1" x14ac:dyDescent="0.25">
      <c r="A1517" s="2"/>
    </row>
    <row r="1518" spans="1:1" x14ac:dyDescent="0.25">
      <c r="A1518" s="2"/>
    </row>
    <row r="1519" spans="1:1" x14ac:dyDescent="0.25">
      <c r="A1519" s="2"/>
    </row>
    <row r="1520" spans="1:1" x14ac:dyDescent="0.25">
      <c r="A1520" s="2"/>
    </row>
    <row r="1521" spans="1:1" x14ac:dyDescent="0.25">
      <c r="A1521" s="2"/>
    </row>
    <row r="1522" spans="1:1" x14ac:dyDescent="0.25">
      <c r="A1522" s="2"/>
    </row>
    <row r="1523" spans="1:1" x14ac:dyDescent="0.25">
      <c r="A1523" s="2"/>
    </row>
    <row r="1524" spans="1:1" x14ac:dyDescent="0.25">
      <c r="A1524" s="2"/>
    </row>
    <row r="1525" spans="1:1" x14ac:dyDescent="0.25">
      <c r="A1525" s="2"/>
    </row>
    <row r="1526" spans="1:1" x14ac:dyDescent="0.25">
      <c r="A1526" s="2"/>
    </row>
    <row r="1527" spans="1:1" x14ac:dyDescent="0.25">
      <c r="A1527" s="2"/>
    </row>
    <row r="1528" spans="1:1" x14ac:dyDescent="0.25">
      <c r="A1528" s="2"/>
    </row>
    <row r="1529" spans="1:1" x14ac:dyDescent="0.25">
      <c r="A1529" s="2"/>
    </row>
    <row r="1530" spans="1:1" x14ac:dyDescent="0.25">
      <c r="A1530" s="2"/>
    </row>
    <row r="1531" spans="1:1" x14ac:dyDescent="0.25">
      <c r="A1531" s="2"/>
    </row>
    <row r="1532" spans="1:1" x14ac:dyDescent="0.25">
      <c r="A1532" s="2"/>
    </row>
    <row r="1533" spans="1:1" x14ac:dyDescent="0.25">
      <c r="A1533" s="2"/>
    </row>
    <row r="1534" spans="1:1" x14ac:dyDescent="0.25">
      <c r="A1534" s="2"/>
    </row>
    <row r="1535" spans="1:1" x14ac:dyDescent="0.25">
      <c r="A1535" s="2"/>
    </row>
    <row r="1536" spans="1:1" x14ac:dyDescent="0.25">
      <c r="A1536" s="2"/>
    </row>
    <row r="1537" spans="1:1" x14ac:dyDescent="0.25">
      <c r="A1537" s="2"/>
    </row>
    <row r="1538" spans="1:1" x14ac:dyDescent="0.25">
      <c r="A1538" s="2"/>
    </row>
    <row r="1539" spans="1:1" x14ac:dyDescent="0.25">
      <c r="A1539" s="2"/>
    </row>
    <row r="1540" spans="1:1" x14ac:dyDescent="0.25">
      <c r="A1540" s="2"/>
    </row>
    <row r="1541" spans="1:1" x14ac:dyDescent="0.25">
      <c r="A1541" s="2"/>
    </row>
    <row r="1542" spans="1:1" x14ac:dyDescent="0.25">
      <c r="A1542" s="2"/>
    </row>
    <row r="1543" spans="1:1" x14ac:dyDescent="0.25">
      <c r="A1543" s="2"/>
    </row>
    <row r="1544" spans="1:1" x14ac:dyDescent="0.25">
      <c r="A1544" s="2"/>
    </row>
    <row r="1545" spans="1:1" x14ac:dyDescent="0.25">
      <c r="A1545" s="2"/>
    </row>
    <row r="1546" spans="1:1" x14ac:dyDescent="0.25">
      <c r="A1546" s="2"/>
    </row>
    <row r="1547" spans="1:1" x14ac:dyDescent="0.25">
      <c r="A1547" s="2"/>
    </row>
    <row r="1548" spans="1:1" x14ac:dyDescent="0.25">
      <c r="A1548" s="2"/>
    </row>
    <row r="1549" spans="1:1" x14ac:dyDescent="0.25">
      <c r="A1549" s="2"/>
    </row>
    <row r="1550" spans="1:1" x14ac:dyDescent="0.25">
      <c r="A1550" s="2"/>
    </row>
    <row r="1551" spans="1:1" x14ac:dyDescent="0.25">
      <c r="A1551" s="2"/>
    </row>
    <row r="1552" spans="1:1" x14ac:dyDescent="0.25">
      <c r="A1552" s="2"/>
    </row>
    <row r="1553" spans="1:1" x14ac:dyDescent="0.25">
      <c r="A1553" s="2"/>
    </row>
    <row r="1554" spans="1:1" x14ac:dyDescent="0.25">
      <c r="A1554" s="2"/>
    </row>
    <row r="1555" spans="1:1" x14ac:dyDescent="0.25">
      <c r="A1555" s="2"/>
    </row>
    <row r="1556" spans="1:1" x14ac:dyDescent="0.25">
      <c r="A1556" s="2"/>
    </row>
    <row r="1557" spans="1:1" x14ac:dyDescent="0.25">
      <c r="A1557" s="2"/>
    </row>
    <row r="1558" spans="1:1" x14ac:dyDescent="0.25">
      <c r="A1558" s="2"/>
    </row>
    <row r="1559" spans="1:1" x14ac:dyDescent="0.25">
      <c r="A1559" s="2"/>
    </row>
    <row r="1560" spans="1:1" x14ac:dyDescent="0.25">
      <c r="A1560" s="2"/>
    </row>
    <row r="1561" spans="1:1" x14ac:dyDescent="0.25">
      <c r="A1561" s="2"/>
    </row>
    <row r="1562" spans="1:1" x14ac:dyDescent="0.25">
      <c r="A1562" s="2"/>
    </row>
    <row r="1563" spans="1:1" x14ac:dyDescent="0.25">
      <c r="A1563" s="2"/>
    </row>
    <row r="1564" spans="1:1" x14ac:dyDescent="0.25">
      <c r="A1564" s="2"/>
    </row>
    <row r="1565" spans="1:1" x14ac:dyDescent="0.25">
      <c r="A1565" s="2"/>
    </row>
    <row r="1566" spans="1:1" x14ac:dyDescent="0.25">
      <c r="A1566" s="2"/>
    </row>
    <row r="1567" spans="1:1" x14ac:dyDescent="0.25">
      <c r="A1567" s="2"/>
    </row>
    <row r="1568" spans="1:1" x14ac:dyDescent="0.25">
      <c r="A1568" s="2"/>
    </row>
    <row r="1569" spans="1:1" x14ac:dyDescent="0.25">
      <c r="A1569" s="2"/>
    </row>
    <row r="1570" spans="1:1" x14ac:dyDescent="0.25">
      <c r="A1570" s="2"/>
    </row>
    <row r="1571" spans="1:1" x14ac:dyDescent="0.25">
      <c r="A1571" s="2"/>
    </row>
    <row r="1572" spans="1:1" x14ac:dyDescent="0.25">
      <c r="A1572" s="2"/>
    </row>
    <row r="1573" spans="1:1" x14ac:dyDescent="0.25">
      <c r="A1573" s="2"/>
    </row>
    <row r="1574" spans="1:1" x14ac:dyDescent="0.25">
      <c r="A1574" s="2"/>
    </row>
    <row r="1575" spans="1:1" x14ac:dyDescent="0.25">
      <c r="A1575" s="2"/>
    </row>
    <row r="1576" spans="1:1" x14ac:dyDescent="0.25">
      <c r="A1576" s="2"/>
    </row>
    <row r="1577" spans="1:1" x14ac:dyDescent="0.25">
      <c r="A1577" s="2"/>
    </row>
    <row r="1578" spans="1:1" x14ac:dyDescent="0.25">
      <c r="A1578" s="2"/>
    </row>
    <row r="1579" spans="1:1" x14ac:dyDescent="0.25">
      <c r="A1579" s="2"/>
    </row>
    <row r="1580" spans="1:1" x14ac:dyDescent="0.25">
      <c r="A1580" s="2"/>
    </row>
    <row r="1581" spans="1:1" x14ac:dyDescent="0.25">
      <c r="A1581" s="2"/>
    </row>
    <row r="1582" spans="1:1" x14ac:dyDescent="0.25">
      <c r="A1582" s="2"/>
    </row>
    <row r="1583" spans="1:1" x14ac:dyDescent="0.25">
      <c r="A1583" s="2"/>
    </row>
    <row r="1584" spans="1:1" x14ac:dyDescent="0.25">
      <c r="A1584" s="2"/>
    </row>
    <row r="1585" spans="1:1" x14ac:dyDescent="0.25">
      <c r="A1585" s="2"/>
    </row>
    <row r="1586" spans="1:1" x14ac:dyDescent="0.25">
      <c r="A1586" s="2"/>
    </row>
    <row r="1587" spans="1:1" x14ac:dyDescent="0.25">
      <c r="A1587" s="2"/>
    </row>
    <row r="1588" spans="1:1" x14ac:dyDescent="0.25">
      <c r="A1588" s="2"/>
    </row>
    <row r="1589" spans="1:1" x14ac:dyDescent="0.25">
      <c r="A1589" s="2"/>
    </row>
    <row r="1590" spans="1:1" x14ac:dyDescent="0.25">
      <c r="A1590" s="2"/>
    </row>
    <row r="1591" spans="1:1" x14ac:dyDescent="0.25">
      <c r="A1591" s="2"/>
    </row>
    <row r="1592" spans="1:1" x14ac:dyDescent="0.25">
      <c r="A1592" s="2"/>
    </row>
    <row r="1593" spans="1:1" x14ac:dyDescent="0.25">
      <c r="A1593" s="2"/>
    </row>
    <row r="1594" spans="1:1" x14ac:dyDescent="0.25">
      <c r="A1594" s="2"/>
    </row>
    <row r="1595" spans="1:1" x14ac:dyDescent="0.25">
      <c r="A1595" s="2"/>
    </row>
    <row r="1596" spans="1:1" x14ac:dyDescent="0.25">
      <c r="A1596" s="2"/>
    </row>
    <row r="1597" spans="1:1" x14ac:dyDescent="0.25">
      <c r="A1597" s="2"/>
    </row>
    <row r="1598" spans="1:1" x14ac:dyDescent="0.25">
      <c r="A1598" s="2"/>
    </row>
    <row r="1599" spans="1:1" x14ac:dyDescent="0.25">
      <c r="A1599" s="2"/>
    </row>
    <row r="1600" spans="1:1" x14ac:dyDescent="0.25">
      <c r="A1600" s="2"/>
    </row>
    <row r="1601" spans="1:1" x14ac:dyDescent="0.25">
      <c r="A1601" s="2"/>
    </row>
    <row r="1602" spans="1:1" x14ac:dyDescent="0.25">
      <c r="A1602" s="2"/>
    </row>
    <row r="1603" spans="1:1" x14ac:dyDescent="0.25">
      <c r="A1603" s="2"/>
    </row>
    <row r="1604" spans="1:1" x14ac:dyDescent="0.25">
      <c r="A1604" s="2"/>
    </row>
    <row r="1605" spans="1:1" x14ac:dyDescent="0.25">
      <c r="A1605" s="2"/>
    </row>
    <row r="1606" spans="1:1" x14ac:dyDescent="0.25">
      <c r="A1606" s="2"/>
    </row>
    <row r="1607" spans="1:1" x14ac:dyDescent="0.25">
      <c r="A1607" s="2"/>
    </row>
    <row r="1608" spans="1:1" x14ac:dyDescent="0.25">
      <c r="A1608" s="2"/>
    </row>
    <row r="1609" spans="1:1" x14ac:dyDescent="0.25">
      <c r="A1609" s="2"/>
    </row>
    <row r="1610" spans="1:1" x14ac:dyDescent="0.25">
      <c r="A1610" s="2"/>
    </row>
    <row r="1611" spans="1:1" x14ac:dyDescent="0.25">
      <c r="A1611" s="2"/>
    </row>
    <row r="1612" spans="1:1" x14ac:dyDescent="0.25">
      <c r="A1612" s="2"/>
    </row>
    <row r="1613" spans="1:1" x14ac:dyDescent="0.25">
      <c r="A1613" s="2"/>
    </row>
    <row r="1614" spans="1:1" x14ac:dyDescent="0.25">
      <c r="A1614" s="2"/>
    </row>
    <row r="1615" spans="1:1" x14ac:dyDescent="0.25">
      <c r="A1615" s="2"/>
    </row>
    <row r="1616" spans="1:1" x14ac:dyDescent="0.25">
      <c r="A1616" s="2"/>
    </row>
    <row r="1617" spans="1:1" x14ac:dyDescent="0.25">
      <c r="A1617" s="2"/>
    </row>
    <row r="1618" spans="1:1" x14ac:dyDescent="0.25">
      <c r="A1618" s="2"/>
    </row>
    <row r="1619" spans="1:1" x14ac:dyDescent="0.25">
      <c r="A1619" s="2"/>
    </row>
    <row r="1620" spans="1:1" x14ac:dyDescent="0.25">
      <c r="A1620" s="2"/>
    </row>
    <row r="1621" spans="1:1" x14ac:dyDescent="0.25">
      <c r="A1621" s="2"/>
    </row>
    <row r="1622" spans="1:1" x14ac:dyDescent="0.25">
      <c r="A1622" s="2"/>
    </row>
    <row r="1623" spans="1:1" x14ac:dyDescent="0.25">
      <c r="A1623" s="2"/>
    </row>
    <row r="1624" spans="1:1" x14ac:dyDescent="0.25">
      <c r="A1624" s="2"/>
    </row>
    <row r="1625" spans="1:1" x14ac:dyDescent="0.25">
      <c r="A1625" s="2"/>
    </row>
    <row r="1626" spans="1:1" x14ac:dyDescent="0.25">
      <c r="A1626" s="2"/>
    </row>
    <row r="1627" spans="1:1" x14ac:dyDescent="0.25">
      <c r="A1627" s="2"/>
    </row>
    <row r="1628" spans="1:1" x14ac:dyDescent="0.25">
      <c r="A1628" s="2"/>
    </row>
    <row r="1629" spans="1:1" x14ac:dyDescent="0.25">
      <c r="A1629" s="2"/>
    </row>
    <row r="1630" spans="1:1" x14ac:dyDescent="0.25">
      <c r="A1630" s="2"/>
    </row>
    <row r="1631" spans="1:1" x14ac:dyDescent="0.25">
      <c r="A1631" s="2"/>
    </row>
    <row r="1632" spans="1:1" x14ac:dyDescent="0.25">
      <c r="A1632" s="2"/>
    </row>
    <row r="1633" spans="1:1" x14ac:dyDescent="0.25">
      <c r="A1633" s="2"/>
    </row>
    <row r="1634" spans="1:1" x14ac:dyDescent="0.25">
      <c r="A1634" s="2"/>
    </row>
    <row r="1635" spans="1:1" x14ac:dyDescent="0.25">
      <c r="A1635" s="2"/>
    </row>
    <row r="1636" spans="1:1" x14ac:dyDescent="0.25">
      <c r="A1636" s="2"/>
    </row>
    <row r="1637" spans="1:1" x14ac:dyDescent="0.25">
      <c r="A1637" s="2"/>
    </row>
    <row r="1638" spans="1:1" x14ac:dyDescent="0.25">
      <c r="A1638" s="2"/>
    </row>
    <row r="1639" spans="1:1" x14ac:dyDescent="0.25">
      <c r="A1639" s="2"/>
    </row>
    <row r="1640" spans="1:1" x14ac:dyDescent="0.25">
      <c r="A1640" s="2"/>
    </row>
    <row r="1641" spans="1:1" x14ac:dyDescent="0.25">
      <c r="A1641" s="2"/>
    </row>
    <row r="1642" spans="1:1" x14ac:dyDescent="0.25">
      <c r="A1642" s="2"/>
    </row>
    <row r="1643" spans="1:1" x14ac:dyDescent="0.25">
      <c r="A1643" s="2"/>
    </row>
    <row r="1644" spans="1:1" x14ac:dyDescent="0.25">
      <c r="A1644" s="2"/>
    </row>
    <row r="1645" spans="1:1" x14ac:dyDescent="0.25">
      <c r="A1645" s="2"/>
    </row>
    <row r="1646" spans="1:1" x14ac:dyDescent="0.25">
      <c r="A1646" s="2"/>
    </row>
    <row r="1647" spans="1:1" x14ac:dyDescent="0.25">
      <c r="A1647" s="2"/>
    </row>
    <row r="1648" spans="1:1" x14ac:dyDescent="0.25">
      <c r="A1648" s="2"/>
    </row>
    <row r="1649" spans="1:1" x14ac:dyDescent="0.25">
      <c r="A1649" s="2"/>
    </row>
    <row r="1650" spans="1:1" x14ac:dyDescent="0.25">
      <c r="A1650" s="2"/>
    </row>
    <row r="1651" spans="1:1" x14ac:dyDescent="0.25">
      <c r="A1651" s="2"/>
    </row>
    <row r="1652" spans="1:1" x14ac:dyDescent="0.25">
      <c r="A1652" s="2"/>
    </row>
    <row r="1653" spans="1:1" x14ac:dyDescent="0.25">
      <c r="A1653" s="2"/>
    </row>
    <row r="1654" spans="1:1" x14ac:dyDescent="0.25">
      <c r="A1654" s="2"/>
    </row>
    <row r="1655" spans="1:1" x14ac:dyDescent="0.25">
      <c r="A1655" s="2"/>
    </row>
    <row r="1656" spans="1:1" x14ac:dyDescent="0.25">
      <c r="A1656" s="2"/>
    </row>
    <row r="1657" spans="1:1" x14ac:dyDescent="0.25">
      <c r="A1657" s="2"/>
    </row>
    <row r="1658" spans="1:1" x14ac:dyDescent="0.25">
      <c r="A1658" s="2"/>
    </row>
    <row r="1659" spans="1:1" x14ac:dyDescent="0.25">
      <c r="A1659" s="2"/>
    </row>
    <row r="1660" spans="1:1" x14ac:dyDescent="0.25">
      <c r="A1660" s="2"/>
    </row>
    <row r="1661" spans="1:1" x14ac:dyDescent="0.25">
      <c r="A1661" s="2"/>
    </row>
    <row r="1662" spans="1:1" x14ac:dyDescent="0.25">
      <c r="A1662" s="2"/>
    </row>
    <row r="1663" spans="1:1" x14ac:dyDescent="0.25">
      <c r="A1663" s="2"/>
    </row>
    <row r="1664" spans="1:1" x14ac:dyDescent="0.25">
      <c r="A1664" s="2"/>
    </row>
    <row r="1665" spans="1:1" x14ac:dyDescent="0.25">
      <c r="A1665" s="2"/>
    </row>
    <row r="1666" spans="1:1" x14ac:dyDescent="0.25">
      <c r="A1666" s="2"/>
    </row>
    <row r="1667" spans="1:1" x14ac:dyDescent="0.25">
      <c r="A1667" s="2"/>
    </row>
    <row r="1668" spans="1:1" x14ac:dyDescent="0.25">
      <c r="A1668" s="2"/>
    </row>
    <row r="1669" spans="1:1" x14ac:dyDescent="0.25">
      <c r="A1669" s="2"/>
    </row>
    <row r="1670" spans="1:1" x14ac:dyDescent="0.25">
      <c r="A1670" s="2"/>
    </row>
    <row r="1671" spans="1:1" x14ac:dyDescent="0.25">
      <c r="A1671" s="2"/>
    </row>
    <row r="1672" spans="1:1" x14ac:dyDescent="0.25">
      <c r="A1672" s="2"/>
    </row>
    <row r="1673" spans="1:1" x14ac:dyDescent="0.25">
      <c r="A1673" s="2"/>
    </row>
    <row r="1674" spans="1:1" x14ac:dyDescent="0.25">
      <c r="A1674" s="2"/>
    </row>
    <row r="1675" spans="1:1" x14ac:dyDescent="0.25">
      <c r="A1675" s="2"/>
    </row>
    <row r="1676" spans="1:1" x14ac:dyDescent="0.25">
      <c r="A1676" s="2"/>
    </row>
    <row r="1677" spans="1:1" x14ac:dyDescent="0.25">
      <c r="A1677" s="2"/>
    </row>
    <row r="1678" spans="1:1" x14ac:dyDescent="0.25">
      <c r="A1678" s="2"/>
    </row>
    <row r="1679" spans="1:1" x14ac:dyDescent="0.25">
      <c r="A1679" s="2"/>
    </row>
    <row r="1680" spans="1:1" x14ac:dyDescent="0.25">
      <c r="A1680" s="2"/>
    </row>
    <row r="1681" spans="1:1" x14ac:dyDescent="0.25">
      <c r="A1681" s="2"/>
    </row>
    <row r="1682" spans="1:1" x14ac:dyDescent="0.25">
      <c r="A1682" s="2"/>
    </row>
    <row r="1683" spans="1:1" x14ac:dyDescent="0.25">
      <c r="A1683" s="2"/>
    </row>
    <row r="1684" spans="1:1" x14ac:dyDescent="0.25">
      <c r="A1684" s="2"/>
    </row>
    <row r="1685" spans="1:1" x14ac:dyDescent="0.25">
      <c r="A1685" s="2"/>
    </row>
    <row r="1686" spans="1:1" x14ac:dyDescent="0.25">
      <c r="A1686" s="2"/>
    </row>
    <row r="1687" spans="1:1" x14ac:dyDescent="0.25">
      <c r="A1687" s="2"/>
    </row>
    <row r="1688" spans="1:1" x14ac:dyDescent="0.25">
      <c r="A1688" s="2"/>
    </row>
    <row r="1689" spans="1:1" x14ac:dyDescent="0.25">
      <c r="A1689" s="2"/>
    </row>
    <row r="1690" spans="1:1" x14ac:dyDescent="0.25">
      <c r="A1690" s="2"/>
    </row>
    <row r="1691" spans="1:1" x14ac:dyDescent="0.25">
      <c r="A1691" s="2"/>
    </row>
    <row r="1692" spans="1:1" x14ac:dyDescent="0.25">
      <c r="A1692" s="2"/>
    </row>
    <row r="1693" spans="1:1" x14ac:dyDescent="0.25">
      <c r="A1693" s="2"/>
    </row>
    <row r="1694" spans="1:1" x14ac:dyDescent="0.25">
      <c r="A1694" s="2"/>
    </row>
    <row r="1695" spans="1:1" x14ac:dyDescent="0.25">
      <c r="A1695" s="2"/>
    </row>
    <row r="1696" spans="1:1" x14ac:dyDescent="0.25">
      <c r="A1696" s="2"/>
    </row>
    <row r="1697" spans="1:1" x14ac:dyDescent="0.25">
      <c r="A1697" s="2"/>
    </row>
    <row r="1698" spans="1:1" x14ac:dyDescent="0.25">
      <c r="A1698" s="2"/>
    </row>
    <row r="1699" spans="1:1" x14ac:dyDescent="0.25">
      <c r="A1699" s="2"/>
    </row>
    <row r="1700" spans="1:1" x14ac:dyDescent="0.25">
      <c r="A1700" s="2"/>
    </row>
    <row r="1701" spans="1:1" x14ac:dyDescent="0.25">
      <c r="A1701" s="2"/>
    </row>
    <row r="1702" spans="1:1" x14ac:dyDescent="0.25">
      <c r="A1702" s="2"/>
    </row>
    <row r="1703" spans="1:1" x14ac:dyDescent="0.25">
      <c r="A1703" s="2"/>
    </row>
    <row r="1704" spans="1:1" x14ac:dyDescent="0.25">
      <c r="A1704" s="2"/>
    </row>
    <row r="1705" spans="1:1" x14ac:dyDescent="0.25">
      <c r="A1705" s="2"/>
    </row>
    <row r="1706" spans="1:1" x14ac:dyDescent="0.25">
      <c r="A1706" s="2"/>
    </row>
    <row r="1707" spans="1:1" x14ac:dyDescent="0.25">
      <c r="A1707" s="2"/>
    </row>
    <row r="1708" spans="1:1" x14ac:dyDescent="0.25">
      <c r="A1708" s="2"/>
    </row>
    <row r="1709" spans="1:1" x14ac:dyDescent="0.25">
      <c r="A1709" s="2"/>
    </row>
    <row r="1710" spans="1:1" x14ac:dyDescent="0.25">
      <c r="A1710" s="2"/>
    </row>
    <row r="1711" spans="1:1" x14ac:dyDescent="0.25">
      <c r="A1711" s="2"/>
    </row>
    <row r="1712" spans="1:1" x14ac:dyDescent="0.25">
      <c r="A1712" s="2"/>
    </row>
    <row r="1713" spans="1:1" x14ac:dyDescent="0.25">
      <c r="A1713" s="2"/>
    </row>
    <row r="1714" spans="1:1" x14ac:dyDescent="0.25">
      <c r="A1714" s="2"/>
    </row>
    <row r="1715" spans="1:1" x14ac:dyDescent="0.25">
      <c r="A1715" s="2"/>
    </row>
    <row r="1716" spans="1:1" x14ac:dyDescent="0.25">
      <c r="A1716" s="2"/>
    </row>
    <row r="1717" spans="1:1" x14ac:dyDescent="0.25">
      <c r="A1717" s="2"/>
    </row>
    <row r="1718" spans="1:1" x14ac:dyDescent="0.25">
      <c r="A1718" s="2"/>
    </row>
    <row r="1719" spans="1:1" x14ac:dyDescent="0.25">
      <c r="A1719" s="2"/>
    </row>
    <row r="1720" spans="1:1" x14ac:dyDescent="0.25">
      <c r="A1720" s="2"/>
    </row>
    <row r="1721" spans="1:1" x14ac:dyDescent="0.25">
      <c r="A1721" s="2"/>
    </row>
    <row r="1722" spans="1:1" x14ac:dyDescent="0.25">
      <c r="A1722" s="2"/>
    </row>
    <row r="1723" spans="1:1" x14ac:dyDescent="0.25">
      <c r="A1723" s="2"/>
    </row>
    <row r="1724" spans="1:1" x14ac:dyDescent="0.25">
      <c r="A1724" s="2"/>
    </row>
    <row r="1725" spans="1:1" x14ac:dyDescent="0.25">
      <c r="A1725" s="2"/>
    </row>
    <row r="1726" spans="1:1" x14ac:dyDescent="0.25">
      <c r="A1726" s="2"/>
    </row>
    <row r="1727" spans="1:1" x14ac:dyDescent="0.25">
      <c r="A1727" s="2"/>
    </row>
    <row r="1728" spans="1:1" x14ac:dyDescent="0.25">
      <c r="A1728" s="2"/>
    </row>
    <row r="1729" spans="1:1" x14ac:dyDescent="0.25">
      <c r="A1729" s="2"/>
    </row>
    <row r="1730" spans="1:1" x14ac:dyDescent="0.25">
      <c r="A1730" s="2"/>
    </row>
    <row r="1731" spans="1:1" x14ac:dyDescent="0.25">
      <c r="A1731" s="2"/>
    </row>
    <row r="1732" spans="1:1" x14ac:dyDescent="0.25">
      <c r="A1732" s="2"/>
    </row>
    <row r="1733" spans="1:1" x14ac:dyDescent="0.25">
      <c r="A1733" s="2"/>
    </row>
    <row r="1734" spans="1:1" x14ac:dyDescent="0.25">
      <c r="A1734" s="2"/>
    </row>
    <row r="1735" spans="1:1" x14ac:dyDescent="0.25">
      <c r="A1735" s="2"/>
    </row>
    <row r="1736" spans="1:1" x14ac:dyDescent="0.25">
      <c r="A1736" s="2"/>
    </row>
    <row r="1737" spans="1:1" x14ac:dyDescent="0.25">
      <c r="A1737" s="2"/>
    </row>
    <row r="1738" spans="1:1" x14ac:dyDescent="0.25">
      <c r="A1738" s="2"/>
    </row>
    <row r="1739" spans="1:1" x14ac:dyDescent="0.25">
      <c r="A1739" s="2"/>
    </row>
    <row r="1740" spans="1:1" x14ac:dyDescent="0.25">
      <c r="A1740" s="2"/>
    </row>
    <row r="1741" spans="1:1" x14ac:dyDescent="0.25">
      <c r="A1741" s="2"/>
    </row>
    <row r="1742" spans="1:1" x14ac:dyDescent="0.25">
      <c r="A1742" s="2"/>
    </row>
    <row r="1743" spans="1:1" x14ac:dyDescent="0.25">
      <c r="A1743" s="2"/>
    </row>
    <row r="1744" spans="1:1" x14ac:dyDescent="0.25">
      <c r="A1744" s="2"/>
    </row>
    <row r="1745" spans="1:1" x14ac:dyDescent="0.25">
      <c r="A1745" s="2"/>
    </row>
    <row r="1746" spans="1:1" x14ac:dyDescent="0.25">
      <c r="A1746" s="15"/>
    </row>
    <row r="1747" spans="1:1" x14ac:dyDescent="0.25">
      <c r="A1747" s="2"/>
    </row>
    <row r="1748" spans="1:1" x14ac:dyDescent="0.25">
      <c r="A1748" s="2"/>
    </row>
    <row r="1749" spans="1:1" x14ac:dyDescent="0.25">
      <c r="A1749" s="2"/>
    </row>
    <row r="1750" spans="1:1" x14ac:dyDescent="0.25">
      <c r="A1750" s="2"/>
    </row>
    <row r="1751" spans="1:1" x14ac:dyDescent="0.25">
      <c r="A1751" s="2"/>
    </row>
    <row r="1752" spans="1:1" x14ac:dyDescent="0.25">
      <c r="A1752" s="2"/>
    </row>
    <row r="1753" spans="1:1" x14ac:dyDescent="0.25">
      <c r="A1753" s="2"/>
    </row>
    <row r="1754" spans="1:1" x14ac:dyDescent="0.25">
      <c r="A1754" s="2"/>
    </row>
    <row r="1755" spans="1:1" x14ac:dyDescent="0.25">
      <c r="A1755" s="2"/>
    </row>
    <row r="1756" spans="1:1" x14ac:dyDescent="0.25">
      <c r="A1756" s="2"/>
    </row>
    <row r="1757" spans="1:1" x14ac:dyDescent="0.25">
      <c r="A1757" s="2"/>
    </row>
    <row r="1758" spans="1:1" x14ac:dyDescent="0.25">
      <c r="A1758" s="2"/>
    </row>
    <row r="1759" spans="1:1" x14ac:dyDescent="0.25">
      <c r="A1759" s="2"/>
    </row>
    <row r="1760" spans="1:1" x14ac:dyDescent="0.25">
      <c r="A1760" s="2"/>
    </row>
    <row r="1761" spans="1:1" x14ac:dyDescent="0.25">
      <c r="A1761" s="2"/>
    </row>
    <row r="1762" spans="1:1" x14ac:dyDescent="0.25">
      <c r="A1762" s="2"/>
    </row>
    <row r="1763" spans="1:1" x14ac:dyDescent="0.25">
      <c r="A1763" s="2"/>
    </row>
    <row r="1764" spans="1:1" x14ac:dyDescent="0.25">
      <c r="A1764" s="2"/>
    </row>
    <row r="1765" spans="1:1" x14ac:dyDescent="0.25">
      <c r="A1765" s="2"/>
    </row>
    <row r="1766" spans="1:1" x14ac:dyDescent="0.25">
      <c r="A1766" s="2"/>
    </row>
    <row r="1767" spans="1:1" x14ac:dyDescent="0.25">
      <c r="A1767" s="2"/>
    </row>
    <row r="1768" spans="1:1" x14ac:dyDescent="0.25">
      <c r="A1768" s="2"/>
    </row>
    <row r="1769" spans="1:1" x14ac:dyDescent="0.25">
      <c r="A1769" s="2"/>
    </row>
    <row r="1770" spans="1:1" x14ac:dyDescent="0.25">
      <c r="A1770" s="2"/>
    </row>
    <row r="1771" spans="1:1" x14ac:dyDescent="0.25">
      <c r="A1771" s="2"/>
    </row>
    <row r="1772" spans="1:1" x14ac:dyDescent="0.25">
      <c r="A1772" s="2"/>
    </row>
    <row r="1773" spans="1:1" x14ac:dyDescent="0.25">
      <c r="A1773" s="2"/>
    </row>
    <row r="1774" spans="1:1" x14ac:dyDescent="0.25">
      <c r="A1774" s="2"/>
    </row>
    <row r="1775" spans="1:1" x14ac:dyDescent="0.25">
      <c r="A1775" s="2"/>
    </row>
    <row r="1776" spans="1:1" x14ac:dyDescent="0.25">
      <c r="A1776" s="2"/>
    </row>
    <row r="1777" spans="1:1" x14ac:dyDescent="0.25">
      <c r="A1777" s="2"/>
    </row>
    <row r="1778" spans="1:1" x14ac:dyDescent="0.25">
      <c r="A1778" s="2"/>
    </row>
    <row r="1779" spans="1:1" x14ac:dyDescent="0.25">
      <c r="A1779" s="2"/>
    </row>
    <row r="1780" spans="1:1" x14ac:dyDescent="0.25">
      <c r="A1780" s="2"/>
    </row>
    <row r="1781" spans="1:1" x14ac:dyDescent="0.25">
      <c r="A1781" s="2"/>
    </row>
    <row r="1782" spans="1:1" x14ac:dyDescent="0.25">
      <c r="A1782" s="2"/>
    </row>
    <row r="1783" spans="1:1" x14ac:dyDescent="0.25">
      <c r="A1783" s="2"/>
    </row>
    <row r="1784" spans="1:1" x14ac:dyDescent="0.25">
      <c r="A1784" s="2"/>
    </row>
    <row r="1785" spans="1:1" x14ac:dyDescent="0.25">
      <c r="A1785" s="2"/>
    </row>
    <row r="1786" spans="1:1" x14ac:dyDescent="0.25">
      <c r="A1786" s="2"/>
    </row>
    <row r="1787" spans="1:1" x14ac:dyDescent="0.25">
      <c r="A1787" s="2"/>
    </row>
    <row r="1788" spans="1:1" x14ac:dyDescent="0.25">
      <c r="A1788" s="2"/>
    </row>
    <row r="1789" spans="1:1" x14ac:dyDescent="0.25">
      <c r="A1789" s="2"/>
    </row>
    <row r="1790" spans="1:1" x14ac:dyDescent="0.25">
      <c r="A1790" s="2"/>
    </row>
    <row r="1791" spans="1:1" x14ac:dyDescent="0.25">
      <c r="A1791" s="2"/>
    </row>
    <row r="1792" spans="1:1" x14ac:dyDescent="0.25">
      <c r="A1792" s="2"/>
    </row>
    <row r="1793" spans="1:1" x14ac:dyDescent="0.25">
      <c r="A1793" s="2"/>
    </row>
    <row r="1794" spans="1:1" x14ac:dyDescent="0.25">
      <c r="A1794" s="2"/>
    </row>
    <row r="1795" spans="1:1" x14ac:dyDescent="0.25">
      <c r="A1795" s="2"/>
    </row>
    <row r="1796" spans="1:1" x14ac:dyDescent="0.25">
      <c r="A1796" s="2"/>
    </row>
    <row r="1797" spans="1:1" x14ac:dyDescent="0.25">
      <c r="A1797" s="2"/>
    </row>
    <row r="1798" spans="1:1" x14ac:dyDescent="0.25">
      <c r="A1798" s="2"/>
    </row>
    <row r="1799" spans="1:1" x14ac:dyDescent="0.25">
      <c r="A1799" s="2"/>
    </row>
    <row r="1800" spans="1:1" x14ac:dyDescent="0.25">
      <c r="A1800" s="2"/>
    </row>
    <row r="1801" spans="1:1" x14ac:dyDescent="0.25">
      <c r="A1801" s="2"/>
    </row>
    <row r="1802" spans="1:1" x14ac:dyDescent="0.25">
      <c r="A1802" s="2"/>
    </row>
    <row r="1803" spans="1:1" x14ac:dyDescent="0.25">
      <c r="A1803" s="2"/>
    </row>
    <row r="1804" spans="1:1" x14ac:dyDescent="0.25">
      <c r="A1804" s="2"/>
    </row>
    <row r="1805" spans="1:1" x14ac:dyDescent="0.25">
      <c r="A1805" s="2"/>
    </row>
    <row r="1806" spans="1:1" x14ac:dyDescent="0.25">
      <c r="A1806" s="2"/>
    </row>
    <row r="1807" spans="1:1" x14ac:dyDescent="0.25">
      <c r="A1807" s="2"/>
    </row>
    <row r="1808" spans="1:1" x14ac:dyDescent="0.25">
      <c r="A1808" s="2"/>
    </row>
    <row r="1809" spans="1:1" x14ac:dyDescent="0.25">
      <c r="A1809" s="2"/>
    </row>
    <row r="1810" spans="1:1" x14ac:dyDescent="0.25">
      <c r="A1810" s="2"/>
    </row>
    <row r="1811" spans="1:1" x14ac:dyDescent="0.25">
      <c r="A1811" s="2"/>
    </row>
    <row r="1812" spans="1:1" x14ac:dyDescent="0.25">
      <c r="A1812" s="2"/>
    </row>
    <row r="1813" spans="1:1" x14ac:dyDescent="0.25">
      <c r="A1813" s="2"/>
    </row>
    <row r="1814" spans="1:1" x14ac:dyDescent="0.25">
      <c r="A1814" s="2"/>
    </row>
    <row r="1815" spans="1:1" x14ac:dyDescent="0.25">
      <c r="A1815" s="2"/>
    </row>
    <row r="1816" spans="1:1" x14ac:dyDescent="0.25">
      <c r="A1816" s="2"/>
    </row>
    <row r="1817" spans="1:1" x14ac:dyDescent="0.25">
      <c r="A1817" s="2"/>
    </row>
    <row r="1818" spans="1:1" x14ac:dyDescent="0.25">
      <c r="A1818" s="2"/>
    </row>
    <row r="1819" spans="1:1" x14ac:dyDescent="0.25">
      <c r="A1819" s="2"/>
    </row>
    <row r="1820" spans="1:1" x14ac:dyDescent="0.25">
      <c r="A1820" s="2"/>
    </row>
    <row r="1821" spans="1:1" x14ac:dyDescent="0.25">
      <c r="A1821" s="2"/>
    </row>
    <row r="1822" spans="1:1" x14ac:dyDescent="0.25">
      <c r="A1822" s="2"/>
    </row>
    <row r="1823" spans="1:1" x14ac:dyDescent="0.25">
      <c r="A1823" s="2"/>
    </row>
    <row r="1824" spans="1:1" x14ac:dyDescent="0.25">
      <c r="A1824" s="2"/>
    </row>
    <row r="1825" spans="1:1" x14ac:dyDescent="0.25">
      <c r="A1825" s="2"/>
    </row>
    <row r="1826" spans="1:1" x14ac:dyDescent="0.25">
      <c r="A1826" s="2"/>
    </row>
    <row r="1827" spans="1:1" x14ac:dyDescent="0.25">
      <c r="A1827" s="2"/>
    </row>
    <row r="1828" spans="1:1" x14ac:dyDescent="0.25">
      <c r="A1828" s="2"/>
    </row>
    <row r="1829" spans="1:1" x14ac:dyDescent="0.25">
      <c r="A1829" s="2"/>
    </row>
    <row r="1830" spans="1:1" x14ac:dyDescent="0.25">
      <c r="A1830" s="2"/>
    </row>
    <row r="1831" spans="1:1" x14ac:dyDescent="0.25">
      <c r="A1831" s="2"/>
    </row>
    <row r="1832" spans="1:1" x14ac:dyDescent="0.25">
      <c r="A1832" s="2"/>
    </row>
    <row r="1833" spans="1:1" x14ac:dyDescent="0.25">
      <c r="A1833" s="2"/>
    </row>
    <row r="1834" spans="1:1" x14ac:dyDescent="0.25">
      <c r="A1834" s="2"/>
    </row>
    <row r="1835" spans="1:1" x14ac:dyDescent="0.25">
      <c r="A1835" s="2"/>
    </row>
    <row r="1836" spans="1:1" x14ac:dyDescent="0.25">
      <c r="A1836" s="2"/>
    </row>
    <row r="1837" spans="1:1" x14ac:dyDescent="0.25">
      <c r="A1837" s="2"/>
    </row>
    <row r="1838" spans="1:1" x14ac:dyDescent="0.25">
      <c r="A1838" s="2"/>
    </row>
    <row r="1839" spans="1:1" x14ac:dyDescent="0.25">
      <c r="A1839" s="2"/>
    </row>
    <row r="1840" spans="1:1" x14ac:dyDescent="0.25">
      <c r="A1840" s="2"/>
    </row>
    <row r="1841" spans="1:1" x14ac:dyDescent="0.25">
      <c r="A1841" s="2"/>
    </row>
    <row r="1842" spans="1:1" x14ac:dyDescent="0.25">
      <c r="A1842" s="2"/>
    </row>
    <row r="1843" spans="1:1" x14ac:dyDescent="0.25">
      <c r="A1843" s="2"/>
    </row>
    <row r="1844" spans="1:1" x14ac:dyDescent="0.25">
      <c r="A1844" s="2"/>
    </row>
    <row r="1845" spans="1:1" x14ac:dyDescent="0.25">
      <c r="A1845" s="2"/>
    </row>
    <row r="1846" spans="1:1" x14ac:dyDescent="0.25">
      <c r="A1846" s="2"/>
    </row>
    <row r="1847" spans="1:1" x14ac:dyDescent="0.25">
      <c r="A1847" s="2"/>
    </row>
    <row r="1848" spans="1:1" x14ac:dyDescent="0.25">
      <c r="A1848" s="2"/>
    </row>
    <row r="1849" spans="1:1" x14ac:dyDescent="0.25">
      <c r="A1849" s="2"/>
    </row>
    <row r="1850" spans="1:1" x14ac:dyDescent="0.25">
      <c r="A1850" s="2"/>
    </row>
    <row r="1851" spans="1:1" x14ac:dyDescent="0.25">
      <c r="A1851" s="2"/>
    </row>
    <row r="1852" spans="1:1" x14ac:dyDescent="0.25">
      <c r="A1852" s="2"/>
    </row>
    <row r="1853" spans="1:1" x14ac:dyDescent="0.25">
      <c r="A1853" s="2"/>
    </row>
    <row r="1854" spans="1:1" x14ac:dyDescent="0.25">
      <c r="A1854" s="2"/>
    </row>
    <row r="1855" spans="1:1" x14ac:dyDescent="0.25">
      <c r="A1855" s="2"/>
    </row>
    <row r="1856" spans="1:1" x14ac:dyDescent="0.25">
      <c r="A1856" s="2"/>
    </row>
    <row r="1857" spans="1:1" x14ac:dyDescent="0.25">
      <c r="A1857" s="2"/>
    </row>
    <row r="1858" spans="1:1" x14ac:dyDescent="0.25">
      <c r="A1858" s="2"/>
    </row>
    <row r="1859" spans="1:1" x14ac:dyDescent="0.25">
      <c r="A1859" s="2"/>
    </row>
    <row r="1860" spans="1:1" x14ac:dyDescent="0.25">
      <c r="A1860" s="2"/>
    </row>
    <row r="1861" spans="1:1" x14ac:dyDescent="0.25">
      <c r="A1861" s="2"/>
    </row>
    <row r="1862" spans="1:1" x14ac:dyDescent="0.25">
      <c r="A1862" s="2"/>
    </row>
    <row r="1863" spans="1:1" x14ac:dyDescent="0.25">
      <c r="A1863" s="2"/>
    </row>
    <row r="1864" spans="1:1" x14ac:dyDescent="0.25">
      <c r="A1864" s="2"/>
    </row>
    <row r="1865" spans="1:1" x14ac:dyDescent="0.25">
      <c r="A1865" s="2"/>
    </row>
    <row r="1866" spans="1:1" x14ac:dyDescent="0.25">
      <c r="A1866" s="2"/>
    </row>
    <row r="1867" spans="1:1" x14ac:dyDescent="0.25">
      <c r="A1867" s="2"/>
    </row>
    <row r="1868" spans="1:1" x14ac:dyDescent="0.25">
      <c r="A1868" s="2"/>
    </row>
    <row r="1869" spans="1:1" x14ac:dyDescent="0.25">
      <c r="A1869" s="2"/>
    </row>
    <row r="1870" spans="1:1" x14ac:dyDescent="0.25">
      <c r="A1870" s="2"/>
    </row>
    <row r="1871" spans="1:1" x14ac:dyDescent="0.25">
      <c r="A1871" s="2"/>
    </row>
    <row r="1872" spans="1:1" x14ac:dyDescent="0.25">
      <c r="A1872" s="2"/>
    </row>
    <row r="1873" spans="1:1" x14ac:dyDescent="0.25">
      <c r="A1873" s="2"/>
    </row>
    <row r="1874" spans="1:1" x14ac:dyDescent="0.25">
      <c r="A1874" s="2"/>
    </row>
    <row r="1875" spans="1:1" x14ac:dyDescent="0.25">
      <c r="A1875" s="2"/>
    </row>
    <row r="1876" spans="1:1" x14ac:dyDescent="0.25">
      <c r="A1876" s="2"/>
    </row>
    <row r="1877" spans="1:1" x14ac:dyDescent="0.25">
      <c r="A1877" s="2"/>
    </row>
    <row r="1878" spans="1:1" x14ac:dyDescent="0.25">
      <c r="A1878" s="2"/>
    </row>
    <row r="1879" spans="1:1" x14ac:dyDescent="0.25">
      <c r="A1879" s="2"/>
    </row>
    <row r="1880" spans="1:1" x14ac:dyDescent="0.25">
      <c r="A1880" s="2"/>
    </row>
    <row r="1881" spans="1:1" x14ac:dyDescent="0.25">
      <c r="A1881" s="2"/>
    </row>
    <row r="1882" spans="1:1" x14ac:dyDescent="0.25">
      <c r="A1882" s="2"/>
    </row>
    <row r="1883" spans="1:1" x14ac:dyDescent="0.25">
      <c r="A1883" s="2"/>
    </row>
    <row r="1884" spans="1:1" x14ac:dyDescent="0.25">
      <c r="A1884" s="2"/>
    </row>
    <row r="1885" spans="1:1" x14ac:dyDescent="0.25">
      <c r="A1885" s="2"/>
    </row>
    <row r="1886" spans="1:1" x14ac:dyDescent="0.25">
      <c r="A1886" s="2"/>
    </row>
    <row r="1887" spans="1:1" x14ac:dyDescent="0.25">
      <c r="A1887" s="2"/>
    </row>
    <row r="1888" spans="1:1" x14ac:dyDescent="0.25">
      <c r="A1888" s="2"/>
    </row>
    <row r="1889" spans="1:1" x14ac:dyDescent="0.25">
      <c r="A1889" s="2"/>
    </row>
    <row r="1890" spans="1:1" x14ac:dyDescent="0.25">
      <c r="A1890" s="2"/>
    </row>
    <row r="1891" spans="1:1" x14ac:dyDescent="0.25">
      <c r="A1891" s="2"/>
    </row>
    <row r="1892" spans="1:1" x14ac:dyDescent="0.25">
      <c r="A1892" s="2"/>
    </row>
    <row r="1893" spans="1:1" x14ac:dyDescent="0.25">
      <c r="A1893" s="2"/>
    </row>
    <row r="1894" spans="1:1" x14ac:dyDescent="0.25">
      <c r="A1894" s="2"/>
    </row>
    <row r="1895" spans="1:1" x14ac:dyDescent="0.25">
      <c r="A1895" s="2"/>
    </row>
    <row r="1896" spans="1:1" x14ac:dyDescent="0.25">
      <c r="A1896" s="2"/>
    </row>
    <row r="1897" spans="1:1" x14ac:dyDescent="0.25">
      <c r="A1897" s="2"/>
    </row>
    <row r="1898" spans="1:1" x14ac:dyDescent="0.25">
      <c r="A1898" s="2"/>
    </row>
    <row r="1899" spans="1:1" x14ac:dyDescent="0.25">
      <c r="A1899" s="2"/>
    </row>
    <row r="1900" spans="1:1" x14ac:dyDescent="0.25">
      <c r="A1900" s="2"/>
    </row>
    <row r="1901" spans="1:1" x14ac:dyDescent="0.25">
      <c r="A1901" s="2"/>
    </row>
    <row r="1902" spans="1:1" x14ac:dyDescent="0.25">
      <c r="A1902" s="2"/>
    </row>
    <row r="1903" spans="1:1" x14ac:dyDescent="0.25">
      <c r="A1903" s="2"/>
    </row>
    <row r="1904" spans="1:1" x14ac:dyDescent="0.25">
      <c r="A1904" s="2"/>
    </row>
    <row r="1905" spans="1:1" x14ac:dyDescent="0.25">
      <c r="A1905" s="2"/>
    </row>
    <row r="1906" spans="1:1" x14ac:dyDescent="0.25">
      <c r="A1906" s="2"/>
    </row>
    <row r="1907" spans="1:1" x14ac:dyDescent="0.25">
      <c r="A1907" s="2"/>
    </row>
    <row r="1908" spans="1:1" x14ac:dyDescent="0.25">
      <c r="A1908" s="2"/>
    </row>
    <row r="1909" spans="1:1" x14ac:dyDescent="0.25">
      <c r="A1909" s="2"/>
    </row>
    <row r="1910" spans="1:1" x14ac:dyDescent="0.25">
      <c r="A1910" s="2"/>
    </row>
    <row r="1911" spans="1:1" x14ac:dyDescent="0.25">
      <c r="A1911" s="2"/>
    </row>
    <row r="1912" spans="1:1" x14ac:dyDescent="0.25">
      <c r="A1912" s="2"/>
    </row>
    <row r="1913" spans="1:1" x14ac:dyDescent="0.25">
      <c r="A1913" s="2"/>
    </row>
    <row r="1914" spans="1:1" x14ac:dyDescent="0.25">
      <c r="A1914" s="2"/>
    </row>
    <row r="1915" spans="1:1" x14ac:dyDescent="0.25">
      <c r="A1915" s="2"/>
    </row>
    <row r="1916" spans="1:1" x14ac:dyDescent="0.25">
      <c r="A1916" s="2"/>
    </row>
    <row r="1917" spans="1:1" x14ac:dyDescent="0.25">
      <c r="A1917" s="2"/>
    </row>
    <row r="1918" spans="1:1" x14ac:dyDescent="0.25">
      <c r="A1918" s="2"/>
    </row>
    <row r="1919" spans="1:1" x14ac:dyDescent="0.25">
      <c r="A1919" s="2"/>
    </row>
    <row r="1920" spans="1:1" x14ac:dyDescent="0.25">
      <c r="A1920" s="2"/>
    </row>
    <row r="1921" spans="1:1" x14ac:dyDescent="0.25">
      <c r="A1921" s="2"/>
    </row>
    <row r="1922" spans="1:1" x14ac:dyDescent="0.25">
      <c r="A1922" s="2"/>
    </row>
    <row r="1923" spans="1:1" x14ac:dyDescent="0.25">
      <c r="A1923" s="2"/>
    </row>
    <row r="1924" spans="1:1" x14ac:dyDescent="0.25">
      <c r="A1924" s="2"/>
    </row>
    <row r="1925" spans="1:1" x14ac:dyDescent="0.25">
      <c r="A1925" s="2"/>
    </row>
    <row r="1926" spans="1:1" x14ac:dyDescent="0.25">
      <c r="A1926" s="2"/>
    </row>
    <row r="1927" spans="1:1" x14ac:dyDescent="0.25">
      <c r="A1927" s="2"/>
    </row>
    <row r="1928" spans="1:1" x14ac:dyDescent="0.25">
      <c r="A1928" s="2"/>
    </row>
    <row r="1929" spans="1:1" x14ac:dyDescent="0.25">
      <c r="A1929" s="2"/>
    </row>
    <row r="1930" spans="1:1" x14ac:dyDescent="0.25">
      <c r="A1930" s="2"/>
    </row>
    <row r="1931" spans="1:1" x14ac:dyDescent="0.25">
      <c r="A1931" s="2"/>
    </row>
    <row r="1932" spans="1:1" x14ac:dyDescent="0.25">
      <c r="A1932" s="2"/>
    </row>
    <row r="1933" spans="1:1" x14ac:dyDescent="0.25">
      <c r="A1933" s="2"/>
    </row>
    <row r="1934" spans="1:1" x14ac:dyDescent="0.25">
      <c r="A1934" s="2"/>
    </row>
    <row r="1935" spans="1:1" x14ac:dyDescent="0.25">
      <c r="A1935" s="2"/>
    </row>
    <row r="1936" spans="1:1" x14ac:dyDescent="0.25">
      <c r="A1936" s="2"/>
    </row>
    <row r="1937" spans="1:1" x14ac:dyDescent="0.25">
      <c r="A1937" s="2"/>
    </row>
    <row r="1938" spans="1:1" x14ac:dyDescent="0.25">
      <c r="A1938" s="2"/>
    </row>
    <row r="1939" spans="1:1" x14ac:dyDescent="0.25">
      <c r="A1939" s="2"/>
    </row>
    <row r="1940" spans="1:1" x14ac:dyDescent="0.25">
      <c r="A1940" s="2"/>
    </row>
    <row r="1941" spans="1:1" x14ac:dyDescent="0.25">
      <c r="A1941" s="2"/>
    </row>
    <row r="1942" spans="1:1" x14ac:dyDescent="0.25">
      <c r="A1942" s="2"/>
    </row>
    <row r="1943" spans="1:1" x14ac:dyDescent="0.25">
      <c r="A1943" s="2"/>
    </row>
    <row r="1944" spans="1:1" x14ac:dyDescent="0.25">
      <c r="A1944" s="2"/>
    </row>
    <row r="1945" spans="1:1" x14ac:dyDescent="0.25">
      <c r="A1945" s="2"/>
    </row>
    <row r="1946" spans="1:1" x14ac:dyDescent="0.25">
      <c r="A1946" s="2"/>
    </row>
    <row r="1947" spans="1:1" x14ac:dyDescent="0.25">
      <c r="A1947" s="2"/>
    </row>
    <row r="1948" spans="1:1" x14ac:dyDescent="0.25">
      <c r="A1948" s="2"/>
    </row>
    <row r="1949" spans="1:1" x14ac:dyDescent="0.25">
      <c r="A1949" s="2"/>
    </row>
    <row r="1950" spans="1:1" x14ac:dyDescent="0.25">
      <c r="A1950" s="2"/>
    </row>
    <row r="1951" spans="1:1" x14ac:dyDescent="0.25">
      <c r="A1951" s="2"/>
    </row>
    <row r="1952" spans="1:1" x14ac:dyDescent="0.25">
      <c r="A1952" s="2"/>
    </row>
    <row r="1953" spans="1:1" x14ac:dyDescent="0.25">
      <c r="A1953" s="2"/>
    </row>
    <row r="1954" spans="1:1" x14ac:dyDescent="0.25">
      <c r="A1954" s="2"/>
    </row>
    <row r="1955" spans="1:1" x14ac:dyDescent="0.25">
      <c r="A1955" s="2"/>
    </row>
    <row r="1956" spans="1:1" x14ac:dyDescent="0.25">
      <c r="A1956" s="2"/>
    </row>
    <row r="1957" spans="1:1" x14ac:dyDescent="0.25">
      <c r="A1957" s="2"/>
    </row>
    <row r="1958" spans="1:1" x14ac:dyDescent="0.25">
      <c r="A1958" s="2"/>
    </row>
    <row r="1959" spans="1:1" x14ac:dyDescent="0.25">
      <c r="A1959" s="2"/>
    </row>
    <row r="1960" spans="1:1" x14ac:dyDescent="0.25">
      <c r="A1960" s="2"/>
    </row>
    <row r="1961" spans="1:1" x14ac:dyDescent="0.25">
      <c r="A1961" s="2"/>
    </row>
    <row r="1962" spans="1:1" x14ac:dyDescent="0.25">
      <c r="A1962" s="2"/>
    </row>
    <row r="1963" spans="1:1" x14ac:dyDescent="0.25">
      <c r="A1963" s="2"/>
    </row>
    <row r="1964" spans="1:1" x14ac:dyDescent="0.25">
      <c r="A1964" s="2"/>
    </row>
    <row r="1965" spans="1:1" x14ac:dyDescent="0.25">
      <c r="A1965" s="2"/>
    </row>
    <row r="1966" spans="1:1" x14ac:dyDescent="0.25">
      <c r="A1966" s="2"/>
    </row>
    <row r="1967" spans="1:1" x14ac:dyDescent="0.25">
      <c r="A1967" s="2"/>
    </row>
    <row r="1968" spans="1:1" x14ac:dyDescent="0.25">
      <c r="A1968" s="2"/>
    </row>
    <row r="1969" spans="1:1" x14ac:dyDescent="0.25">
      <c r="A1969" s="2"/>
    </row>
    <row r="1970" spans="1:1" x14ac:dyDescent="0.25">
      <c r="A1970" s="2"/>
    </row>
    <row r="1971" spans="1:1" x14ac:dyDescent="0.25">
      <c r="A1971" s="2"/>
    </row>
    <row r="1972" spans="1:1" x14ac:dyDescent="0.25">
      <c r="A1972" s="2"/>
    </row>
    <row r="1973" spans="1:1" x14ac:dyDescent="0.25">
      <c r="A1973" s="2"/>
    </row>
    <row r="1974" spans="1:1" x14ac:dyDescent="0.25">
      <c r="A1974" s="2"/>
    </row>
    <row r="1975" spans="1:1" x14ac:dyDescent="0.25">
      <c r="A1975" s="2"/>
    </row>
    <row r="1976" spans="1:1" x14ac:dyDescent="0.25">
      <c r="A1976" s="2"/>
    </row>
    <row r="1977" spans="1:1" x14ac:dyDescent="0.25">
      <c r="A1977" s="2"/>
    </row>
    <row r="1978" spans="1:1" x14ac:dyDescent="0.25">
      <c r="A1978" s="2"/>
    </row>
    <row r="1979" spans="1:1" x14ac:dyDescent="0.25">
      <c r="A1979" s="2"/>
    </row>
    <row r="1980" spans="1:1" x14ac:dyDescent="0.25">
      <c r="A1980" s="2"/>
    </row>
    <row r="1981" spans="1:1" x14ac:dyDescent="0.25">
      <c r="A1981" s="2"/>
    </row>
    <row r="1982" spans="1:1" x14ac:dyDescent="0.25">
      <c r="A1982" s="2"/>
    </row>
    <row r="1983" spans="1:1" x14ac:dyDescent="0.25">
      <c r="A1983" s="2"/>
    </row>
    <row r="1984" spans="1:1" x14ac:dyDescent="0.25">
      <c r="A1984" s="2"/>
    </row>
    <row r="1985" spans="1:1" x14ac:dyDescent="0.25">
      <c r="A1985" s="2"/>
    </row>
    <row r="1986" spans="1:1" x14ac:dyDescent="0.25">
      <c r="A1986" s="2"/>
    </row>
    <row r="1987" spans="1:1" x14ac:dyDescent="0.25">
      <c r="A1987" s="2"/>
    </row>
    <row r="1988" spans="1:1" x14ac:dyDescent="0.25">
      <c r="A1988" s="2"/>
    </row>
    <row r="1989" spans="1:1" x14ac:dyDescent="0.25">
      <c r="A1989" s="2"/>
    </row>
    <row r="1990" spans="1:1" x14ac:dyDescent="0.25">
      <c r="A1990" s="2"/>
    </row>
    <row r="1991" spans="1:1" x14ac:dyDescent="0.25">
      <c r="A1991" s="2"/>
    </row>
    <row r="1992" spans="1:1" x14ac:dyDescent="0.25">
      <c r="A1992" s="2"/>
    </row>
    <row r="1993" spans="1:1" x14ac:dyDescent="0.25">
      <c r="A1993" s="2"/>
    </row>
    <row r="1994" spans="1:1" x14ac:dyDescent="0.25">
      <c r="A1994" s="2"/>
    </row>
    <row r="1995" spans="1:1" x14ac:dyDescent="0.25">
      <c r="A1995" s="2"/>
    </row>
    <row r="1996" spans="1:1" x14ac:dyDescent="0.25">
      <c r="A1996" s="2"/>
    </row>
    <row r="1997" spans="1:1" x14ac:dyDescent="0.25">
      <c r="A1997" s="2"/>
    </row>
    <row r="1998" spans="1:1" x14ac:dyDescent="0.25">
      <c r="A1998" s="2"/>
    </row>
    <row r="1999" spans="1:1" x14ac:dyDescent="0.25">
      <c r="A1999" s="2"/>
    </row>
    <row r="2000" spans="1:1" x14ac:dyDescent="0.25">
      <c r="A2000" s="2"/>
    </row>
    <row r="2001" spans="1:1" x14ac:dyDescent="0.25">
      <c r="A2001" s="2"/>
    </row>
    <row r="2002" spans="1:1" x14ac:dyDescent="0.25">
      <c r="A2002" s="2"/>
    </row>
    <row r="2003" spans="1:1" x14ac:dyDescent="0.25">
      <c r="A2003" s="2"/>
    </row>
    <row r="2004" spans="1:1" x14ac:dyDescent="0.25">
      <c r="A2004" s="2"/>
    </row>
    <row r="2005" spans="1:1" x14ac:dyDescent="0.25">
      <c r="A2005" s="2"/>
    </row>
    <row r="2006" spans="1:1" x14ac:dyDescent="0.25">
      <c r="A2006" s="2"/>
    </row>
    <row r="2007" spans="1:1" x14ac:dyDescent="0.25">
      <c r="A2007" s="2"/>
    </row>
    <row r="2008" spans="1:1" x14ac:dyDescent="0.25">
      <c r="A2008" s="2"/>
    </row>
    <row r="2009" spans="1:1" x14ac:dyDescent="0.25">
      <c r="A2009" s="2"/>
    </row>
    <row r="2010" spans="1:1" x14ac:dyDescent="0.25">
      <c r="A2010" s="2"/>
    </row>
    <row r="2011" spans="1:1" x14ac:dyDescent="0.25">
      <c r="A2011" s="2"/>
    </row>
    <row r="2012" spans="1:1" x14ac:dyDescent="0.25">
      <c r="A2012" s="2"/>
    </row>
    <row r="2013" spans="1:1" x14ac:dyDescent="0.25">
      <c r="A2013" s="2"/>
    </row>
    <row r="2014" spans="1:1" x14ac:dyDescent="0.25">
      <c r="A2014" s="2"/>
    </row>
    <row r="2015" spans="1:1" x14ac:dyDescent="0.25">
      <c r="A2015" s="2"/>
    </row>
    <row r="2016" spans="1:1" x14ac:dyDescent="0.25">
      <c r="A2016" s="2"/>
    </row>
    <row r="2017" spans="1:1" x14ac:dyDescent="0.25">
      <c r="A2017" s="2"/>
    </row>
    <row r="2018" spans="1:1" x14ac:dyDescent="0.25">
      <c r="A2018" s="2"/>
    </row>
    <row r="2019" spans="1:1" x14ac:dyDescent="0.25">
      <c r="A2019" s="2"/>
    </row>
    <row r="2020" spans="1:1" x14ac:dyDescent="0.25">
      <c r="A2020" s="2"/>
    </row>
    <row r="2021" spans="1:1" x14ac:dyDescent="0.25">
      <c r="A2021" s="2"/>
    </row>
    <row r="2022" spans="1:1" x14ac:dyDescent="0.25">
      <c r="A2022" s="2"/>
    </row>
    <row r="2023" spans="1:1" x14ac:dyDescent="0.25">
      <c r="A2023" s="2"/>
    </row>
    <row r="2024" spans="1:1" x14ac:dyDescent="0.25">
      <c r="A2024" s="2"/>
    </row>
    <row r="2025" spans="1:1" x14ac:dyDescent="0.25">
      <c r="A2025" s="2"/>
    </row>
    <row r="2026" spans="1:1" x14ac:dyDescent="0.25">
      <c r="A2026" s="2"/>
    </row>
    <row r="2027" spans="1:1" x14ac:dyDescent="0.25">
      <c r="A2027" s="2"/>
    </row>
    <row r="2028" spans="1:1" x14ac:dyDescent="0.25">
      <c r="A2028" s="2"/>
    </row>
    <row r="2029" spans="1:1" x14ac:dyDescent="0.25">
      <c r="A2029" s="2"/>
    </row>
    <row r="2030" spans="1:1" x14ac:dyDescent="0.25">
      <c r="A2030" s="2"/>
    </row>
    <row r="2031" spans="1:1" x14ac:dyDescent="0.25">
      <c r="A2031" s="2"/>
    </row>
    <row r="2032" spans="1:1" x14ac:dyDescent="0.25">
      <c r="A2032" s="2"/>
    </row>
    <row r="2033" spans="1:1" x14ac:dyDescent="0.25">
      <c r="A2033" s="2"/>
    </row>
    <row r="2034" spans="1:1" x14ac:dyDescent="0.25">
      <c r="A2034" s="2"/>
    </row>
    <row r="2035" spans="1:1" x14ac:dyDescent="0.25">
      <c r="A2035" s="2"/>
    </row>
    <row r="2036" spans="1:1" x14ac:dyDescent="0.25">
      <c r="A2036" s="2"/>
    </row>
    <row r="2037" spans="1:1" x14ac:dyDescent="0.25">
      <c r="A2037" s="2"/>
    </row>
    <row r="2038" spans="1:1" x14ac:dyDescent="0.25">
      <c r="A2038" s="2"/>
    </row>
    <row r="2039" spans="1:1" x14ac:dyDescent="0.25">
      <c r="A2039" s="2"/>
    </row>
    <row r="2040" spans="1:1" x14ac:dyDescent="0.25">
      <c r="A2040" s="2"/>
    </row>
    <row r="2041" spans="1:1" x14ac:dyDescent="0.25">
      <c r="A2041" s="2"/>
    </row>
    <row r="2042" spans="1:1" x14ac:dyDescent="0.25">
      <c r="A2042" s="2"/>
    </row>
    <row r="2043" spans="1:1" x14ac:dyDescent="0.25">
      <c r="A2043" s="2"/>
    </row>
    <row r="2044" spans="1:1" x14ac:dyDescent="0.25">
      <c r="A2044" s="2"/>
    </row>
    <row r="2045" spans="1:1" x14ac:dyDescent="0.25">
      <c r="A2045" s="2"/>
    </row>
    <row r="2046" spans="1:1" x14ac:dyDescent="0.25">
      <c r="A2046" s="2"/>
    </row>
    <row r="2047" spans="1:1" x14ac:dyDescent="0.25">
      <c r="A2047" s="2"/>
    </row>
    <row r="2048" spans="1:1" x14ac:dyDescent="0.25">
      <c r="A2048" s="2"/>
    </row>
    <row r="2049" spans="1:1" x14ac:dyDescent="0.25">
      <c r="A2049" s="2"/>
    </row>
    <row r="2050" spans="1:1" x14ac:dyDescent="0.25">
      <c r="A2050" s="2"/>
    </row>
    <row r="2051" spans="1:1" x14ac:dyDescent="0.25">
      <c r="A2051" s="2"/>
    </row>
    <row r="2052" spans="1:1" x14ac:dyDescent="0.25">
      <c r="A2052" s="2"/>
    </row>
    <row r="2053" spans="1:1" x14ac:dyDescent="0.25">
      <c r="A2053" s="2"/>
    </row>
    <row r="2054" spans="1:1" x14ac:dyDescent="0.25">
      <c r="A2054" s="2"/>
    </row>
    <row r="2055" spans="1:1" x14ac:dyDescent="0.25">
      <c r="A2055" s="2"/>
    </row>
    <row r="2056" spans="1:1" x14ac:dyDescent="0.25">
      <c r="A2056" s="2"/>
    </row>
    <row r="2057" spans="1:1" x14ac:dyDescent="0.25">
      <c r="A2057" s="2"/>
    </row>
    <row r="2058" spans="1:1" x14ac:dyDescent="0.25">
      <c r="A2058" s="2"/>
    </row>
    <row r="2059" spans="1:1" x14ac:dyDescent="0.25">
      <c r="A2059" s="2"/>
    </row>
    <row r="2060" spans="1:1" x14ac:dyDescent="0.25">
      <c r="A2060" s="2"/>
    </row>
    <row r="2061" spans="1:1" x14ac:dyDescent="0.25">
      <c r="A2061" s="2"/>
    </row>
    <row r="2062" spans="1:1" x14ac:dyDescent="0.25">
      <c r="A2062" s="2"/>
    </row>
    <row r="2063" spans="1:1" x14ac:dyDescent="0.25">
      <c r="A2063" s="2"/>
    </row>
    <row r="2064" spans="1:1" x14ac:dyDescent="0.25">
      <c r="A2064" s="2"/>
    </row>
    <row r="2065" spans="1:1" x14ac:dyDescent="0.25">
      <c r="A2065" s="2"/>
    </row>
    <row r="2066" spans="1:1" x14ac:dyDescent="0.25">
      <c r="A2066" s="2"/>
    </row>
    <row r="2067" spans="1:1" x14ac:dyDescent="0.25">
      <c r="A2067" s="2"/>
    </row>
    <row r="2068" spans="1:1" x14ac:dyDescent="0.25">
      <c r="A2068" s="2"/>
    </row>
    <row r="2069" spans="1:1" x14ac:dyDescent="0.25">
      <c r="A2069" s="2"/>
    </row>
    <row r="2070" spans="1:1" x14ac:dyDescent="0.25">
      <c r="A2070" s="2"/>
    </row>
    <row r="2071" spans="1:1" x14ac:dyDescent="0.25">
      <c r="A2071" s="2"/>
    </row>
    <row r="2072" spans="1:1" x14ac:dyDescent="0.25">
      <c r="A2072" s="2"/>
    </row>
    <row r="2073" spans="1:1" x14ac:dyDescent="0.25">
      <c r="A2073" s="2"/>
    </row>
    <row r="2074" spans="1:1" x14ac:dyDescent="0.25">
      <c r="A2074" s="2"/>
    </row>
    <row r="2075" spans="1:1" x14ac:dyDescent="0.25">
      <c r="A2075" s="2"/>
    </row>
    <row r="2076" spans="1:1" x14ac:dyDescent="0.25">
      <c r="A2076" s="2"/>
    </row>
    <row r="2077" spans="1:1" x14ac:dyDescent="0.25">
      <c r="A2077" s="2"/>
    </row>
    <row r="2078" spans="1:1" x14ac:dyDescent="0.25">
      <c r="A2078" s="2"/>
    </row>
    <row r="2079" spans="1:1" x14ac:dyDescent="0.25">
      <c r="A2079" s="2"/>
    </row>
    <row r="2080" spans="1:1" x14ac:dyDescent="0.25">
      <c r="A2080" s="2"/>
    </row>
    <row r="2081" spans="1:1" x14ac:dyDescent="0.25">
      <c r="A2081" s="2"/>
    </row>
    <row r="2082" spans="1:1" x14ac:dyDescent="0.25">
      <c r="A2082" s="2"/>
    </row>
    <row r="2083" spans="1:1" x14ac:dyDescent="0.25">
      <c r="A2083" s="2"/>
    </row>
    <row r="2084" spans="1:1" x14ac:dyDescent="0.25">
      <c r="A2084" s="2"/>
    </row>
    <row r="2085" spans="1:1" x14ac:dyDescent="0.25">
      <c r="A2085" s="2"/>
    </row>
    <row r="2086" spans="1:1" x14ac:dyDescent="0.25">
      <c r="A2086" s="2"/>
    </row>
    <row r="2087" spans="1:1" x14ac:dyDescent="0.25">
      <c r="A2087" s="2"/>
    </row>
    <row r="2088" spans="1:1" x14ac:dyDescent="0.25">
      <c r="A2088" s="2"/>
    </row>
    <row r="2089" spans="1:1" x14ac:dyDescent="0.25">
      <c r="A2089" s="2"/>
    </row>
    <row r="2090" spans="1:1" x14ac:dyDescent="0.25">
      <c r="A2090" s="2"/>
    </row>
    <row r="2091" spans="1:1" x14ac:dyDescent="0.25">
      <c r="A2091" s="2"/>
    </row>
    <row r="2092" spans="1:1" x14ac:dyDescent="0.25">
      <c r="A2092" s="2"/>
    </row>
    <row r="2093" spans="1:1" x14ac:dyDescent="0.25">
      <c r="A2093" s="2"/>
    </row>
    <row r="2094" spans="1:1" x14ac:dyDescent="0.25">
      <c r="A2094" s="2"/>
    </row>
    <row r="2095" spans="1:1" x14ac:dyDescent="0.25">
      <c r="A2095" s="2"/>
    </row>
    <row r="2096" spans="1:1" x14ac:dyDescent="0.25">
      <c r="A2096" s="2"/>
    </row>
    <row r="2097" spans="1:1" x14ac:dyDescent="0.25">
      <c r="A2097" s="2"/>
    </row>
    <row r="2098" spans="1:1" x14ac:dyDescent="0.25">
      <c r="A2098" s="2"/>
    </row>
    <row r="2099" spans="1:1" x14ac:dyDescent="0.25">
      <c r="A2099" s="2"/>
    </row>
    <row r="2100" spans="1:1" x14ac:dyDescent="0.25">
      <c r="A2100" s="2"/>
    </row>
    <row r="2101" spans="1:1" x14ac:dyDescent="0.25">
      <c r="A2101" s="2"/>
    </row>
    <row r="2102" spans="1:1" x14ac:dyDescent="0.25">
      <c r="A2102" s="2"/>
    </row>
    <row r="2103" spans="1:1" x14ac:dyDescent="0.25">
      <c r="A2103" s="2"/>
    </row>
    <row r="2104" spans="1:1" x14ac:dyDescent="0.25">
      <c r="A2104" s="2"/>
    </row>
    <row r="2105" spans="1:1" x14ac:dyDescent="0.25">
      <c r="A2105" s="2"/>
    </row>
    <row r="2106" spans="1:1" x14ac:dyDescent="0.25">
      <c r="A2106" s="2"/>
    </row>
    <row r="2107" spans="1:1" x14ac:dyDescent="0.25">
      <c r="A2107" s="2"/>
    </row>
    <row r="2108" spans="1:1" x14ac:dyDescent="0.25">
      <c r="A2108" s="2"/>
    </row>
    <row r="2109" spans="1:1" x14ac:dyDescent="0.25">
      <c r="A2109" s="2"/>
    </row>
    <row r="2110" spans="1:1" x14ac:dyDescent="0.25">
      <c r="A2110" s="2"/>
    </row>
    <row r="2111" spans="1:1" x14ac:dyDescent="0.25">
      <c r="A2111" s="2"/>
    </row>
    <row r="2112" spans="1:1" x14ac:dyDescent="0.25">
      <c r="A2112" s="2"/>
    </row>
    <row r="2113" spans="1:1" x14ac:dyDescent="0.25">
      <c r="A2113" s="2"/>
    </row>
    <row r="2114" spans="1:1" x14ac:dyDescent="0.25">
      <c r="A2114" s="2"/>
    </row>
    <row r="2115" spans="1:1" x14ac:dyDescent="0.25">
      <c r="A2115" s="2"/>
    </row>
    <row r="2116" spans="1:1" x14ac:dyDescent="0.25">
      <c r="A2116" s="2"/>
    </row>
    <row r="2117" spans="1:1" x14ac:dyDescent="0.25">
      <c r="A2117" s="2"/>
    </row>
    <row r="2118" spans="1:1" x14ac:dyDescent="0.25">
      <c r="A2118" s="2"/>
    </row>
    <row r="2119" spans="1:1" x14ac:dyDescent="0.25">
      <c r="A2119" s="2"/>
    </row>
    <row r="2120" spans="1:1" x14ac:dyDescent="0.25">
      <c r="A2120" s="2"/>
    </row>
    <row r="2121" spans="1:1" x14ac:dyDescent="0.25">
      <c r="A2121" s="2"/>
    </row>
    <row r="2122" spans="1:1" x14ac:dyDescent="0.25">
      <c r="A2122" s="2"/>
    </row>
    <row r="2123" spans="1:1" x14ac:dyDescent="0.25">
      <c r="A2123" s="2"/>
    </row>
    <row r="2124" spans="1:1" x14ac:dyDescent="0.25">
      <c r="A2124" s="2"/>
    </row>
    <row r="2125" spans="1:1" x14ac:dyDescent="0.25">
      <c r="A2125" s="2"/>
    </row>
    <row r="2126" spans="1:1" x14ac:dyDescent="0.25">
      <c r="A2126" s="2"/>
    </row>
    <row r="2127" spans="1:1" x14ac:dyDescent="0.25">
      <c r="A2127" s="2"/>
    </row>
    <row r="2128" spans="1:1" x14ac:dyDescent="0.25">
      <c r="A2128" s="2"/>
    </row>
    <row r="2129" spans="1:1" x14ac:dyDescent="0.25">
      <c r="A2129" s="2"/>
    </row>
    <row r="2130" spans="1:1" x14ac:dyDescent="0.25">
      <c r="A2130" s="2"/>
    </row>
    <row r="2131" spans="1:1" x14ac:dyDescent="0.25">
      <c r="A2131" s="2"/>
    </row>
    <row r="2132" spans="1:1" x14ac:dyDescent="0.25">
      <c r="A2132" s="2"/>
    </row>
    <row r="2133" spans="1:1" x14ac:dyDescent="0.25">
      <c r="A2133" s="2"/>
    </row>
    <row r="2134" spans="1:1" x14ac:dyDescent="0.25">
      <c r="A2134" s="2"/>
    </row>
    <row r="2135" spans="1:1" x14ac:dyDescent="0.25">
      <c r="A2135" s="2"/>
    </row>
    <row r="2136" spans="1:1" x14ac:dyDescent="0.25">
      <c r="A2136" s="2"/>
    </row>
    <row r="2137" spans="1:1" x14ac:dyDescent="0.25">
      <c r="A2137" s="2"/>
    </row>
    <row r="2138" spans="1:1" x14ac:dyDescent="0.25">
      <c r="A2138" s="2"/>
    </row>
    <row r="2139" spans="1:1" x14ac:dyDescent="0.25">
      <c r="A2139" s="2"/>
    </row>
    <row r="2140" spans="1:1" x14ac:dyDescent="0.25">
      <c r="A2140" s="2"/>
    </row>
    <row r="2141" spans="1:1" x14ac:dyDescent="0.25">
      <c r="A2141" s="2"/>
    </row>
    <row r="2142" spans="1:1" x14ac:dyDescent="0.25">
      <c r="A2142" s="2"/>
    </row>
    <row r="2143" spans="1:1" x14ac:dyDescent="0.25">
      <c r="A2143" s="2"/>
    </row>
    <row r="2144" spans="1:1" x14ac:dyDescent="0.25">
      <c r="A2144" s="2"/>
    </row>
    <row r="2145" spans="1:1" x14ac:dyDescent="0.25">
      <c r="A2145" s="2"/>
    </row>
    <row r="2146" spans="1:1" x14ac:dyDescent="0.25">
      <c r="A2146" s="2"/>
    </row>
    <row r="2147" spans="1:1" x14ac:dyDescent="0.25">
      <c r="A2147" s="2"/>
    </row>
    <row r="2148" spans="1:1" x14ac:dyDescent="0.25">
      <c r="A2148" s="2"/>
    </row>
    <row r="2149" spans="1:1" x14ac:dyDescent="0.25">
      <c r="A2149" s="2"/>
    </row>
    <row r="2150" spans="1:1" x14ac:dyDescent="0.25">
      <c r="A2150" s="2"/>
    </row>
    <row r="2151" spans="1:1" x14ac:dyDescent="0.25">
      <c r="A2151" s="2"/>
    </row>
    <row r="2152" spans="1:1" x14ac:dyDescent="0.25">
      <c r="A2152" s="2"/>
    </row>
    <row r="2153" spans="1:1" x14ac:dyDescent="0.25">
      <c r="A2153" s="2"/>
    </row>
    <row r="2154" spans="1:1" x14ac:dyDescent="0.25">
      <c r="A2154" s="2"/>
    </row>
    <row r="2155" spans="1:1" x14ac:dyDescent="0.25">
      <c r="A2155" s="2"/>
    </row>
    <row r="2156" spans="1:1" x14ac:dyDescent="0.25">
      <c r="A2156" s="2"/>
    </row>
    <row r="2157" spans="1:1" x14ac:dyDescent="0.25">
      <c r="A2157" s="2"/>
    </row>
    <row r="2158" spans="1:1" x14ac:dyDescent="0.25">
      <c r="A2158" s="2"/>
    </row>
    <row r="2159" spans="1:1" x14ac:dyDescent="0.25">
      <c r="A2159" s="2"/>
    </row>
    <row r="2160" spans="1:1" x14ac:dyDescent="0.25">
      <c r="A2160" s="2"/>
    </row>
    <row r="2161" spans="1:1" x14ac:dyDescent="0.25">
      <c r="A2161" s="2"/>
    </row>
    <row r="2162" spans="1:1" x14ac:dyDescent="0.25">
      <c r="A2162" s="2"/>
    </row>
    <row r="2163" spans="1:1" x14ac:dyDescent="0.25">
      <c r="A2163" s="2"/>
    </row>
    <row r="2164" spans="1:1" x14ac:dyDescent="0.25">
      <c r="A2164" s="2"/>
    </row>
    <row r="2165" spans="1:1" x14ac:dyDescent="0.25">
      <c r="A2165" s="2"/>
    </row>
    <row r="2166" spans="1:1" x14ac:dyDescent="0.25">
      <c r="A2166" s="2"/>
    </row>
    <row r="2167" spans="1:1" x14ac:dyDescent="0.25">
      <c r="A2167" s="2"/>
    </row>
    <row r="2168" spans="1:1" x14ac:dyDescent="0.25">
      <c r="A2168" s="2"/>
    </row>
    <row r="2169" spans="1:1" x14ac:dyDescent="0.25">
      <c r="A2169" s="2"/>
    </row>
    <row r="2170" spans="1:1" x14ac:dyDescent="0.25">
      <c r="A2170" s="2"/>
    </row>
    <row r="2171" spans="1:1" x14ac:dyDescent="0.25">
      <c r="A2171" s="2"/>
    </row>
    <row r="2172" spans="1:1" x14ac:dyDescent="0.25">
      <c r="A2172" s="2"/>
    </row>
    <row r="2173" spans="1:1" x14ac:dyDescent="0.25">
      <c r="A2173" s="2"/>
    </row>
    <row r="2174" spans="1:1" x14ac:dyDescent="0.25">
      <c r="A2174" s="2"/>
    </row>
    <row r="2175" spans="1:1" x14ac:dyDescent="0.25">
      <c r="A2175" s="2"/>
    </row>
    <row r="2176" spans="1:1" x14ac:dyDescent="0.25">
      <c r="A2176" s="2"/>
    </row>
    <row r="2177" spans="1:1" x14ac:dyDescent="0.25">
      <c r="A2177" s="2"/>
    </row>
    <row r="2178" spans="1:1" x14ac:dyDescent="0.25">
      <c r="A2178" s="2"/>
    </row>
    <row r="2179" spans="1:1" x14ac:dyDescent="0.25">
      <c r="A2179" s="2"/>
    </row>
    <row r="2180" spans="1:1" x14ac:dyDescent="0.25">
      <c r="A2180" s="2"/>
    </row>
    <row r="2181" spans="1:1" x14ac:dyDescent="0.25">
      <c r="A2181" s="2"/>
    </row>
    <row r="2182" spans="1:1" x14ac:dyDescent="0.25">
      <c r="A2182" s="2"/>
    </row>
    <row r="2183" spans="1:1" x14ac:dyDescent="0.25">
      <c r="A2183" s="2"/>
    </row>
    <row r="2184" spans="1:1" x14ac:dyDescent="0.25">
      <c r="A2184" s="2"/>
    </row>
    <row r="2185" spans="1:1" x14ac:dyDescent="0.25">
      <c r="A2185" s="2"/>
    </row>
    <row r="2186" spans="1:1" x14ac:dyDescent="0.25">
      <c r="A2186" s="2"/>
    </row>
    <row r="2187" spans="1:1" x14ac:dyDescent="0.25">
      <c r="A2187" s="2"/>
    </row>
    <row r="2188" spans="1:1" x14ac:dyDescent="0.25">
      <c r="A2188" s="2"/>
    </row>
    <row r="2189" spans="1:1" x14ac:dyDescent="0.25">
      <c r="A2189" s="2"/>
    </row>
    <row r="2190" spans="1:1" x14ac:dyDescent="0.25">
      <c r="A2190" s="2"/>
    </row>
    <row r="2191" spans="1:1" x14ac:dyDescent="0.25">
      <c r="A2191" s="2"/>
    </row>
    <row r="2192" spans="1:1" x14ac:dyDescent="0.25">
      <c r="A2192" s="2"/>
    </row>
    <row r="2193" spans="1:1" x14ac:dyDescent="0.25">
      <c r="A2193" s="2"/>
    </row>
    <row r="2194" spans="1:1" x14ac:dyDescent="0.25">
      <c r="A2194" s="2"/>
    </row>
    <row r="2195" spans="1:1" x14ac:dyDescent="0.25">
      <c r="A2195" s="2"/>
    </row>
    <row r="2196" spans="1:1" x14ac:dyDescent="0.25">
      <c r="A2196" s="2"/>
    </row>
    <row r="2197" spans="1:1" x14ac:dyDescent="0.25">
      <c r="A2197" s="2"/>
    </row>
    <row r="2198" spans="1:1" x14ac:dyDescent="0.25">
      <c r="A2198" s="2"/>
    </row>
    <row r="2199" spans="1:1" x14ac:dyDescent="0.25">
      <c r="A2199" s="2"/>
    </row>
    <row r="2200" spans="1:1" x14ac:dyDescent="0.25">
      <c r="A2200" s="2"/>
    </row>
    <row r="2201" spans="1:1" x14ac:dyDescent="0.25">
      <c r="A2201" s="2"/>
    </row>
    <row r="2202" spans="1:1" x14ac:dyDescent="0.25">
      <c r="A2202" s="2"/>
    </row>
    <row r="2203" spans="1:1" x14ac:dyDescent="0.25">
      <c r="A2203" s="2"/>
    </row>
    <row r="2204" spans="1:1" x14ac:dyDescent="0.25">
      <c r="A2204" s="2"/>
    </row>
    <row r="2205" spans="1:1" x14ac:dyDescent="0.25">
      <c r="A2205" s="2"/>
    </row>
    <row r="2206" spans="1:1" x14ac:dyDescent="0.25">
      <c r="A2206" s="2"/>
    </row>
    <row r="2207" spans="1:1" x14ac:dyDescent="0.25">
      <c r="A2207" s="2"/>
    </row>
    <row r="2208" spans="1:1" x14ac:dyDescent="0.25">
      <c r="A2208" s="2"/>
    </row>
    <row r="2209" spans="1:1" x14ac:dyDescent="0.25">
      <c r="A2209" s="2"/>
    </row>
    <row r="2210" spans="1:1" x14ac:dyDescent="0.25">
      <c r="A2210" s="2"/>
    </row>
    <row r="2211" spans="1:1" x14ac:dyDescent="0.25">
      <c r="A2211" s="2"/>
    </row>
    <row r="2212" spans="1:1" x14ac:dyDescent="0.25">
      <c r="A2212" s="2"/>
    </row>
    <row r="2213" spans="1:1" x14ac:dyDescent="0.25">
      <c r="A2213" s="2"/>
    </row>
    <row r="2214" spans="1:1" x14ac:dyDescent="0.25">
      <c r="A2214" s="2"/>
    </row>
    <row r="2215" spans="1:1" x14ac:dyDescent="0.25">
      <c r="A2215" s="2"/>
    </row>
    <row r="2216" spans="1:1" x14ac:dyDescent="0.25">
      <c r="A2216" s="2"/>
    </row>
    <row r="2217" spans="1:1" x14ac:dyDescent="0.25">
      <c r="A2217" s="2"/>
    </row>
    <row r="2218" spans="1:1" x14ac:dyDescent="0.25">
      <c r="A2218" s="2"/>
    </row>
    <row r="2219" spans="1:1" x14ac:dyDescent="0.25">
      <c r="A2219" s="2"/>
    </row>
    <row r="2220" spans="1:1" x14ac:dyDescent="0.25">
      <c r="A2220" s="2"/>
    </row>
    <row r="2221" spans="1:1" x14ac:dyDescent="0.25">
      <c r="A2221" s="2"/>
    </row>
    <row r="2222" spans="1:1" x14ac:dyDescent="0.25">
      <c r="A2222" s="2"/>
    </row>
    <row r="2223" spans="1:1" x14ac:dyDescent="0.25">
      <c r="A2223" s="2"/>
    </row>
    <row r="2224" spans="1:1" x14ac:dyDescent="0.25">
      <c r="A2224" s="2"/>
    </row>
    <row r="2225" spans="1:1" x14ac:dyDescent="0.25">
      <c r="A2225" s="2"/>
    </row>
    <row r="2226" spans="1:1" x14ac:dyDescent="0.25">
      <c r="A2226" s="2"/>
    </row>
    <row r="2227" spans="1:1" x14ac:dyDescent="0.25">
      <c r="A2227" s="2"/>
    </row>
    <row r="2228" spans="1:1" x14ac:dyDescent="0.25">
      <c r="A2228" s="2"/>
    </row>
    <row r="2229" spans="1:1" x14ac:dyDescent="0.25">
      <c r="A2229" s="2"/>
    </row>
    <row r="2230" spans="1:1" x14ac:dyDescent="0.25">
      <c r="A2230" s="2"/>
    </row>
    <row r="2231" spans="1:1" x14ac:dyDescent="0.25">
      <c r="A2231" s="2"/>
    </row>
    <row r="2232" spans="1:1" x14ac:dyDescent="0.25">
      <c r="A2232" s="2"/>
    </row>
    <row r="2233" spans="1:1" x14ac:dyDescent="0.25">
      <c r="A2233" s="2"/>
    </row>
    <row r="2234" spans="1:1" x14ac:dyDescent="0.25">
      <c r="A2234" s="2"/>
    </row>
    <row r="2235" spans="1:1" x14ac:dyDescent="0.25">
      <c r="A2235" s="2"/>
    </row>
    <row r="2236" spans="1:1" x14ac:dyDescent="0.25">
      <c r="A2236" s="2"/>
    </row>
    <row r="2237" spans="1:1" x14ac:dyDescent="0.25">
      <c r="A2237" s="2"/>
    </row>
    <row r="2238" spans="1:1" x14ac:dyDescent="0.25">
      <c r="A2238" s="2"/>
    </row>
    <row r="2239" spans="1:1" x14ac:dyDescent="0.25">
      <c r="A2239" s="2"/>
    </row>
    <row r="2240" spans="1:1" x14ac:dyDescent="0.25">
      <c r="A2240" s="2"/>
    </row>
    <row r="2241" spans="1:1" x14ac:dyDescent="0.25">
      <c r="A2241" s="2"/>
    </row>
    <row r="2242" spans="1:1" x14ac:dyDescent="0.25">
      <c r="A2242" s="2"/>
    </row>
    <row r="2243" spans="1:1" x14ac:dyDescent="0.25">
      <c r="A2243" s="2"/>
    </row>
    <row r="2244" spans="1:1" x14ac:dyDescent="0.25">
      <c r="A2244" s="2"/>
    </row>
    <row r="2245" spans="1:1" x14ac:dyDescent="0.25">
      <c r="A2245" s="2"/>
    </row>
    <row r="2246" spans="1:1" x14ac:dyDescent="0.25">
      <c r="A2246" s="2"/>
    </row>
    <row r="2247" spans="1:1" x14ac:dyDescent="0.25">
      <c r="A2247" s="2"/>
    </row>
    <row r="2248" spans="1:1" x14ac:dyDescent="0.25">
      <c r="A2248" s="2"/>
    </row>
    <row r="2249" spans="1:1" x14ac:dyDescent="0.25">
      <c r="A2249" s="2"/>
    </row>
    <row r="2250" spans="1:1" x14ac:dyDescent="0.25">
      <c r="A2250" s="2"/>
    </row>
    <row r="2251" spans="1:1" x14ac:dyDescent="0.25">
      <c r="A2251" s="2"/>
    </row>
    <row r="2252" spans="1:1" x14ac:dyDescent="0.25">
      <c r="A2252" s="2"/>
    </row>
    <row r="2253" spans="1:1" x14ac:dyDescent="0.25">
      <c r="A2253" s="2"/>
    </row>
    <row r="2254" spans="1:1" x14ac:dyDescent="0.25">
      <c r="A2254" s="2"/>
    </row>
    <row r="2255" spans="1:1" x14ac:dyDescent="0.25">
      <c r="A2255" s="2"/>
    </row>
    <row r="2256" spans="1:1" x14ac:dyDescent="0.25">
      <c r="A2256" s="2"/>
    </row>
    <row r="2257" spans="1:1" x14ac:dyDescent="0.25">
      <c r="A2257" s="2"/>
    </row>
    <row r="2258" spans="1:1" x14ac:dyDescent="0.25">
      <c r="A2258" s="2"/>
    </row>
    <row r="2259" spans="1:1" x14ac:dyDescent="0.25">
      <c r="A2259" s="2"/>
    </row>
    <row r="2260" spans="1:1" x14ac:dyDescent="0.25">
      <c r="A2260" s="2"/>
    </row>
    <row r="2261" spans="1:1" x14ac:dyDescent="0.25">
      <c r="A2261" s="2"/>
    </row>
    <row r="2262" spans="1:1" x14ac:dyDescent="0.25">
      <c r="A2262" s="2"/>
    </row>
    <row r="2263" spans="1:1" x14ac:dyDescent="0.25">
      <c r="A2263" s="2"/>
    </row>
    <row r="2264" spans="1:1" x14ac:dyDescent="0.25">
      <c r="A2264" s="2"/>
    </row>
    <row r="2265" spans="1:1" x14ac:dyDescent="0.25">
      <c r="A2265" s="2"/>
    </row>
    <row r="2266" spans="1:1" x14ac:dyDescent="0.25">
      <c r="A2266" s="2"/>
    </row>
    <row r="2267" spans="1:1" x14ac:dyDescent="0.25">
      <c r="A2267" s="2"/>
    </row>
    <row r="2268" spans="1:1" x14ac:dyDescent="0.25">
      <c r="A2268" s="2"/>
    </row>
    <row r="2269" spans="1:1" x14ac:dyDescent="0.25">
      <c r="A2269" s="2"/>
    </row>
    <row r="2270" spans="1:1" x14ac:dyDescent="0.25">
      <c r="A2270" s="2"/>
    </row>
    <row r="2271" spans="1:1" x14ac:dyDescent="0.25">
      <c r="A2271" s="2"/>
    </row>
    <row r="2272" spans="1:1" x14ac:dyDescent="0.25">
      <c r="A2272" s="2"/>
    </row>
    <row r="2273" spans="1:1" x14ac:dyDescent="0.25">
      <c r="A2273" s="2"/>
    </row>
    <row r="2274" spans="1:1" x14ac:dyDescent="0.25">
      <c r="A2274" s="2"/>
    </row>
    <row r="2275" spans="1:1" x14ac:dyDescent="0.25">
      <c r="A2275" s="2"/>
    </row>
    <row r="2276" spans="1:1" x14ac:dyDescent="0.25">
      <c r="A2276" s="2"/>
    </row>
    <row r="2277" spans="1:1" x14ac:dyDescent="0.25">
      <c r="A2277" s="2"/>
    </row>
    <row r="2278" spans="1:1" x14ac:dyDescent="0.25">
      <c r="A2278" s="2"/>
    </row>
    <row r="2279" spans="1:1" x14ac:dyDescent="0.25">
      <c r="A2279" s="2"/>
    </row>
    <row r="2280" spans="1:1" x14ac:dyDescent="0.25">
      <c r="A2280" s="2"/>
    </row>
    <row r="2281" spans="1:1" x14ac:dyDescent="0.25">
      <c r="A2281" s="2"/>
    </row>
    <row r="2282" spans="1:1" x14ac:dyDescent="0.25">
      <c r="A2282" s="2"/>
    </row>
    <row r="2283" spans="1:1" x14ac:dyDescent="0.25">
      <c r="A2283" s="2"/>
    </row>
    <row r="2284" spans="1:1" x14ac:dyDescent="0.25">
      <c r="A2284" s="2"/>
    </row>
    <row r="2285" spans="1:1" x14ac:dyDescent="0.25">
      <c r="A2285" s="2"/>
    </row>
    <row r="2286" spans="1:1" x14ac:dyDescent="0.25">
      <c r="A2286" s="2"/>
    </row>
    <row r="2287" spans="1:1" x14ac:dyDescent="0.25">
      <c r="A2287" s="2"/>
    </row>
    <row r="2288" spans="1:1" x14ac:dyDescent="0.25">
      <c r="A2288" s="2"/>
    </row>
    <row r="2289" spans="1:1" x14ac:dyDescent="0.25">
      <c r="A2289" s="2"/>
    </row>
    <row r="2290" spans="1:1" x14ac:dyDescent="0.25">
      <c r="A2290" s="2"/>
    </row>
    <row r="2291" spans="1:1" x14ac:dyDescent="0.25">
      <c r="A2291" s="2"/>
    </row>
    <row r="2292" spans="1:1" x14ac:dyDescent="0.25">
      <c r="A2292" s="2"/>
    </row>
    <row r="2293" spans="1:1" x14ac:dyDescent="0.25">
      <c r="A2293" s="2"/>
    </row>
    <row r="2294" spans="1:1" x14ac:dyDescent="0.25">
      <c r="A2294" s="2"/>
    </row>
    <row r="2295" spans="1:1" x14ac:dyDescent="0.25">
      <c r="A2295" s="2"/>
    </row>
    <row r="2296" spans="1:1" x14ac:dyDescent="0.25">
      <c r="A2296" s="2"/>
    </row>
    <row r="2297" spans="1:1" x14ac:dyDescent="0.25">
      <c r="A2297" s="2"/>
    </row>
    <row r="2298" spans="1:1" x14ac:dyDescent="0.25">
      <c r="A2298" s="2"/>
    </row>
    <row r="2299" spans="1:1" x14ac:dyDescent="0.25">
      <c r="A2299" s="2"/>
    </row>
    <row r="2300" spans="1:1" x14ac:dyDescent="0.25">
      <c r="A2300" s="2"/>
    </row>
    <row r="2301" spans="1:1" x14ac:dyDescent="0.25">
      <c r="A2301" s="2"/>
    </row>
    <row r="2302" spans="1:1" x14ac:dyDescent="0.25">
      <c r="A2302" s="2"/>
    </row>
    <row r="2303" spans="1:1" x14ac:dyDescent="0.25">
      <c r="A2303" s="2"/>
    </row>
    <row r="2304" spans="1:1" x14ac:dyDescent="0.25">
      <c r="A2304" s="2"/>
    </row>
    <row r="2305" spans="1:1" x14ac:dyDescent="0.25">
      <c r="A2305" s="2"/>
    </row>
    <row r="2306" spans="1:1" x14ac:dyDescent="0.25">
      <c r="A2306" s="2"/>
    </row>
    <row r="2307" spans="1:1" x14ac:dyDescent="0.25">
      <c r="A2307" s="2"/>
    </row>
    <row r="2308" spans="1:1" x14ac:dyDescent="0.25">
      <c r="A2308" s="2"/>
    </row>
    <row r="2309" spans="1:1" x14ac:dyDescent="0.25">
      <c r="A2309" s="2"/>
    </row>
    <row r="2310" spans="1:1" x14ac:dyDescent="0.25">
      <c r="A2310" s="2"/>
    </row>
    <row r="2311" spans="1:1" x14ac:dyDescent="0.25">
      <c r="A2311" s="2"/>
    </row>
    <row r="2312" spans="1:1" x14ac:dyDescent="0.25">
      <c r="A2312" s="2"/>
    </row>
    <row r="2313" spans="1:1" x14ac:dyDescent="0.25">
      <c r="A2313" s="2"/>
    </row>
    <row r="2314" spans="1:1" x14ac:dyDescent="0.25">
      <c r="A2314" s="2"/>
    </row>
    <row r="2315" spans="1:1" x14ac:dyDescent="0.25">
      <c r="A2315" s="2"/>
    </row>
    <row r="2316" spans="1:1" x14ac:dyDescent="0.25">
      <c r="A2316" s="2"/>
    </row>
    <row r="2317" spans="1:1" x14ac:dyDescent="0.25">
      <c r="A2317" s="2"/>
    </row>
    <row r="2318" spans="1:1" x14ac:dyDescent="0.25">
      <c r="A2318" s="2"/>
    </row>
    <row r="2319" spans="1:1" x14ac:dyDescent="0.25">
      <c r="A2319" s="2"/>
    </row>
    <row r="2320" spans="1:1" x14ac:dyDescent="0.25">
      <c r="A2320" s="2"/>
    </row>
    <row r="2321" spans="1:1" x14ac:dyDescent="0.25">
      <c r="A2321" s="2"/>
    </row>
    <row r="2322" spans="1:1" x14ac:dyDescent="0.25">
      <c r="A2322" s="2"/>
    </row>
    <row r="2323" spans="1:1" x14ac:dyDescent="0.25">
      <c r="A2323" s="2"/>
    </row>
    <row r="2324" spans="1:1" x14ac:dyDescent="0.25">
      <c r="A2324" s="2"/>
    </row>
    <row r="2325" spans="1:1" x14ac:dyDescent="0.25">
      <c r="A2325" s="2"/>
    </row>
    <row r="2326" spans="1:1" x14ac:dyDescent="0.25">
      <c r="A2326" s="2"/>
    </row>
    <row r="2327" spans="1:1" x14ac:dyDescent="0.25">
      <c r="A2327" s="2"/>
    </row>
    <row r="2328" spans="1:1" x14ac:dyDescent="0.25">
      <c r="A2328" s="2"/>
    </row>
    <row r="2329" spans="1:1" x14ac:dyDescent="0.25">
      <c r="A2329" s="2"/>
    </row>
    <row r="2330" spans="1:1" x14ac:dyDescent="0.25">
      <c r="A2330" s="2"/>
    </row>
    <row r="2331" spans="1:1" x14ac:dyDescent="0.25">
      <c r="A2331" s="2"/>
    </row>
    <row r="2332" spans="1:1" x14ac:dyDescent="0.25">
      <c r="A2332" s="2"/>
    </row>
    <row r="2333" spans="1:1" x14ac:dyDescent="0.25">
      <c r="A2333" s="2"/>
    </row>
    <row r="2334" spans="1:1" x14ac:dyDescent="0.25">
      <c r="A2334" s="2"/>
    </row>
    <row r="2335" spans="1:1" x14ac:dyDescent="0.25">
      <c r="A2335" s="2"/>
    </row>
    <row r="2336" spans="1:1" x14ac:dyDescent="0.25">
      <c r="A2336" s="2"/>
    </row>
    <row r="2337" spans="1:1" x14ac:dyDescent="0.25">
      <c r="A2337" s="2"/>
    </row>
    <row r="2338" spans="1:1" x14ac:dyDescent="0.25">
      <c r="A2338" s="2"/>
    </row>
    <row r="2339" spans="1:1" x14ac:dyDescent="0.25">
      <c r="A2339" s="2"/>
    </row>
    <row r="2340" spans="1:1" x14ac:dyDescent="0.25">
      <c r="A2340" s="2"/>
    </row>
    <row r="2341" spans="1:1" x14ac:dyDescent="0.25">
      <c r="A2341" s="2"/>
    </row>
    <row r="2342" spans="1:1" x14ac:dyDescent="0.25">
      <c r="A2342" s="2"/>
    </row>
    <row r="2343" spans="1:1" x14ac:dyDescent="0.25">
      <c r="A2343" s="2"/>
    </row>
    <row r="2344" spans="1:1" x14ac:dyDescent="0.25">
      <c r="A2344" s="2"/>
    </row>
    <row r="2345" spans="1:1" x14ac:dyDescent="0.25">
      <c r="A2345" s="2"/>
    </row>
    <row r="2346" spans="1:1" x14ac:dyDescent="0.25">
      <c r="A2346" s="2"/>
    </row>
    <row r="2347" spans="1:1" x14ac:dyDescent="0.25">
      <c r="A2347" s="2"/>
    </row>
    <row r="2348" spans="1:1" x14ac:dyDescent="0.25">
      <c r="A2348" s="2"/>
    </row>
    <row r="2349" spans="1:1" x14ac:dyDescent="0.25">
      <c r="A2349" s="2"/>
    </row>
    <row r="2350" spans="1:1" x14ac:dyDescent="0.25">
      <c r="A2350" s="2"/>
    </row>
    <row r="2351" spans="1:1" x14ac:dyDescent="0.25">
      <c r="A2351" s="2"/>
    </row>
    <row r="2352" spans="1:1" x14ac:dyDescent="0.25">
      <c r="A2352" s="2"/>
    </row>
    <row r="2353" spans="1:1" x14ac:dyDescent="0.25">
      <c r="A2353" s="2"/>
    </row>
    <row r="2354" spans="1:1" x14ac:dyDescent="0.25">
      <c r="A2354" s="2"/>
    </row>
    <row r="2355" spans="1:1" x14ac:dyDescent="0.25">
      <c r="A2355" s="2"/>
    </row>
    <row r="2356" spans="1:1" x14ac:dyDescent="0.25">
      <c r="A2356" s="2"/>
    </row>
    <row r="2357" spans="1:1" x14ac:dyDescent="0.25">
      <c r="A2357" s="2"/>
    </row>
    <row r="2358" spans="1:1" x14ac:dyDescent="0.25">
      <c r="A2358" s="2"/>
    </row>
    <row r="2359" spans="1:1" x14ac:dyDescent="0.25">
      <c r="A2359" s="2"/>
    </row>
    <row r="2360" spans="1:1" x14ac:dyDescent="0.25">
      <c r="A2360" s="2"/>
    </row>
    <row r="2361" spans="1:1" x14ac:dyDescent="0.25">
      <c r="A2361" s="2"/>
    </row>
    <row r="2362" spans="1:1" x14ac:dyDescent="0.25">
      <c r="A2362" s="2"/>
    </row>
    <row r="2363" spans="1:1" x14ac:dyDescent="0.25">
      <c r="A2363" s="2"/>
    </row>
    <row r="2364" spans="1:1" x14ac:dyDescent="0.25">
      <c r="A2364" s="2"/>
    </row>
    <row r="2365" spans="1:1" x14ac:dyDescent="0.25">
      <c r="A2365" s="2"/>
    </row>
    <row r="2366" spans="1:1" x14ac:dyDescent="0.25">
      <c r="A2366" s="2"/>
    </row>
    <row r="2367" spans="1:1" x14ac:dyDescent="0.25">
      <c r="A2367" s="2"/>
    </row>
    <row r="2368" spans="1:1" x14ac:dyDescent="0.25">
      <c r="A2368" s="2"/>
    </row>
    <row r="2369" spans="1:1" x14ac:dyDescent="0.25">
      <c r="A2369" s="2"/>
    </row>
    <row r="2370" spans="1:1" x14ac:dyDescent="0.25">
      <c r="A2370" s="2"/>
    </row>
    <row r="2371" spans="1:1" x14ac:dyDescent="0.25">
      <c r="A2371" s="2"/>
    </row>
    <row r="2372" spans="1:1" x14ac:dyDescent="0.25">
      <c r="A2372" s="2"/>
    </row>
    <row r="2373" spans="1:1" x14ac:dyDescent="0.25">
      <c r="A2373" s="2"/>
    </row>
    <row r="2374" spans="1:1" x14ac:dyDescent="0.25">
      <c r="A2374" s="2"/>
    </row>
    <row r="2375" spans="1:1" x14ac:dyDescent="0.25">
      <c r="A2375" s="2"/>
    </row>
    <row r="2376" spans="1:1" x14ac:dyDescent="0.25">
      <c r="A2376" s="2"/>
    </row>
    <row r="2377" spans="1:1" x14ac:dyDescent="0.25">
      <c r="A2377" s="2"/>
    </row>
    <row r="2378" spans="1:1" x14ac:dyDescent="0.25">
      <c r="A2378" s="2"/>
    </row>
    <row r="2379" spans="1:1" x14ac:dyDescent="0.25">
      <c r="A2379" s="2"/>
    </row>
    <row r="2380" spans="1:1" x14ac:dyDescent="0.25">
      <c r="A2380" s="2"/>
    </row>
    <row r="2381" spans="1:1" x14ac:dyDescent="0.25">
      <c r="A2381" s="2"/>
    </row>
    <row r="2382" spans="1:1" x14ac:dyDescent="0.25">
      <c r="A2382" s="2"/>
    </row>
    <row r="2383" spans="1:1" x14ac:dyDescent="0.25">
      <c r="A2383" s="2"/>
    </row>
    <row r="2384" spans="1:1" x14ac:dyDescent="0.25">
      <c r="A2384" s="2"/>
    </row>
    <row r="2385" spans="1:1" x14ac:dyDescent="0.25">
      <c r="A2385" s="2"/>
    </row>
    <row r="2386" spans="1:1" x14ac:dyDescent="0.25">
      <c r="A2386" s="2"/>
    </row>
    <row r="2387" spans="1:1" x14ac:dyDescent="0.25">
      <c r="A2387" s="2"/>
    </row>
    <row r="2388" spans="1:1" x14ac:dyDescent="0.25">
      <c r="A2388" s="2"/>
    </row>
    <row r="2389" spans="1:1" x14ac:dyDescent="0.25">
      <c r="A2389" s="2"/>
    </row>
    <row r="2390" spans="1:1" x14ac:dyDescent="0.25">
      <c r="A2390" s="2"/>
    </row>
    <row r="2391" spans="1:1" x14ac:dyDescent="0.25">
      <c r="A2391" s="2"/>
    </row>
    <row r="2392" spans="1:1" x14ac:dyDescent="0.25">
      <c r="A2392" s="2"/>
    </row>
    <row r="2393" spans="1:1" x14ac:dyDescent="0.25">
      <c r="A2393" s="2"/>
    </row>
    <row r="2394" spans="1:1" x14ac:dyDescent="0.25">
      <c r="A2394" s="2"/>
    </row>
    <row r="2395" spans="1:1" x14ac:dyDescent="0.25">
      <c r="A2395" s="2"/>
    </row>
    <row r="2396" spans="1:1" x14ac:dyDescent="0.25">
      <c r="A2396" s="2"/>
    </row>
    <row r="2397" spans="1:1" x14ac:dyDescent="0.25">
      <c r="A2397" s="2"/>
    </row>
    <row r="2398" spans="1:1" x14ac:dyDescent="0.25">
      <c r="A2398" s="2"/>
    </row>
    <row r="2399" spans="1:1" x14ac:dyDescent="0.25">
      <c r="A2399" s="2"/>
    </row>
    <row r="2400" spans="1:1" x14ac:dyDescent="0.25">
      <c r="A2400" s="2"/>
    </row>
    <row r="2401" spans="1:1" x14ac:dyDescent="0.25">
      <c r="A2401" s="2"/>
    </row>
    <row r="2402" spans="1:1" x14ac:dyDescent="0.25">
      <c r="A2402" s="2"/>
    </row>
    <row r="2403" spans="1:1" x14ac:dyDescent="0.25">
      <c r="A2403" s="2"/>
    </row>
    <row r="2404" spans="1:1" x14ac:dyDescent="0.25">
      <c r="A2404" s="2"/>
    </row>
    <row r="2405" spans="1:1" x14ac:dyDescent="0.25">
      <c r="A2405" s="2"/>
    </row>
    <row r="2406" spans="1:1" x14ac:dyDescent="0.25">
      <c r="A2406" s="2"/>
    </row>
    <row r="2407" spans="1:1" x14ac:dyDescent="0.25">
      <c r="A2407" s="2"/>
    </row>
    <row r="2408" spans="1:1" x14ac:dyDescent="0.25">
      <c r="A2408" s="2"/>
    </row>
    <row r="2409" spans="1:1" x14ac:dyDescent="0.25">
      <c r="A2409" s="2"/>
    </row>
    <row r="2410" spans="1:1" x14ac:dyDescent="0.25">
      <c r="A2410" s="2"/>
    </row>
    <row r="2411" spans="1:1" x14ac:dyDescent="0.25">
      <c r="A2411" s="2"/>
    </row>
    <row r="2412" spans="1:1" x14ac:dyDescent="0.25">
      <c r="A2412" s="2"/>
    </row>
    <row r="2413" spans="1:1" x14ac:dyDescent="0.25">
      <c r="A2413" s="2"/>
    </row>
    <row r="2414" spans="1:1" x14ac:dyDescent="0.25">
      <c r="A2414" s="2"/>
    </row>
    <row r="2415" spans="1:1" x14ac:dyDescent="0.25">
      <c r="A2415" s="2"/>
    </row>
    <row r="2416" spans="1:1" x14ac:dyDescent="0.25">
      <c r="A2416" s="2"/>
    </row>
    <row r="2417" spans="1:1" x14ac:dyDescent="0.25">
      <c r="A2417" s="2"/>
    </row>
    <row r="2418" spans="1:1" x14ac:dyDescent="0.25">
      <c r="A2418" s="2"/>
    </row>
    <row r="2419" spans="1:1" x14ac:dyDescent="0.25">
      <c r="A2419" s="2"/>
    </row>
    <row r="2420" spans="1:1" x14ac:dyDescent="0.25">
      <c r="A2420" s="2"/>
    </row>
    <row r="2421" spans="1:1" x14ac:dyDescent="0.25">
      <c r="A2421" s="2"/>
    </row>
    <row r="2422" spans="1:1" x14ac:dyDescent="0.25">
      <c r="A2422" s="2"/>
    </row>
    <row r="2423" spans="1:1" x14ac:dyDescent="0.25">
      <c r="A2423" s="2"/>
    </row>
    <row r="2424" spans="1:1" x14ac:dyDescent="0.25">
      <c r="A2424" s="2"/>
    </row>
    <row r="2425" spans="1:1" x14ac:dyDescent="0.25">
      <c r="A2425" s="2"/>
    </row>
    <row r="2426" spans="1:1" x14ac:dyDescent="0.25">
      <c r="A2426" s="2"/>
    </row>
    <row r="2427" spans="1:1" x14ac:dyDescent="0.25">
      <c r="A2427" s="2"/>
    </row>
    <row r="2428" spans="1:1" x14ac:dyDescent="0.25">
      <c r="A2428" s="2"/>
    </row>
    <row r="2429" spans="1:1" x14ac:dyDescent="0.25">
      <c r="A2429" s="2"/>
    </row>
    <row r="2430" spans="1:1" x14ac:dyDescent="0.25">
      <c r="A2430" s="2"/>
    </row>
    <row r="2431" spans="1:1" x14ac:dyDescent="0.25">
      <c r="A2431" s="2"/>
    </row>
    <row r="2432" spans="1:1" x14ac:dyDescent="0.25">
      <c r="A2432" s="2"/>
    </row>
    <row r="2433" spans="1:1" x14ac:dyDescent="0.25">
      <c r="A2433" s="2"/>
    </row>
    <row r="2434" spans="1:1" x14ac:dyDescent="0.25">
      <c r="A2434" s="2"/>
    </row>
    <row r="2435" spans="1:1" x14ac:dyDescent="0.25">
      <c r="A2435" s="2"/>
    </row>
    <row r="2436" spans="1:1" x14ac:dyDescent="0.25">
      <c r="A2436" s="2"/>
    </row>
    <row r="2437" spans="1:1" x14ac:dyDescent="0.25">
      <c r="A2437" s="2"/>
    </row>
    <row r="2438" spans="1:1" x14ac:dyDescent="0.25">
      <c r="A2438" s="2"/>
    </row>
    <row r="2439" spans="1:1" x14ac:dyDescent="0.25">
      <c r="A2439" s="2"/>
    </row>
    <row r="2440" spans="1:1" x14ac:dyDescent="0.25">
      <c r="A2440" s="2"/>
    </row>
    <row r="2441" spans="1:1" x14ac:dyDescent="0.25">
      <c r="A2441" s="2"/>
    </row>
    <row r="2442" spans="1:1" x14ac:dyDescent="0.25">
      <c r="A2442" s="2"/>
    </row>
    <row r="2443" spans="1:1" x14ac:dyDescent="0.25">
      <c r="A2443" s="2"/>
    </row>
    <row r="2444" spans="1:1" x14ac:dyDescent="0.25">
      <c r="A2444" s="2"/>
    </row>
    <row r="2445" spans="1:1" x14ac:dyDescent="0.25">
      <c r="A2445" s="2"/>
    </row>
    <row r="2446" spans="1:1" x14ac:dyDescent="0.25">
      <c r="A2446" s="2"/>
    </row>
    <row r="2447" spans="1:1" x14ac:dyDescent="0.25">
      <c r="A2447" s="2"/>
    </row>
    <row r="2448" spans="1:1" x14ac:dyDescent="0.25">
      <c r="A2448" s="2"/>
    </row>
    <row r="2449" spans="1:1" x14ac:dyDescent="0.25">
      <c r="A2449" s="2"/>
    </row>
    <row r="2450" spans="1:1" x14ac:dyDescent="0.25">
      <c r="A2450" s="2"/>
    </row>
    <row r="2451" spans="1:1" x14ac:dyDescent="0.25">
      <c r="A2451" s="2"/>
    </row>
    <row r="2452" spans="1:1" x14ac:dyDescent="0.25">
      <c r="A2452" s="2"/>
    </row>
    <row r="2453" spans="1:1" x14ac:dyDescent="0.25">
      <c r="A2453" s="2"/>
    </row>
    <row r="2454" spans="1:1" x14ac:dyDescent="0.25">
      <c r="A2454" s="2"/>
    </row>
    <row r="2455" spans="1:1" x14ac:dyDescent="0.25">
      <c r="A2455" s="2"/>
    </row>
    <row r="2456" spans="1:1" x14ac:dyDescent="0.25">
      <c r="A2456" s="2"/>
    </row>
    <row r="2457" spans="1:1" x14ac:dyDescent="0.25">
      <c r="A2457" s="2"/>
    </row>
    <row r="2458" spans="1:1" x14ac:dyDescent="0.25">
      <c r="A2458" s="2"/>
    </row>
    <row r="2459" spans="1:1" x14ac:dyDescent="0.25">
      <c r="A2459" s="2"/>
    </row>
    <row r="2460" spans="1:1" x14ac:dyDescent="0.25">
      <c r="A2460" s="2"/>
    </row>
    <row r="2461" spans="1:1" x14ac:dyDescent="0.25">
      <c r="A2461" s="2"/>
    </row>
    <row r="2462" spans="1:1" x14ac:dyDescent="0.25">
      <c r="A2462" s="2"/>
    </row>
    <row r="2463" spans="1:1" x14ac:dyDescent="0.25">
      <c r="A2463" s="2"/>
    </row>
    <row r="2464" spans="1:1" x14ac:dyDescent="0.25">
      <c r="A2464" s="2"/>
    </row>
    <row r="2465" spans="1:1" x14ac:dyDescent="0.25">
      <c r="A2465" s="2"/>
    </row>
    <row r="2466" spans="1:1" x14ac:dyDescent="0.25">
      <c r="A2466" s="2"/>
    </row>
    <row r="2467" spans="1:1" x14ac:dyDescent="0.25">
      <c r="A2467" s="2"/>
    </row>
    <row r="2468" spans="1:1" x14ac:dyDescent="0.25">
      <c r="A2468" s="2"/>
    </row>
    <row r="2469" spans="1:1" x14ac:dyDescent="0.25">
      <c r="A2469" s="2"/>
    </row>
    <row r="2470" spans="1:1" x14ac:dyDescent="0.25">
      <c r="A2470" s="2"/>
    </row>
    <row r="2471" spans="1:1" x14ac:dyDescent="0.25">
      <c r="A2471" s="2"/>
    </row>
    <row r="2472" spans="1:1" x14ac:dyDescent="0.25">
      <c r="A2472" s="2"/>
    </row>
    <row r="2473" spans="1:1" x14ac:dyDescent="0.25">
      <c r="A2473" s="2"/>
    </row>
    <row r="2474" spans="1:1" x14ac:dyDescent="0.25">
      <c r="A2474" s="2"/>
    </row>
    <row r="2475" spans="1:1" x14ac:dyDescent="0.25">
      <c r="A2475" s="2"/>
    </row>
    <row r="2476" spans="1:1" x14ac:dyDescent="0.25">
      <c r="A2476" s="2"/>
    </row>
    <row r="2477" spans="1:1" x14ac:dyDescent="0.25">
      <c r="A2477" s="2"/>
    </row>
    <row r="2478" spans="1:1" x14ac:dyDescent="0.25">
      <c r="A2478" s="2"/>
    </row>
    <row r="2479" spans="1:1" x14ac:dyDescent="0.25">
      <c r="A2479" s="2"/>
    </row>
    <row r="2480" spans="1:1" x14ac:dyDescent="0.25">
      <c r="A2480" s="2"/>
    </row>
    <row r="2481" spans="1:1" x14ac:dyDescent="0.25">
      <c r="A2481" s="2"/>
    </row>
    <row r="2482" spans="1:1" x14ac:dyDescent="0.25">
      <c r="A2482" s="2"/>
    </row>
    <row r="2483" spans="1:1" x14ac:dyDescent="0.25">
      <c r="A2483" s="2"/>
    </row>
    <row r="2484" spans="1:1" x14ac:dyDescent="0.25">
      <c r="A2484" s="2"/>
    </row>
    <row r="2485" spans="1:1" x14ac:dyDescent="0.25">
      <c r="A2485" s="2"/>
    </row>
    <row r="2486" spans="1:1" x14ac:dyDescent="0.25">
      <c r="A2486" s="2"/>
    </row>
    <row r="2487" spans="1:1" x14ac:dyDescent="0.25">
      <c r="A2487" s="2"/>
    </row>
    <row r="2488" spans="1:1" x14ac:dyDescent="0.25">
      <c r="A2488" s="2"/>
    </row>
    <row r="2489" spans="1:1" x14ac:dyDescent="0.25">
      <c r="A2489" s="2"/>
    </row>
    <row r="2490" spans="1:1" x14ac:dyDescent="0.25">
      <c r="A2490" s="2"/>
    </row>
    <row r="2491" spans="1:1" x14ac:dyDescent="0.25">
      <c r="A2491" s="2"/>
    </row>
    <row r="2492" spans="1:1" x14ac:dyDescent="0.25">
      <c r="A2492" s="2"/>
    </row>
    <row r="2493" spans="1:1" x14ac:dyDescent="0.25">
      <c r="A2493" s="2"/>
    </row>
    <row r="2494" spans="1:1" x14ac:dyDescent="0.25">
      <c r="A2494" s="2"/>
    </row>
    <row r="2495" spans="1:1" x14ac:dyDescent="0.25">
      <c r="A2495" s="2"/>
    </row>
    <row r="2496" spans="1:1" x14ac:dyDescent="0.25">
      <c r="A2496" s="2"/>
    </row>
    <row r="2497" spans="1:1" x14ac:dyDescent="0.25">
      <c r="A2497" s="2"/>
    </row>
    <row r="2498" spans="1:1" x14ac:dyDescent="0.25">
      <c r="A2498" s="2"/>
    </row>
    <row r="2499" spans="1:1" x14ac:dyDescent="0.25">
      <c r="A2499" s="2"/>
    </row>
    <row r="2500" spans="1:1" x14ac:dyDescent="0.25">
      <c r="A2500" s="2"/>
    </row>
    <row r="2501" spans="1:1" x14ac:dyDescent="0.25">
      <c r="A2501" s="2"/>
    </row>
    <row r="2502" spans="1:1" x14ac:dyDescent="0.25">
      <c r="A2502" s="2"/>
    </row>
    <row r="2503" spans="1:1" x14ac:dyDescent="0.25">
      <c r="A2503" s="2"/>
    </row>
    <row r="2504" spans="1:1" x14ac:dyDescent="0.25">
      <c r="A2504" s="2"/>
    </row>
    <row r="2505" spans="1:1" x14ac:dyDescent="0.25">
      <c r="A2505" s="2"/>
    </row>
    <row r="2506" spans="1:1" x14ac:dyDescent="0.25">
      <c r="A2506" s="2"/>
    </row>
    <row r="2507" spans="1:1" x14ac:dyDescent="0.25">
      <c r="A2507" s="2"/>
    </row>
    <row r="2508" spans="1:1" x14ac:dyDescent="0.25">
      <c r="A2508" s="2"/>
    </row>
    <row r="2509" spans="1:1" x14ac:dyDescent="0.25">
      <c r="A2509" s="2"/>
    </row>
    <row r="2510" spans="1:1" x14ac:dyDescent="0.25">
      <c r="A2510" s="2"/>
    </row>
    <row r="2511" spans="1:1" x14ac:dyDescent="0.25">
      <c r="A2511" s="2"/>
    </row>
    <row r="2512" spans="1:1" x14ac:dyDescent="0.25">
      <c r="A2512" s="2"/>
    </row>
    <row r="2513" spans="1:1" x14ac:dyDescent="0.25">
      <c r="A2513" s="2"/>
    </row>
    <row r="2514" spans="1:1" x14ac:dyDescent="0.25">
      <c r="A2514" s="2"/>
    </row>
    <row r="2515" spans="1:1" x14ac:dyDescent="0.25">
      <c r="A2515" s="2"/>
    </row>
    <row r="2516" spans="1:1" x14ac:dyDescent="0.25">
      <c r="A2516" s="2"/>
    </row>
    <row r="2517" spans="1:1" x14ac:dyDescent="0.25">
      <c r="A2517" s="2"/>
    </row>
    <row r="2518" spans="1:1" x14ac:dyDescent="0.25">
      <c r="A2518" s="2"/>
    </row>
    <row r="2519" spans="1:1" x14ac:dyDescent="0.25">
      <c r="A2519" s="2"/>
    </row>
    <row r="2520" spans="1:1" x14ac:dyDescent="0.25">
      <c r="A2520" s="2"/>
    </row>
    <row r="2521" spans="1:1" x14ac:dyDescent="0.25">
      <c r="A2521" s="2"/>
    </row>
    <row r="2522" spans="1:1" x14ac:dyDescent="0.25">
      <c r="A2522" s="2"/>
    </row>
    <row r="2523" spans="1:1" x14ac:dyDescent="0.25">
      <c r="A2523" s="2"/>
    </row>
    <row r="2524" spans="1:1" x14ac:dyDescent="0.25">
      <c r="A2524" s="2"/>
    </row>
    <row r="2525" spans="1:1" x14ac:dyDescent="0.25">
      <c r="A2525" s="2"/>
    </row>
    <row r="2526" spans="1:1" x14ac:dyDescent="0.25">
      <c r="A2526" s="2"/>
    </row>
    <row r="2527" spans="1:1" x14ac:dyDescent="0.25">
      <c r="A2527" s="2"/>
    </row>
    <row r="2528" spans="1:1" x14ac:dyDescent="0.25">
      <c r="A2528" s="2"/>
    </row>
    <row r="2529" spans="1:1" x14ac:dyDescent="0.25">
      <c r="A2529" s="2"/>
    </row>
    <row r="2530" spans="1:1" x14ac:dyDescent="0.25">
      <c r="A2530" s="2"/>
    </row>
    <row r="2531" spans="1:1" x14ac:dyDescent="0.25">
      <c r="A2531" s="2"/>
    </row>
    <row r="2532" spans="1:1" x14ac:dyDescent="0.25">
      <c r="A2532" s="2"/>
    </row>
    <row r="2533" spans="1:1" x14ac:dyDescent="0.25">
      <c r="A2533" s="2"/>
    </row>
    <row r="2534" spans="1:1" x14ac:dyDescent="0.25">
      <c r="A2534" s="2"/>
    </row>
    <row r="2535" spans="1:1" x14ac:dyDescent="0.25">
      <c r="A2535" s="2"/>
    </row>
    <row r="2536" spans="1:1" x14ac:dyDescent="0.25">
      <c r="A2536" s="2"/>
    </row>
    <row r="2537" spans="1:1" x14ac:dyDescent="0.25">
      <c r="A2537" s="2"/>
    </row>
    <row r="2538" spans="1:1" x14ac:dyDescent="0.25">
      <c r="A2538" s="2"/>
    </row>
    <row r="2539" spans="1:1" x14ac:dyDescent="0.25">
      <c r="A2539" s="2"/>
    </row>
    <row r="2540" spans="1:1" x14ac:dyDescent="0.25">
      <c r="A2540" s="2"/>
    </row>
    <row r="2541" spans="1:1" x14ac:dyDescent="0.25">
      <c r="A2541" s="2"/>
    </row>
    <row r="2542" spans="1:1" x14ac:dyDescent="0.25">
      <c r="A2542" s="2"/>
    </row>
    <row r="2543" spans="1:1" x14ac:dyDescent="0.25">
      <c r="A2543" s="2"/>
    </row>
    <row r="2544" spans="1:1" x14ac:dyDescent="0.25">
      <c r="A2544" s="2"/>
    </row>
    <row r="2545" spans="1:1" x14ac:dyDescent="0.25">
      <c r="A2545" s="2"/>
    </row>
    <row r="2546" spans="1:1" x14ac:dyDescent="0.25">
      <c r="A2546" s="2"/>
    </row>
    <row r="2547" spans="1:1" x14ac:dyDescent="0.25">
      <c r="A2547" s="2"/>
    </row>
    <row r="2548" spans="1:1" x14ac:dyDescent="0.25">
      <c r="A2548" s="2"/>
    </row>
    <row r="2549" spans="1:1" x14ac:dyDescent="0.25">
      <c r="A2549" s="2"/>
    </row>
    <row r="2550" spans="1:1" x14ac:dyDescent="0.25">
      <c r="A2550" s="2"/>
    </row>
    <row r="2551" spans="1:1" x14ac:dyDescent="0.25">
      <c r="A2551" s="2"/>
    </row>
    <row r="2552" spans="1:1" x14ac:dyDescent="0.25">
      <c r="A2552" s="2"/>
    </row>
    <row r="2553" spans="1:1" x14ac:dyDescent="0.25">
      <c r="A2553" s="2"/>
    </row>
    <row r="2554" spans="1:1" x14ac:dyDescent="0.25">
      <c r="A2554" s="2"/>
    </row>
    <row r="2555" spans="1:1" x14ac:dyDescent="0.25">
      <c r="A2555" s="2"/>
    </row>
    <row r="2556" spans="1:1" x14ac:dyDescent="0.25">
      <c r="A2556" s="2"/>
    </row>
    <row r="2557" spans="1:1" x14ac:dyDescent="0.25">
      <c r="A2557" s="2"/>
    </row>
    <row r="2558" spans="1:1" x14ac:dyDescent="0.25">
      <c r="A2558" s="2"/>
    </row>
    <row r="2559" spans="1:1" x14ac:dyDescent="0.25">
      <c r="A2559" s="2"/>
    </row>
    <row r="2560" spans="1:1" x14ac:dyDescent="0.25">
      <c r="A2560" s="2"/>
    </row>
    <row r="2561" spans="1:1" x14ac:dyDescent="0.25">
      <c r="A2561" s="2"/>
    </row>
    <row r="2562" spans="1:1" x14ac:dyDescent="0.25">
      <c r="A2562" s="2"/>
    </row>
    <row r="2563" spans="1:1" x14ac:dyDescent="0.25">
      <c r="A2563" s="2"/>
    </row>
    <row r="2564" spans="1:1" x14ac:dyDescent="0.25">
      <c r="A2564" s="2"/>
    </row>
    <row r="2565" spans="1:1" x14ac:dyDescent="0.25">
      <c r="A2565" s="2"/>
    </row>
    <row r="2566" spans="1:1" x14ac:dyDescent="0.25">
      <c r="A2566" s="2"/>
    </row>
    <row r="2567" spans="1:1" x14ac:dyDescent="0.25">
      <c r="A2567" s="2"/>
    </row>
    <row r="2568" spans="1:1" x14ac:dyDescent="0.25">
      <c r="A2568" s="2"/>
    </row>
    <row r="2569" spans="1:1" x14ac:dyDescent="0.25">
      <c r="A2569" s="2"/>
    </row>
    <row r="2570" spans="1:1" x14ac:dyDescent="0.25">
      <c r="A2570" s="2"/>
    </row>
    <row r="2571" spans="1:1" x14ac:dyDescent="0.25">
      <c r="A2571" s="2"/>
    </row>
    <row r="2572" spans="1:1" x14ac:dyDescent="0.25">
      <c r="A2572" s="2"/>
    </row>
    <row r="2573" spans="1:1" x14ac:dyDescent="0.25">
      <c r="A2573" s="2"/>
    </row>
    <row r="2574" spans="1:1" x14ac:dyDescent="0.25">
      <c r="A2574" s="2"/>
    </row>
    <row r="2575" spans="1:1" x14ac:dyDescent="0.25">
      <c r="A2575" s="2"/>
    </row>
    <row r="2576" spans="1:1" x14ac:dyDescent="0.25">
      <c r="A2576" s="2"/>
    </row>
    <row r="2577" spans="1:1" x14ac:dyDescent="0.25">
      <c r="A2577" s="2"/>
    </row>
    <row r="2578" spans="1:1" x14ac:dyDescent="0.25">
      <c r="A2578" s="2"/>
    </row>
    <row r="2579" spans="1:1" x14ac:dyDescent="0.25">
      <c r="A2579" s="2"/>
    </row>
    <row r="2580" spans="1:1" x14ac:dyDescent="0.25">
      <c r="A2580" s="2"/>
    </row>
    <row r="2581" spans="1:1" x14ac:dyDescent="0.25">
      <c r="A2581" s="2"/>
    </row>
    <row r="2582" spans="1:1" x14ac:dyDescent="0.25">
      <c r="A2582" s="2"/>
    </row>
    <row r="2583" spans="1:1" x14ac:dyDescent="0.25">
      <c r="A2583" s="2"/>
    </row>
    <row r="2584" spans="1:1" x14ac:dyDescent="0.25">
      <c r="A2584" s="2"/>
    </row>
    <row r="2585" spans="1:1" x14ac:dyDescent="0.25">
      <c r="A2585" s="2"/>
    </row>
    <row r="2586" spans="1:1" x14ac:dyDescent="0.25">
      <c r="A2586" s="2"/>
    </row>
    <row r="2587" spans="1:1" x14ac:dyDescent="0.25">
      <c r="A2587" s="2"/>
    </row>
    <row r="2588" spans="1:1" x14ac:dyDescent="0.25">
      <c r="A2588" s="2"/>
    </row>
    <row r="2589" spans="1:1" x14ac:dyDescent="0.25">
      <c r="A2589" s="2"/>
    </row>
    <row r="2590" spans="1:1" x14ac:dyDescent="0.25">
      <c r="A2590" s="2"/>
    </row>
    <row r="2591" spans="1:1" x14ac:dyDescent="0.25">
      <c r="A2591" s="2"/>
    </row>
    <row r="2592" spans="1:1" x14ac:dyDescent="0.25">
      <c r="A2592" s="2"/>
    </row>
    <row r="2593" spans="1:1" x14ac:dyDescent="0.25">
      <c r="A2593" s="2"/>
    </row>
    <row r="2594" spans="1:1" x14ac:dyDescent="0.25">
      <c r="A2594" s="2"/>
    </row>
    <row r="2595" spans="1:1" x14ac:dyDescent="0.25">
      <c r="A2595" s="2"/>
    </row>
    <row r="2596" spans="1:1" x14ac:dyDescent="0.25">
      <c r="A2596" s="2"/>
    </row>
    <row r="2597" spans="1:1" x14ac:dyDescent="0.25">
      <c r="A2597" s="2"/>
    </row>
    <row r="2598" spans="1:1" x14ac:dyDescent="0.25">
      <c r="A2598" s="2"/>
    </row>
    <row r="2599" spans="1:1" x14ac:dyDescent="0.25">
      <c r="A2599" s="2"/>
    </row>
    <row r="2600" spans="1:1" x14ac:dyDescent="0.25">
      <c r="A2600" s="2"/>
    </row>
    <row r="2601" spans="1:1" x14ac:dyDescent="0.25">
      <c r="A2601" s="2"/>
    </row>
    <row r="2602" spans="1:1" x14ac:dyDescent="0.25">
      <c r="A2602" s="2"/>
    </row>
    <row r="2603" spans="1:1" x14ac:dyDescent="0.25">
      <c r="A2603" s="2"/>
    </row>
    <row r="2604" spans="1:1" x14ac:dyDescent="0.25">
      <c r="A2604" s="2"/>
    </row>
    <row r="2605" spans="1:1" x14ac:dyDescent="0.25">
      <c r="A2605" s="2"/>
    </row>
    <row r="2606" spans="1:1" x14ac:dyDescent="0.25">
      <c r="A2606" s="2"/>
    </row>
    <row r="2607" spans="1:1" x14ac:dyDescent="0.25">
      <c r="A2607" s="2"/>
    </row>
    <row r="2608" spans="1:1" x14ac:dyDescent="0.25">
      <c r="A2608" s="2"/>
    </row>
    <row r="2609" spans="1:1" x14ac:dyDescent="0.25">
      <c r="A2609" s="2"/>
    </row>
    <row r="2610" spans="1:1" x14ac:dyDescent="0.25">
      <c r="A2610" s="2"/>
    </row>
    <row r="2611" spans="1:1" x14ac:dyDescent="0.25">
      <c r="A2611" s="2"/>
    </row>
    <row r="2612" spans="1:1" x14ac:dyDescent="0.25">
      <c r="A2612" s="2"/>
    </row>
    <row r="2613" spans="1:1" x14ac:dyDescent="0.25">
      <c r="A2613" s="2"/>
    </row>
    <row r="2614" spans="1:1" x14ac:dyDescent="0.25">
      <c r="A2614" s="2"/>
    </row>
    <row r="2615" spans="1:1" x14ac:dyDescent="0.25">
      <c r="A2615" s="2"/>
    </row>
    <row r="2616" spans="1:1" x14ac:dyDescent="0.25">
      <c r="A2616" s="2"/>
    </row>
    <row r="2617" spans="1:1" x14ac:dyDescent="0.25">
      <c r="A2617" s="2"/>
    </row>
    <row r="2618" spans="1:1" x14ac:dyDescent="0.25">
      <c r="A2618" s="2"/>
    </row>
    <row r="2619" spans="1:1" x14ac:dyDescent="0.25">
      <c r="A2619" s="2"/>
    </row>
    <row r="2620" spans="1:1" x14ac:dyDescent="0.25">
      <c r="A2620" s="2"/>
    </row>
    <row r="2621" spans="1:1" x14ac:dyDescent="0.25">
      <c r="A2621" s="2"/>
    </row>
    <row r="2622" spans="1:1" x14ac:dyDescent="0.25">
      <c r="A2622" s="2"/>
    </row>
    <row r="2623" spans="1:1" x14ac:dyDescent="0.25">
      <c r="A2623" s="2"/>
    </row>
    <row r="2624" spans="1:1" x14ac:dyDescent="0.25">
      <c r="A2624" s="2"/>
    </row>
    <row r="2625" spans="1:1" x14ac:dyDescent="0.25">
      <c r="A2625" s="2"/>
    </row>
    <row r="2626" spans="1:1" x14ac:dyDescent="0.25">
      <c r="A2626" s="2"/>
    </row>
    <row r="2627" spans="1:1" x14ac:dyDescent="0.25">
      <c r="A2627" s="2"/>
    </row>
    <row r="2628" spans="1:1" x14ac:dyDescent="0.25">
      <c r="A2628" s="2"/>
    </row>
    <row r="2629" spans="1:1" x14ac:dyDescent="0.25">
      <c r="A2629" s="2"/>
    </row>
    <row r="2630" spans="1:1" x14ac:dyDescent="0.25">
      <c r="A2630" s="2"/>
    </row>
    <row r="2631" spans="1:1" x14ac:dyDescent="0.25">
      <c r="A2631" s="2"/>
    </row>
    <row r="2632" spans="1:1" x14ac:dyDescent="0.25">
      <c r="A2632" s="2"/>
    </row>
    <row r="2633" spans="1:1" x14ac:dyDescent="0.25">
      <c r="A2633" s="2"/>
    </row>
    <row r="2634" spans="1:1" x14ac:dyDescent="0.25">
      <c r="A2634" s="2"/>
    </row>
    <row r="2635" spans="1:1" x14ac:dyDescent="0.25">
      <c r="A2635" s="2"/>
    </row>
    <row r="2636" spans="1:1" x14ac:dyDescent="0.25">
      <c r="A2636" s="2"/>
    </row>
    <row r="2637" spans="1:1" x14ac:dyDescent="0.25">
      <c r="A2637" s="2"/>
    </row>
    <row r="2638" spans="1:1" x14ac:dyDescent="0.25">
      <c r="A2638" s="2"/>
    </row>
    <row r="2639" spans="1:1" x14ac:dyDescent="0.25">
      <c r="A2639" s="2"/>
    </row>
    <row r="2640" spans="1:1" x14ac:dyDescent="0.25">
      <c r="A2640" s="2"/>
    </row>
    <row r="2641" spans="1:1" x14ac:dyDescent="0.25">
      <c r="A2641" s="2"/>
    </row>
    <row r="2642" spans="1:1" x14ac:dyDescent="0.25">
      <c r="A2642" s="2"/>
    </row>
    <row r="2643" spans="1:1" x14ac:dyDescent="0.25">
      <c r="A2643" s="2"/>
    </row>
    <row r="2644" spans="1:1" x14ac:dyDescent="0.25">
      <c r="A2644" s="2"/>
    </row>
    <row r="2645" spans="1:1" x14ac:dyDescent="0.25">
      <c r="A2645" s="2"/>
    </row>
    <row r="2646" spans="1:1" x14ac:dyDescent="0.25">
      <c r="A2646" s="2"/>
    </row>
    <row r="2647" spans="1:1" x14ac:dyDescent="0.25">
      <c r="A2647" s="2"/>
    </row>
    <row r="2648" spans="1:1" x14ac:dyDescent="0.25">
      <c r="A2648" s="2"/>
    </row>
    <row r="2649" spans="1:1" x14ac:dyDescent="0.25">
      <c r="A2649" s="2"/>
    </row>
    <row r="2650" spans="1:1" x14ac:dyDescent="0.25">
      <c r="A2650" s="2"/>
    </row>
    <row r="2651" spans="1:1" x14ac:dyDescent="0.25">
      <c r="A2651" s="2"/>
    </row>
    <row r="2652" spans="1:1" x14ac:dyDescent="0.25">
      <c r="A2652" s="2"/>
    </row>
    <row r="2653" spans="1:1" x14ac:dyDescent="0.25">
      <c r="A2653" s="2"/>
    </row>
    <row r="2654" spans="1:1" x14ac:dyDescent="0.25">
      <c r="A2654" s="2"/>
    </row>
    <row r="2655" spans="1:1" x14ac:dyDescent="0.25">
      <c r="A2655" s="2"/>
    </row>
    <row r="2656" spans="1:1" x14ac:dyDescent="0.25">
      <c r="A2656" s="2"/>
    </row>
    <row r="2657" spans="1:1" x14ac:dyDescent="0.25">
      <c r="A2657" s="2"/>
    </row>
    <row r="2658" spans="1:1" x14ac:dyDescent="0.25">
      <c r="A2658" s="2"/>
    </row>
    <row r="2659" spans="1:1" x14ac:dyDescent="0.25">
      <c r="A2659" s="2"/>
    </row>
    <row r="2660" spans="1:1" x14ac:dyDescent="0.25">
      <c r="A2660" s="2"/>
    </row>
    <row r="2661" spans="1:1" x14ac:dyDescent="0.25">
      <c r="A2661" s="2"/>
    </row>
    <row r="2662" spans="1:1" x14ac:dyDescent="0.25">
      <c r="A2662" s="2"/>
    </row>
    <row r="2663" spans="1:1" x14ac:dyDescent="0.25">
      <c r="A2663" s="2"/>
    </row>
    <row r="2664" spans="1:1" x14ac:dyDescent="0.25">
      <c r="A2664" s="2"/>
    </row>
    <row r="2665" spans="1:1" x14ac:dyDescent="0.25">
      <c r="A2665" s="2"/>
    </row>
    <row r="2666" spans="1:1" x14ac:dyDescent="0.25">
      <c r="A2666" s="2"/>
    </row>
    <row r="2667" spans="1:1" x14ac:dyDescent="0.25">
      <c r="A2667" s="2"/>
    </row>
    <row r="2668" spans="1:1" x14ac:dyDescent="0.25">
      <c r="A2668" s="2"/>
    </row>
    <row r="2669" spans="1:1" x14ac:dyDescent="0.25">
      <c r="A2669" s="2"/>
    </row>
    <row r="2670" spans="1:1" x14ac:dyDescent="0.25">
      <c r="A2670" s="2"/>
    </row>
    <row r="2671" spans="1:1" x14ac:dyDescent="0.25">
      <c r="A2671" s="2"/>
    </row>
    <row r="2672" spans="1:1" x14ac:dyDescent="0.25">
      <c r="A2672" s="2"/>
    </row>
    <row r="2673" spans="1:1" x14ac:dyDescent="0.25">
      <c r="A2673" s="2"/>
    </row>
    <row r="2674" spans="1:1" x14ac:dyDescent="0.25">
      <c r="A2674" s="2"/>
    </row>
    <row r="2675" spans="1:1" x14ac:dyDescent="0.25">
      <c r="A2675" s="2"/>
    </row>
    <row r="2676" spans="1:1" x14ac:dyDescent="0.25">
      <c r="A2676" s="2"/>
    </row>
    <row r="2677" spans="1:1" x14ac:dyDescent="0.25">
      <c r="A2677" s="2"/>
    </row>
    <row r="2678" spans="1:1" x14ac:dyDescent="0.25">
      <c r="A2678" s="2"/>
    </row>
    <row r="2679" spans="1:1" x14ac:dyDescent="0.25">
      <c r="A2679" s="2"/>
    </row>
    <row r="2680" spans="1:1" x14ac:dyDescent="0.25">
      <c r="A2680" s="2"/>
    </row>
    <row r="2681" spans="1:1" x14ac:dyDescent="0.25">
      <c r="A2681" s="2"/>
    </row>
    <row r="2682" spans="1:1" x14ac:dyDescent="0.25">
      <c r="A2682" s="2"/>
    </row>
    <row r="2683" spans="1:1" x14ac:dyDescent="0.25">
      <c r="A2683" s="2"/>
    </row>
    <row r="2684" spans="1:1" x14ac:dyDescent="0.25">
      <c r="A2684" s="2"/>
    </row>
    <row r="2685" spans="1:1" x14ac:dyDescent="0.25">
      <c r="A2685" s="2"/>
    </row>
    <row r="2686" spans="1:1" x14ac:dyDescent="0.25">
      <c r="A2686" s="2"/>
    </row>
    <row r="2687" spans="1:1" x14ac:dyDescent="0.25">
      <c r="A2687" s="2"/>
    </row>
    <row r="2688" spans="1:1" x14ac:dyDescent="0.25">
      <c r="A2688" s="2"/>
    </row>
    <row r="2689" spans="1:1" x14ac:dyDescent="0.25">
      <c r="A2689" s="2"/>
    </row>
    <row r="2690" spans="1:1" x14ac:dyDescent="0.25">
      <c r="A2690" s="2"/>
    </row>
    <row r="2691" spans="1:1" x14ac:dyDescent="0.25">
      <c r="A2691" s="2"/>
    </row>
    <row r="2692" spans="1:1" x14ac:dyDescent="0.25">
      <c r="A2692" s="2"/>
    </row>
    <row r="2693" spans="1:1" x14ac:dyDescent="0.25">
      <c r="A2693" s="2"/>
    </row>
    <row r="2694" spans="1:1" x14ac:dyDescent="0.25">
      <c r="A2694" s="2"/>
    </row>
    <row r="2695" spans="1:1" x14ac:dyDescent="0.25">
      <c r="A2695" s="2"/>
    </row>
    <row r="2696" spans="1:1" x14ac:dyDescent="0.25">
      <c r="A2696" s="2"/>
    </row>
    <row r="2697" spans="1:1" x14ac:dyDescent="0.25">
      <c r="A2697" s="2"/>
    </row>
    <row r="2698" spans="1:1" x14ac:dyDescent="0.25">
      <c r="A2698" s="2"/>
    </row>
    <row r="2699" spans="1:1" x14ac:dyDescent="0.25">
      <c r="A2699" s="2"/>
    </row>
    <row r="2700" spans="1:1" x14ac:dyDescent="0.25">
      <c r="A2700" s="2"/>
    </row>
    <row r="2701" spans="1:1" x14ac:dyDescent="0.25">
      <c r="A2701" s="2"/>
    </row>
    <row r="2702" spans="1:1" x14ac:dyDescent="0.25">
      <c r="A2702" s="2"/>
    </row>
    <row r="2703" spans="1:1" x14ac:dyDescent="0.25">
      <c r="A2703" s="2"/>
    </row>
    <row r="2704" spans="1:1" x14ac:dyDescent="0.25">
      <c r="A2704" s="2"/>
    </row>
    <row r="2705" spans="1:1" x14ac:dyDescent="0.25">
      <c r="A2705" s="2"/>
    </row>
    <row r="2706" spans="1:1" x14ac:dyDescent="0.25">
      <c r="A2706" s="2"/>
    </row>
    <row r="2707" spans="1:1" x14ac:dyDescent="0.25">
      <c r="A2707" s="2"/>
    </row>
    <row r="2708" spans="1:1" x14ac:dyDescent="0.25">
      <c r="A2708" s="2"/>
    </row>
    <row r="2709" spans="1:1" x14ac:dyDescent="0.25">
      <c r="A2709" s="2"/>
    </row>
    <row r="2710" spans="1:1" x14ac:dyDescent="0.25">
      <c r="A2710" s="2"/>
    </row>
    <row r="2711" spans="1:1" x14ac:dyDescent="0.25">
      <c r="A2711" s="2"/>
    </row>
    <row r="2712" spans="1:1" x14ac:dyDescent="0.25">
      <c r="A2712" s="2"/>
    </row>
    <row r="2713" spans="1:1" x14ac:dyDescent="0.25">
      <c r="A2713" s="2"/>
    </row>
    <row r="2714" spans="1:1" x14ac:dyDescent="0.25">
      <c r="A2714" s="2"/>
    </row>
    <row r="2715" spans="1:1" x14ac:dyDescent="0.25">
      <c r="A2715" s="2"/>
    </row>
    <row r="2716" spans="1:1" x14ac:dyDescent="0.25">
      <c r="A2716" s="2"/>
    </row>
    <row r="2717" spans="1:1" x14ac:dyDescent="0.25">
      <c r="A2717" s="2"/>
    </row>
    <row r="2718" spans="1:1" x14ac:dyDescent="0.25">
      <c r="A2718" s="2"/>
    </row>
    <row r="2719" spans="1:1" x14ac:dyDescent="0.25">
      <c r="A2719" s="2"/>
    </row>
    <row r="2720" spans="1:1" x14ac:dyDescent="0.25">
      <c r="A2720" s="2"/>
    </row>
    <row r="2721" spans="1:1" x14ac:dyDescent="0.25">
      <c r="A2721" s="2"/>
    </row>
    <row r="2722" spans="1:1" x14ac:dyDescent="0.25">
      <c r="A2722" s="2"/>
    </row>
    <row r="2723" spans="1:1" x14ac:dyDescent="0.25">
      <c r="A2723" s="2"/>
    </row>
    <row r="2724" spans="1:1" x14ac:dyDescent="0.25">
      <c r="A2724" s="2"/>
    </row>
    <row r="2725" spans="1:1" x14ac:dyDescent="0.25">
      <c r="A2725" s="2"/>
    </row>
    <row r="2726" spans="1:1" x14ac:dyDescent="0.25">
      <c r="A2726" s="2"/>
    </row>
    <row r="2727" spans="1:1" x14ac:dyDescent="0.25">
      <c r="A2727" s="2"/>
    </row>
    <row r="2728" spans="1:1" x14ac:dyDescent="0.25">
      <c r="A2728" s="2"/>
    </row>
    <row r="2729" spans="1:1" x14ac:dyDescent="0.25">
      <c r="A2729" s="2"/>
    </row>
    <row r="2730" spans="1:1" x14ac:dyDescent="0.25">
      <c r="A2730" s="2"/>
    </row>
    <row r="2731" spans="1:1" x14ac:dyDescent="0.25">
      <c r="A2731" s="2"/>
    </row>
    <row r="2732" spans="1:1" x14ac:dyDescent="0.25">
      <c r="A2732" s="2"/>
    </row>
    <row r="2733" spans="1:1" x14ac:dyDescent="0.25">
      <c r="A2733" s="2"/>
    </row>
    <row r="2734" spans="1:1" x14ac:dyDescent="0.25">
      <c r="A2734" s="2"/>
    </row>
    <row r="2735" spans="1:1" x14ac:dyDescent="0.25">
      <c r="A2735" s="2"/>
    </row>
    <row r="2736" spans="1:1" x14ac:dyDescent="0.25">
      <c r="A2736" s="2"/>
    </row>
    <row r="2737" spans="1:1" x14ac:dyDescent="0.25">
      <c r="A2737" s="2"/>
    </row>
    <row r="2738" spans="1:1" x14ac:dyDescent="0.25">
      <c r="A2738" s="2"/>
    </row>
    <row r="2739" spans="1:1" x14ac:dyDescent="0.25">
      <c r="A2739" s="2"/>
    </row>
    <row r="2740" spans="1:1" x14ac:dyDescent="0.25">
      <c r="A2740" s="2"/>
    </row>
    <row r="2741" spans="1:1" x14ac:dyDescent="0.25">
      <c r="A2741" s="2"/>
    </row>
    <row r="2742" spans="1:1" x14ac:dyDescent="0.25">
      <c r="A2742" s="2"/>
    </row>
    <row r="2743" spans="1:1" x14ac:dyDescent="0.25">
      <c r="A2743" s="2"/>
    </row>
    <row r="2744" spans="1:1" x14ac:dyDescent="0.25">
      <c r="A2744" s="2"/>
    </row>
    <row r="2745" spans="1:1" x14ac:dyDescent="0.25">
      <c r="A2745" s="2"/>
    </row>
    <row r="2746" spans="1:1" x14ac:dyDescent="0.25">
      <c r="A2746" s="2"/>
    </row>
    <row r="2747" spans="1:1" x14ac:dyDescent="0.25">
      <c r="A2747" s="2"/>
    </row>
    <row r="2748" spans="1:1" x14ac:dyDescent="0.25">
      <c r="A2748" s="2"/>
    </row>
    <row r="2749" spans="1:1" x14ac:dyDescent="0.25">
      <c r="A2749" s="2"/>
    </row>
    <row r="2750" spans="1:1" x14ac:dyDescent="0.25">
      <c r="A2750" s="2"/>
    </row>
    <row r="2751" spans="1:1" x14ac:dyDescent="0.25">
      <c r="A2751" s="2"/>
    </row>
    <row r="2752" spans="1:1" x14ac:dyDescent="0.25">
      <c r="A2752" s="2"/>
    </row>
    <row r="2753" spans="1:1" x14ac:dyDescent="0.25">
      <c r="A2753" s="2"/>
    </row>
    <row r="2754" spans="1:1" x14ac:dyDescent="0.25">
      <c r="A2754" s="2"/>
    </row>
    <row r="2755" spans="1:1" x14ac:dyDescent="0.25">
      <c r="A2755" s="2"/>
    </row>
    <row r="2756" spans="1:1" x14ac:dyDescent="0.25">
      <c r="A2756" s="2"/>
    </row>
    <row r="2757" spans="1:1" x14ac:dyDescent="0.25">
      <c r="A2757" s="2"/>
    </row>
    <row r="2758" spans="1:1" x14ac:dyDescent="0.25">
      <c r="A2758" s="2"/>
    </row>
    <row r="2759" spans="1:1" x14ac:dyDescent="0.25">
      <c r="A2759" s="2"/>
    </row>
    <row r="2760" spans="1:1" x14ac:dyDescent="0.25">
      <c r="A2760" s="2"/>
    </row>
    <row r="2761" spans="1:1" x14ac:dyDescent="0.25">
      <c r="A2761" s="2"/>
    </row>
    <row r="2762" spans="1:1" x14ac:dyDescent="0.25">
      <c r="A2762" s="2"/>
    </row>
    <row r="2763" spans="1:1" x14ac:dyDescent="0.25">
      <c r="A2763" s="2"/>
    </row>
    <row r="2764" spans="1:1" x14ac:dyDescent="0.25">
      <c r="A2764" s="2"/>
    </row>
    <row r="2765" spans="1:1" x14ac:dyDescent="0.25">
      <c r="A2765" s="2"/>
    </row>
    <row r="2766" spans="1:1" x14ac:dyDescent="0.25">
      <c r="A2766" s="2"/>
    </row>
    <row r="2767" spans="1:1" x14ac:dyDescent="0.25">
      <c r="A2767" s="2"/>
    </row>
    <row r="2768" spans="1:1" x14ac:dyDescent="0.25">
      <c r="A2768" s="2"/>
    </row>
    <row r="2769" spans="1:1" x14ac:dyDescent="0.25">
      <c r="A2769" s="2"/>
    </row>
    <row r="2770" spans="1:1" x14ac:dyDescent="0.25">
      <c r="A2770" s="2"/>
    </row>
    <row r="2771" spans="1:1" x14ac:dyDescent="0.25">
      <c r="A2771" s="2"/>
    </row>
    <row r="2772" spans="1:1" x14ac:dyDescent="0.25">
      <c r="A2772" s="2"/>
    </row>
    <row r="2773" spans="1:1" x14ac:dyDescent="0.25">
      <c r="A2773" s="2"/>
    </row>
    <row r="2774" spans="1:1" x14ac:dyDescent="0.25">
      <c r="A2774" s="2"/>
    </row>
    <row r="2775" spans="1:1" x14ac:dyDescent="0.25">
      <c r="A2775" s="2"/>
    </row>
    <row r="2776" spans="1:1" x14ac:dyDescent="0.25">
      <c r="A2776" s="2"/>
    </row>
    <row r="2777" spans="1:1" x14ac:dyDescent="0.25">
      <c r="A2777" s="2"/>
    </row>
    <row r="2778" spans="1:1" x14ac:dyDescent="0.25">
      <c r="A2778" s="2"/>
    </row>
    <row r="2779" spans="1:1" x14ac:dyDescent="0.25">
      <c r="A2779" s="2"/>
    </row>
    <row r="2780" spans="1:1" x14ac:dyDescent="0.25">
      <c r="A2780" s="2"/>
    </row>
    <row r="2781" spans="1:1" x14ac:dyDescent="0.25">
      <c r="A2781" s="2"/>
    </row>
    <row r="2782" spans="1:1" x14ac:dyDescent="0.25">
      <c r="A2782" s="2"/>
    </row>
    <row r="2783" spans="1:1" x14ac:dyDescent="0.25">
      <c r="A2783" s="2"/>
    </row>
    <row r="2784" spans="1:1" x14ac:dyDescent="0.25">
      <c r="A2784" s="2"/>
    </row>
    <row r="2785" spans="1:1" x14ac:dyDescent="0.25">
      <c r="A2785" s="2"/>
    </row>
    <row r="2786" spans="1:1" x14ac:dyDescent="0.25">
      <c r="A2786" s="2"/>
    </row>
    <row r="2787" spans="1:1" x14ac:dyDescent="0.25">
      <c r="A2787" s="2"/>
    </row>
    <row r="2788" spans="1:1" x14ac:dyDescent="0.25">
      <c r="A2788" s="2"/>
    </row>
    <row r="2789" spans="1:1" x14ac:dyDescent="0.25">
      <c r="A2789" s="2"/>
    </row>
    <row r="2790" spans="1:1" x14ac:dyDescent="0.25">
      <c r="A2790" s="2"/>
    </row>
    <row r="2791" spans="1:1" x14ac:dyDescent="0.25">
      <c r="A2791" s="2"/>
    </row>
    <row r="2792" spans="1:1" x14ac:dyDescent="0.25">
      <c r="A2792" s="2"/>
    </row>
    <row r="2793" spans="1:1" x14ac:dyDescent="0.25">
      <c r="A2793" s="2"/>
    </row>
    <row r="2794" spans="1:1" x14ac:dyDescent="0.25">
      <c r="A2794" s="2"/>
    </row>
    <row r="2795" spans="1:1" x14ac:dyDescent="0.25">
      <c r="A2795" s="2"/>
    </row>
    <row r="2796" spans="1:1" x14ac:dyDescent="0.25">
      <c r="A2796" s="2"/>
    </row>
    <row r="2797" spans="1:1" x14ac:dyDescent="0.25">
      <c r="A2797" s="2"/>
    </row>
    <row r="2798" spans="1:1" x14ac:dyDescent="0.25">
      <c r="A2798" s="2"/>
    </row>
    <row r="2799" spans="1:1" x14ac:dyDescent="0.25">
      <c r="A2799" s="2"/>
    </row>
    <row r="2800" spans="1:1" x14ac:dyDescent="0.25">
      <c r="A2800" s="2"/>
    </row>
    <row r="2801" spans="1:1" x14ac:dyDescent="0.25">
      <c r="A2801" s="2"/>
    </row>
    <row r="2802" spans="1:1" x14ac:dyDescent="0.25">
      <c r="A2802" s="2"/>
    </row>
    <row r="2803" spans="1:1" x14ac:dyDescent="0.25">
      <c r="A2803" s="2"/>
    </row>
    <row r="2804" spans="1:1" x14ac:dyDescent="0.25">
      <c r="A2804" s="2"/>
    </row>
    <row r="2805" spans="1:1" x14ac:dyDescent="0.25">
      <c r="A2805" s="2"/>
    </row>
    <row r="2806" spans="1:1" x14ac:dyDescent="0.25">
      <c r="A2806" s="2"/>
    </row>
    <row r="2807" spans="1:1" x14ac:dyDescent="0.25">
      <c r="A2807" s="2"/>
    </row>
    <row r="2808" spans="1:1" x14ac:dyDescent="0.25">
      <c r="A2808" s="2"/>
    </row>
    <row r="2809" spans="1:1" x14ac:dyDescent="0.25">
      <c r="A2809" s="2"/>
    </row>
    <row r="2810" spans="1:1" x14ac:dyDescent="0.25">
      <c r="A2810" s="2"/>
    </row>
    <row r="2811" spans="1:1" x14ac:dyDescent="0.25">
      <c r="A2811" s="2"/>
    </row>
    <row r="2812" spans="1:1" x14ac:dyDescent="0.25">
      <c r="A2812" s="2"/>
    </row>
    <row r="2813" spans="1:1" x14ac:dyDescent="0.25">
      <c r="A2813" s="2"/>
    </row>
    <row r="2814" spans="1:1" x14ac:dyDescent="0.25">
      <c r="A2814" s="2"/>
    </row>
    <row r="2815" spans="1:1" x14ac:dyDescent="0.25">
      <c r="A2815" s="2"/>
    </row>
    <row r="2816" spans="1:1" x14ac:dyDescent="0.25">
      <c r="A2816" s="2"/>
    </row>
    <row r="2817" spans="1:1" x14ac:dyDescent="0.25">
      <c r="A2817" s="2"/>
    </row>
    <row r="2818" spans="1:1" x14ac:dyDescent="0.25">
      <c r="A2818" s="2"/>
    </row>
    <row r="2819" spans="1:1" x14ac:dyDescent="0.25">
      <c r="A2819" s="2"/>
    </row>
    <row r="2820" spans="1:1" x14ac:dyDescent="0.25">
      <c r="A2820" s="2"/>
    </row>
    <row r="2821" spans="1:1" x14ac:dyDescent="0.25">
      <c r="A2821" s="2"/>
    </row>
    <row r="2822" spans="1:1" x14ac:dyDescent="0.25">
      <c r="A2822" s="2"/>
    </row>
    <row r="2823" spans="1:1" x14ac:dyDescent="0.25">
      <c r="A2823" s="2"/>
    </row>
    <row r="2824" spans="1:1" x14ac:dyDescent="0.25">
      <c r="A2824" s="2"/>
    </row>
    <row r="2825" spans="1:1" x14ac:dyDescent="0.25">
      <c r="A2825" s="2"/>
    </row>
    <row r="2826" spans="1:1" x14ac:dyDescent="0.25">
      <c r="A2826" s="2"/>
    </row>
    <row r="2827" spans="1:1" x14ac:dyDescent="0.25">
      <c r="A2827" s="2"/>
    </row>
    <row r="2828" spans="1:1" x14ac:dyDescent="0.25">
      <c r="A2828" s="2"/>
    </row>
    <row r="2829" spans="1:1" x14ac:dyDescent="0.25">
      <c r="A2829" s="2"/>
    </row>
    <row r="2830" spans="1:1" x14ac:dyDescent="0.25">
      <c r="A2830" s="2"/>
    </row>
    <row r="2831" spans="1:1" x14ac:dyDescent="0.25">
      <c r="A2831" s="2"/>
    </row>
    <row r="2832" spans="1:1" x14ac:dyDescent="0.25">
      <c r="A2832" s="2"/>
    </row>
    <row r="2833" spans="1:1" x14ac:dyDescent="0.25">
      <c r="A2833" s="2"/>
    </row>
    <row r="2834" spans="1:1" x14ac:dyDescent="0.25">
      <c r="A2834" s="2"/>
    </row>
    <row r="2835" spans="1:1" x14ac:dyDescent="0.25">
      <c r="A2835" s="2"/>
    </row>
    <row r="2836" spans="1:1" x14ac:dyDescent="0.25">
      <c r="A2836" s="2"/>
    </row>
    <row r="2837" spans="1:1" x14ac:dyDescent="0.25">
      <c r="A2837" s="2"/>
    </row>
    <row r="2838" spans="1:1" x14ac:dyDescent="0.25">
      <c r="A2838" s="2"/>
    </row>
    <row r="2839" spans="1:1" x14ac:dyDescent="0.25">
      <c r="A2839" s="2"/>
    </row>
    <row r="2840" spans="1:1" x14ac:dyDescent="0.25">
      <c r="A2840" s="2"/>
    </row>
    <row r="2841" spans="1:1" x14ac:dyDescent="0.25">
      <c r="A2841" s="2"/>
    </row>
    <row r="2842" spans="1:1" x14ac:dyDescent="0.25">
      <c r="A2842" s="2"/>
    </row>
    <row r="2843" spans="1:1" x14ac:dyDescent="0.25">
      <c r="A2843" s="2"/>
    </row>
    <row r="2844" spans="1:1" x14ac:dyDescent="0.25">
      <c r="A2844" s="2"/>
    </row>
    <row r="2845" spans="1:1" x14ac:dyDescent="0.25">
      <c r="A2845" s="2"/>
    </row>
    <row r="2846" spans="1:1" x14ac:dyDescent="0.25">
      <c r="A2846" s="2"/>
    </row>
    <row r="2847" spans="1:1" x14ac:dyDescent="0.25">
      <c r="A2847" s="2"/>
    </row>
    <row r="2848" spans="1:1" x14ac:dyDescent="0.25">
      <c r="A2848" s="2"/>
    </row>
    <row r="2849" spans="1:1" x14ac:dyDescent="0.25">
      <c r="A2849" s="2"/>
    </row>
    <row r="2850" spans="1:1" x14ac:dyDescent="0.25">
      <c r="A2850" s="2"/>
    </row>
    <row r="2851" spans="1:1" x14ac:dyDescent="0.25">
      <c r="A2851" s="2"/>
    </row>
    <row r="2852" spans="1:1" x14ac:dyDescent="0.25">
      <c r="A2852" s="2"/>
    </row>
    <row r="2853" spans="1:1" x14ac:dyDescent="0.25">
      <c r="A2853" s="2"/>
    </row>
    <row r="2854" spans="1:1" x14ac:dyDescent="0.25">
      <c r="A2854" s="2"/>
    </row>
    <row r="2855" spans="1:1" x14ac:dyDescent="0.25">
      <c r="A2855" s="2"/>
    </row>
    <row r="2856" spans="1:1" x14ac:dyDescent="0.25">
      <c r="A2856" s="2"/>
    </row>
    <row r="2857" spans="1:1" x14ac:dyDescent="0.25">
      <c r="A2857" s="2"/>
    </row>
    <row r="2858" spans="1:1" x14ac:dyDescent="0.25">
      <c r="A2858" s="2"/>
    </row>
    <row r="2859" spans="1:1" x14ac:dyDescent="0.25">
      <c r="A2859" s="2"/>
    </row>
    <row r="2860" spans="1:1" x14ac:dyDescent="0.25">
      <c r="A2860" s="2"/>
    </row>
    <row r="2861" spans="1:1" x14ac:dyDescent="0.25">
      <c r="A2861" s="2"/>
    </row>
    <row r="2862" spans="1:1" x14ac:dyDescent="0.25">
      <c r="A2862" s="2"/>
    </row>
    <row r="2863" spans="1:1" x14ac:dyDescent="0.25">
      <c r="A2863" s="2"/>
    </row>
    <row r="2864" spans="1:1" x14ac:dyDescent="0.25">
      <c r="A2864" s="2"/>
    </row>
    <row r="2865" spans="1:1" x14ac:dyDescent="0.25">
      <c r="A2865" s="2"/>
    </row>
    <row r="2866" spans="1:1" x14ac:dyDescent="0.25">
      <c r="A2866" s="2"/>
    </row>
    <row r="2867" spans="1:1" x14ac:dyDescent="0.25">
      <c r="A2867" s="2"/>
    </row>
    <row r="2868" spans="1:1" x14ac:dyDescent="0.25">
      <c r="A2868" s="2"/>
    </row>
    <row r="2869" spans="1:1" x14ac:dyDescent="0.25">
      <c r="A2869" s="2"/>
    </row>
    <row r="2870" spans="1:1" x14ac:dyDescent="0.25">
      <c r="A2870" s="2"/>
    </row>
    <row r="2871" spans="1:1" x14ac:dyDescent="0.25">
      <c r="A2871" s="2"/>
    </row>
    <row r="2872" spans="1:1" x14ac:dyDescent="0.25">
      <c r="A2872" s="2"/>
    </row>
    <row r="2873" spans="1:1" x14ac:dyDescent="0.25">
      <c r="A2873" s="2"/>
    </row>
    <row r="2874" spans="1:1" x14ac:dyDescent="0.25">
      <c r="A2874" s="2"/>
    </row>
    <row r="2875" spans="1:1" x14ac:dyDescent="0.25">
      <c r="A2875" s="2"/>
    </row>
    <row r="2876" spans="1:1" x14ac:dyDescent="0.25">
      <c r="A2876" s="2"/>
    </row>
    <row r="2877" spans="1:1" x14ac:dyDescent="0.25">
      <c r="A2877" s="2"/>
    </row>
    <row r="2878" spans="1:1" x14ac:dyDescent="0.25">
      <c r="A2878" s="2"/>
    </row>
    <row r="2879" spans="1:1" x14ac:dyDescent="0.25">
      <c r="A2879" s="2"/>
    </row>
    <row r="2880" spans="1:1" x14ac:dyDescent="0.25">
      <c r="A2880" s="2"/>
    </row>
    <row r="2881" spans="1:1" x14ac:dyDescent="0.25">
      <c r="A2881" s="2"/>
    </row>
    <row r="2882" spans="1:1" x14ac:dyDescent="0.25">
      <c r="A2882" s="2"/>
    </row>
    <row r="2883" spans="1:1" x14ac:dyDescent="0.25">
      <c r="A2883" s="2"/>
    </row>
    <row r="2884" spans="1:1" x14ac:dyDescent="0.25">
      <c r="A2884" s="2"/>
    </row>
    <row r="2885" spans="1:1" x14ac:dyDescent="0.25">
      <c r="A2885" s="2"/>
    </row>
    <row r="2886" spans="1:1" x14ac:dyDescent="0.25">
      <c r="A2886" s="2"/>
    </row>
    <row r="2887" spans="1:1" x14ac:dyDescent="0.25">
      <c r="A2887" s="2"/>
    </row>
    <row r="2888" spans="1:1" x14ac:dyDescent="0.25">
      <c r="A2888" s="2"/>
    </row>
    <row r="2889" spans="1:1" x14ac:dyDescent="0.25">
      <c r="A2889" s="2"/>
    </row>
    <row r="2890" spans="1:1" x14ac:dyDescent="0.25">
      <c r="A2890" s="2"/>
    </row>
    <row r="2891" spans="1:1" x14ac:dyDescent="0.25">
      <c r="A2891" s="2"/>
    </row>
    <row r="2892" spans="1:1" x14ac:dyDescent="0.25">
      <c r="A2892" s="2"/>
    </row>
    <row r="2893" spans="1:1" x14ac:dyDescent="0.25">
      <c r="A2893" s="2"/>
    </row>
    <row r="2894" spans="1:1" x14ac:dyDescent="0.25">
      <c r="A2894" s="2"/>
    </row>
    <row r="2895" spans="1:1" x14ac:dyDescent="0.25">
      <c r="A2895" s="2"/>
    </row>
    <row r="2896" spans="1:1" x14ac:dyDescent="0.25">
      <c r="A2896" s="2"/>
    </row>
    <row r="2897" spans="1:1" x14ac:dyDescent="0.25">
      <c r="A2897" s="2"/>
    </row>
    <row r="2898" spans="1:1" x14ac:dyDescent="0.25">
      <c r="A2898" s="2"/>
    </row>
    <row r="2899" spans="1:1" x14ac:dyDescent="0.25">
      <c r="A2899" s="2"/>
    </row>
    <row r="2900" spans="1:1" x14ac:dyDescent="0.25">
      <c r="A2900" s="2"/>
    </row>
    <row r="2901" spans="1:1" x14ac:dyDescent="0.25">
      <c r="A2901" s="2"/>
    </row>
    <row r="2902" spans="1:1" x14ac:dyDescent="0.25">
      <c r="A2902" s="2"/>
    </row>
    <row r="2903" spans="1:1" x14ac:dyDescent="0.25">
      <c r="A2903" s="2"/>
    </row>
    <row r="2904" spans="1:1" x14ac:dyDescent="0.25">
      <c r="A2904" s="2"/>
    </row>
    <row r="2905" spans="1:1" x14ac:dyDescent="0.25">
      <c r="A2905" s="2"/>
    </row>
    <row r="2906" spans="1:1" x14ac:dyDescent="0.25">
      <c r="A2906" s="2"/>
    </row>
    <row r="2907" spans="1:1" x14ac:dyDescent="0.25">
      <c r="A2907" s="2"/>
    </row>
    <row r="2908" spans="1:1" x14ac:dyDescent="0.25">
      <c r="A2908" s="2"/>
    </row>
    <row r="2909" spans="1:1" x14ac:dyDescent="0.25">
      <c r="A2909" s="2"/>
    </row>
    <row r="2910" spans="1:1" x14ac:dyDescent="0.25">
      <c r="A2910" s="2"/>
    </row>
    <row r="2911" spans="1:1" x14ac:dyDescent="0.25">
      <c r="A2911" s="2"/>
    </row>
    <row r="2912" spans="1:1" x14ac:dyDescent="0.25">
      <c r="A2912" s="2"/>
    </row>
    <row r="2913" spans="1:1" x14ac:dyDescent="0.25">
      <c r="A2913" s="2"/>
    </row>
    <row r="2914" spans="1:1" x14ac:dyDescent="0.25">
      <c r="A2914" s="2"/>
    </row>
    <row r="2915" spans="1:1" x14ac:dyDescent="0.25">
      <c r="A2915" s="2"/>
    </row>
    <row r="2916" spans="1:1" x14ac:dyDescent="0.25">
      <c r="A2916" s="2"/>
    </row>
    <row r="2917" spans="1:1" x14ac:dyDescent="0.25">
      <c r="A2917" s="2"/>
    </row>
    <row r="2918" spans="1:1" x14ac:dyDescent="0.25">
      <c r="A2918" s="2"/>
    </row>
    <row r="2919" spans="1:1" x14ac:dyDescent="0.25">
      <c r="A2919" s="2"/>
    </row>
    <row r="2920" spans="1:1" x14ac:dyDescent="0.25">
      <c r="A2920" s="2"/>
    </row>
    <row r="2921" spans="1:1" x14ac:dyDescent="0.25">
      <c r="A2921" s="2"/>
    </row>
    <row r="2922" spans="1:1" x14ac:dyDescent="0.25">
      <c r="A2922" s="2"/>
    </row>
    <row r="2923" spans="1:1" x14ac:dyDescent="0.25">
      <c r="A2923" s="2"/>
    </row>
    <row r="2924" spans="1:1" x14ac:dyDescent="0.25">
      <c r="A2924" s="2"/>
    </row>
    <row r="2925" spans="1:1" x14ac:dyDescent="0.25">
      <c r="A2925" s="2"/>
    </row>
    <row r="2926" spans="1:1" x14ac:dyDescent="0.25">
      <c r="A2926" s="2"/>
    </row>
    <row r="2927" spans="1:1" x14ac:dyDescent="0.25">
      <c r="A2927" s="2"/>
    </row>
    <row r="2928" spans="1:1" x14ac:dyDescent="0.25">
      <c r="A2928" s="2"/>
    </row>
    <row r="2929" spans="1:1" x14ac:dyDescent="0.25">
      <c r="A2929" s="2"/>
    </row>
    <row r="2930" spans="1:1" x14ac:dyDescent="0.25">
      <c r="A2930" s="2"/>
    </row>
    <row r="2931" spans="1:1" x14ac:dyDescent="0.25">
      <c r="A2931" s="2"/>
    </row>
    <row r="2932" spans="1:1" x14ac:dyDescent="0.25">
      <c r="A2932" s="2"/>
    </row>
    <row r="2933" spans="1:1" x14ac:dyDescent="0.25">
      <c r="A2933" s="2"/>
    </row>
    <row r="2934" spans="1:1" x14ac:dyDescent="0.25">
      <c r="A2934" s="2"/>
    </row>
    <row r="2935" spans="1:1" x14ac:dyDescent="0.25">
      <c r="A2935" s="2"/>
    </row>
    <row r="2936" spans="1:1" x14ac:dyDescent="0.25">
      <c r="A2936" s="2"/>
    </row>
    <row r="2937" spans="1:1" x14ac:dyDescent="0.25">
      <c r="A2937" s="2"/>
    </row>
    <row r="2938" spans="1:1" x14ac:dyDescent="0.25">
      <c r="A2938" s="2"/>
    </row>
    <row r="2939" spans="1:1" x14ac:dyDescent="0.25">
      <c r="A2939" s="2"/>
    </row>
    <row r="2940" spans="1:1" x14ac:dyDescent="0.25">
      <c r="A2940" s="2"/>
    </row>
    <row r="2941" spans="1:1" x14ac:dyDescent="0.25">
      <c r="A2941" s="2"/>
    </row>
    <row r="2942" spans="1:1" x14ac:dyDescent="0.25">
      <c r="A2942" s="2"/>
    </row>
    <row r="2943" spans="1:1" x14ac:dyDescent="0.25">
      <c r="A2943" s="2"/>
    </row>
    <row r="2944" spans="1:1" x14ac:dyDescent="0.25">
      <c r="A2944" s="2"/>
    </row>
    <row r="2945" spans="1:1" x14ac:dyDescent="0.25">
      <c r="A2945" s="2"/>
    </row>
    <row r="2946" spans="1:1" x14ac:dyDescent="0.25">
      <c r="A2946" s="2"/>
    </row>
    <row r="2947" spans="1:1" x14ac:dyDescent="0.25">
      <c r="A2947" s="2"/>
    </row>
    <row r="2948" spans="1:1" x14ac:dyDescent="0.25">
      <c r="A2948" s="2"/>
    </row>
    <row r="2949" spans="1:1" x14ac:dyDescent="0.25">
      <c r="A2949" s="2"/>
    </row>
    <row r="2950" spans="1:1" x14ac:dyDescent="0.25">
      <c r="A2950" s="2"/>
    </row>
    <row r="2951" spans="1:1" x14ac:dyDescent="0.25">
      <c r="A2951" s="2"/>
    </row>
    <row r="2952" spans="1:1" x14ac:dyDescent="0.25">
      <c r="A2952" s="2"/>
    </row>
    <row r="2953" spans="1:1" x14ac:dyDescent="0.25">
      <c r="A2953" s="2"/>
    </row>
    <row r="2954" spans="1:1" x14ac:dyDescent="0.25">
      <c r="A2954" s="2"/>
    </row>
    <row r="2955" spans="1:1" x14ac:dyDescent="0.25">
      <c r="A2955" s="2"/>
    </row>
    <row r="2956" spans="1:1" x14ac:dyDescent="0.25">
      <c r="A2956" s="2"/>
    </row>
    <row r="2957" spans="1:1" x14ac:dyDescent="0.25">
      <c r="A2957" s="2"/>
    </row>
    <row r="2958" spans="1:1" x14ac:dyDescent="0.25">
      <c r="A2958" s="2"/>
    </row>
    <row r="2959" spans="1:1" x14ac:dyDescent="0.25">
      <c r="A2959" s="2"/>
    </row>
    <row r="2960" spans="1:1" x14ac:dyDescent="0.25">
      <c r="A2960" s="2"/>
    </row>
    <row r="2961" spans="1:1" x14ac:dyDescent="0.25">
      <c r="A2961" s="2"/>
    </row>
    <row r="2962" spans="1:1" x14ac:dyDescent="0.25">
      <c r="A2962" s="2"/>
    </row>
    <row r="2963" spans="1:1" x14ac:dyDescent="0.25">
      <c r="A2963" s="2"/>
    </row>
    <row r="2964" spans="1:1" x14ac:dyDescent="0.25">
      <c r="A2964" s="2"/>
    </row>
    <row r="2965" spans="1:1" x14ac:dyDescent="0.25">
      <c r="A2965" s="2"/>
    </row>
    <row r="2966" spans="1:1" x14ac:dyDescent="0.25">
      <c r="A2966" s="2"/>
    </row>
    <row r="2967" spans="1:1" x14ac:dyDescent="0.25">
      <c r="A2967" s="2"/>
    </row>
    <row r="2968" spans="1:1" x14ac:dyDescent="0.25">
      <c r="A2968" s="2"/>
    </row>
    <row r="2969" spans="1:1" x14ac:dyDescent="0.25">
      <c r="A2969" s="2"/>
    </row>
    <row r="2970" spans="1:1" x14ac:dyDescent="0.25">
      <c r="A2970" s="2"/>
    </row>
    <row r="2971" spans="1:1" x14ac:dyDescent="0.25">
      <c r="A2971" s="2"/>
    </row>
    <row r="2972" spans="1:1" x14ac:dyDescent="0.25">
      <c r="A2972" s="2"/>
    </row>
    <row r="2973" spans="1:1" x14ac:dyDescent="0.25">
      <c r="A2973" s="2"/>
    </row>
    <row r="2974" spans="1:1" x14ac:dyDescent="0.25">
      <c r="A2974" s="2"/>
    </row>
    <row r="2975" spans="1:1" x14ac:dyDescent="0.25">
      <c r="A2975" s="2"/>
    </row>
    <row r="2976" spans="1:1" x14ac:dyDescent="0.25">
      <c r="A2976" s="2"/>
    </row>
    <row r="2977" spans="1:1" x14ac:dyDescent="0.25">
      <c r="A2977" s="2"/>
    </row>
    <row r="2978" spans="1:1" x14ac:dyDescent="0.25">
      <c r="A2978" s="2"/>
    </row>
    <row r="2979" spans="1:1" x14ac:dyDescent="0.25">
      <c r="A2979" s="2"/>
    </row>
    <row r="2980" spans="1:1" x14ac:dyDescent="0.25">
      <c r="A2980" s="2"/>
    </row>
    <row r="2981" spans="1:1" x14ac:dyDescent="0.25">
      <c r="A2981" s="2"/>
    </row>
    <row r="2982" spans="1:1" x14ac:dyDescent="0.25">
      <c r="A2982" s="2"/>
    </row>
    <row r="2983" spans="1:1" x14ac:dyDescent="0.25">
      <c r="A2983" s="2"/>
    </row>
    <row r="2984" spans="1:1" x14ac:dyDescent="0.25">
      <c r="A2984" s="2"/>
    </row>
    <row r="2985" spans="1:1" x14ac:dyDescent="0.25">
      <c r="A2985" s="2"/>
    </row>
    <row r="2986" spans="1:1" x14ac:dyDescent="0.25">
      <c r="A2986" s="2"/>
    </row>
    <row r="2987" spans="1:1" x14ac:dyDescent="0.25">
      <c r="A2987" s="2"/>
    </row>
    <row r="2988" spans="1:1" x14ac:dyDescent="0.25">
      <c r="A2988" s="2"/>
    </row>
    <row r="2989" spans="1:1" x14ac:dyDescent="0.25">
      <c r="A2989" s="2"/>
    </row>
    <row r="2990" spans="1:1" x14ac:dyDescent="0.25">
      <c r="A2990" s="2"/>
    </row>
    <row r="2991" spans="1:1" x14ac:dyDescent="0.25">
      <c r="A2991" s="2"/>
    </row>
    <row r="2992" spans="1:1" x14ac:dyDescent="0.25">
      <c r="A2992" s="2"/>
    </row>
    <row r="2993" spans="1:1" x14ac:dyDescent="0.25">
      <c r="A2993" s="2"/>
    </row>
    <row r="2994" spans="1:1" x14ac:dyDescent="0.25">
      <c r="A2994" s="2"/>
    </row>
    <row r="2995" spans="1:1" x14ac:dyDescent="0.25">
      <c r="A2995" s="2"/>
    </row>
    <row r="2996" spans="1:1" x14ac:dyDescent="0.25">
      <c r="A2996" s="2"/>
    </row>
    <row r="2997" spans="1:1" x14ac:dyDescent="0.25">
      <c r="A2997" s="2"/>
    </row>
    <row r="2998" spans="1:1" x14ac:dyDescent="0.25">
      <c r="A2998" s="2"/>
    </row>
    <row r="2999" spans="1:1" x14ac:dyDescent="0.25">
      <c r="A2999" s="2"/>
    </row>
    <row r="3000" spans="1:1" x14ac:dyDescent="0.25">
      <c r="A3000" s="2"/>
    </row>
    <row r="3001" spans="1:1" x14ac:dyDescent="0.25">
      <c r="A3001" s="2"/>
    </row>
    <row r="3002" spans="1:1" x14ac:dyDescent="0.25">
      <c r="A3002" s="2"/>
    </row>
    <row r="3003" spans="1:1" x14ac:dyDescent="0.25">
      <c r="A3003" s="2"/>
    </row>
    <row r="3004" spans="1:1" x14ac:dyDescent="0.25">
      <c r="A3004" s="2"/>
    </row>
    <row r="3005" spans="1:1" x14ac:dyDescent="0.25">
      <c r="A3005" s="2"/>
    </row>
    <row r="3006" spans="1:1" x14ac:dyDescent="0.25">
      <c r="A3006" s="2"/>
    </row>
    <row r="3007" spans="1:1" x14ac:dyDescent="0.25">
      <c r="A3007" s="2"/>
    </row>
    <row r="3008" spans="1:1" x14ac:dyDescent="0.25">
      <c r="A3008" s="2"/>
    </row>
    <row r="3009" spans="1:1" x14ac:dyDescent="0.25">
      <c r="A3009" s="2"/>
    </row>
    <row r="3010" spans="1:1" x14ac:dyDescent="0.25">
      <c r="A3010" s="2"/>
    </row>
    <row r="3011" spans="1:1" x14ac:dyDescent="0.25">
      <c r="A3011" s="2"/>
    </row>
    <row r="3012" spans="1:1" x14ac:dyDescent="0.25">
      <c r="A3012" s="2"/>
    </row>
    <row r="3013" spans="1:1" x14ac:dyDescent="0.25">
      <c r="A3013" s="2"/>
    </row>
    <row r="3014" spans="1:1" x14ac:dyDescent="0.25">
      <c r="A3014" s="2"/>
    </row>
    <row r="3015" spans="1:1" x14ac:dyDescent="0.25">
      <c r="A3015" s="2"/>
    </row>
    <row r="3016" spans="1:1" x14ac:dyDescent="0.25">
      <c r="A3016" s="2"/>
    </row>
    <row r="3017" spans="1:1" x14ac:dyDescent="0.25">
      <c r="A3017" s="2"/>
    </row>
    <row r="3018" spans="1:1" x14ac:dyDescent="0.25">
      <c r="A3018" s="2"/>
    </row>
    <row r="3019" spans="1:1" x14ac:dyDescent="0.25">
      <c r="A3019" s="2"/>
    </row>
    <row r="3020" spans="1:1" x14ac:dyDescent="0.25">
      <c r="A3020" s="2"/>
    </row>
    <row r="3021" spans="1:1" x14ac:dyDescent="0.25">
      <c r="A3021" s="2"/>
    </row>
    <row r="3022" spans="1:1" x14ac:dyDescent="0.25">
      <c r="A3022" s="2"/>
    </row>
    <row r="3023" spans="1:1" x14ac:dyDescent="0.25">
      <c r="A3023" s="2"/>
    </row>
    <row r="3024" spans="1:1" x14ac:dyDescent="0.25">
      <c r="A3024" s="2"/>
    </row>
    <row r="3025" spans="1:1" x14ac:dyDescent="0.25">
      <c r="A3025" s="2"/>
    </row>
    <row r="3026" spans="1:1" x14ac:dyDescent="0.25">
      <c r="A3026" s="2"/>
    </row>
    <row r="3027" spans="1:1" x14ac:dyDescent="0.25">
      <c r="A3027" s="2"/>
    </row>
    <row r="3028" spans="1:1" x14ac:dyDescent="0.25">
      <c r="A3028" s="2"/>
    </row>
    <row r="3029" spans="1:1" x14ac:dyDescent="0.25">
      <c r="A3029" s="2"/>
    </row>
    <row r="3030" spans="1:1" x14ac:dyDescent="0.25">
      <c r="A3030" s="2"/>
    </row>
    <row r="3031" spans="1:1" x14ac:dyDescent="0.25">
      <c r="A3031" s="2"/>
    </row>
    <row r="3032" spans="1:1" x14ac:dyDescent="0.25">
      <c r="A3032" s="2"/>
    </row>
    <row r="3033" spans="1:1" x14ac:dyDescent="0.25">
      <c r="A3033" s="2"/>
    </row>
    <row r="3034" spans="1:1" x14ac:dyDescent="0.25">
      <c r="A3034" s="2"/>
    </row>
    <row r="3035" spans="1:1" x14ac:dyDescent="0.25">
      <c r="A3035" s="2"/>
    </row>
    <row r="3036" spans="1:1" x14ac:dyDescent="0.25">
      <c r="A3036" s="2"/>
    </row>
    <row r="3037" spans="1:1" x14ac:dyDescent="0.25">
      <c r="A3037" s="2"/>
    </row>
    <row r="3038" spans="1:1" x14ac:dyDescent="0.25">
      <c r="A3038" s="2"/>
    </row>
    <row r="3039" spans="1:1" x14ac:dyDescent="0.25">
      <c r="A3039" s="2"/>
    </row>
    <row r="3040" spans="1:1" x14ac:dyDescent="0.25">
      <c r="A3040" s="2"/>
    </row>
    <row r="3041" spans="1:1" x14ac:dyDescent="0.25">
      <c r="A3041" s="2"/>
    </row>
    <row r="3042" spans="1:1" x14ac:dyDescent="0.25">
      <c r="A3042" s="2"/>
    </row>
    <row r="3043" spans="1:1" x14ac:dyDescent="0.25">
      <c r="A3043" s="2"/>
    </row>
    <row r="3044" spans="1:1" x14ac:dyDescent="0.25">
      <c r="A3044" s="2"/>
    </row>
    <row r="3045" spans="1:1" x14ac:dyDescent="0.25">
      <c r="A3045" s="2"/>
    </row>
    <row r="3046" spans="1:1" x14ac:dyDescent="0.25">
      <c r="A3046" s="2"/>
    </row>
    <row r="3047" spans="1:1" x14ac:dyDescent="0.25">
      <c r="A3047" s="2"/>
    </row>
    <row r="3048" spans="1:1" x14ac:dyDescent="0.25">
      <c r="A3048" s="2"/>
    </row>
    <row r="3049" spans="1:1" x14ac:dyDescent="0.25">
      <c r="A3049" s="2"/>
    </row>
    <row r="3050" spans="1:1" x14ac:dyDescent="0.25">
      <c r="A3050" s="2"/>
    </row>
    <row r="3051" spans="1:1" x14ac:dyDescent="0.25">
      <c r="A3051" s="2"/>
    </row>
    <row r="3052" spans="1:1" x14ac:dyDescent="0.25">
      <c r="A3052" s="2"/>
    </row>
    <row r="3053" spans="1:1" x14ac:dyDescent="0.25">
      <c r="A3053" s="2"/>
    </row>
    <row r="3054" spans="1:1" x14ac:dyDescent="0.25">
      <c r="A3054" s="2"/>
    </row>
    <row r="3055" spans="1:1" x14ac:dyDescent="0.25">
      <c r="A3055" s="2"/>
    </row>
    <row r="3056" spans="1:1" x14ac:dyDescent="0.25">
      <c r="A3056" s="2"/>
    </row>
    <row r="3057" spans="1:1" x14ac:dyDescent="0.25">
      <c r="A3057" s="2"/>
    </row>
    <row r="3058" spans="1:1" x14ac:dyDescent="0.25">
      <c r="A3058" s="2"/>
    </row>
    <row r="3059" spans="1:1" x14ac:dyDescent="0.25">
      <c r="A3059" s="2"/>
    </row>
    <row r="3060" spans="1:1" x14ac:dyDescent="0.25">
      <c r="A3060" s="2"/>
    </row>
    <row r="3061" spans="1:1" x14ac:dyDescent="0.25">
      <c r="A3061" s="2"/>
    </row>
    <row r="3062" spans="1:1" x14ac:dyDescent="0.25">
      <c r="A3062" s="2"/>
    </row>
    <row r="3063" spans="1:1" x14ac:dyDescent="0.25">
      <c r="A3063" s="2"/>
    </row>
    <row r="3064" spans="1:1" x14ac:dyDescent="0.25">
      <c r="A3064" s="2"/>
    </row>
    <row r="3065" spans="1:1" x14ac:dyDescent="0.25">
      <c r="A3065" s="2"/>
    </row>
    <row r="3066" spans="1:1" x14ac:dyDescent="0.25">
      <c r="A3066" s="2"/>
    </row>
    <row r="3067" spans="1:1" x14ac:dyDescent="0.25">
      <c r="A3067" s="2"/>
    </row>
    <row r="3068" spans="1:1" x14ac:dyDescent="0.25">
      <c r="A3068" s="2"/>
    </row>
    <row r="3069" spans="1:1" x14ac:dyDescent="0.25">
      <c r="A3069" s="2"/>
    </row>
    <row r="3070" spans="1:1" x14ac:dyDescent="0.25">
      <c r="A3070" s="2"/>
    </row>
    <row r="3071" spans="1:1" x14ac:dyDescent="0.25">
      <c r="A3071" s="2"/>
    </row>
    <row r="3072" spans="1:1" x14ac:dyDescent="0.25">
      <c r="A3072" s="2"/>
    </row>
    <row r="3073" spans="1:1" x14ac:dyDescent="0.25">
      <c r="A3073" s="2"/>
    </row>
    <row r="3074" spans="1:1" x14ac:dyDescent="0.25">
      <c r="A3074" s="2"/>
    </row>
    <row r="3075" spans="1:1" x14ac:dyDescent="0.25">
      <c r="A3075" s="2"/>
    </row>
    <row r="3076" spans="1:1" x14ac:dyDescent="0.25">
      <c r="A3076" s="2"/>
    </row>
    <row r="3077" spans="1:1" x14ac:dyDescent="0.25">
      <c r="A3077" s="2"/>
    </row>
    <row r="3078" spans="1:1" x14ac:dyDescent="0.25">
      <c r="A3078" s="2"/>
    </row>
    <row r="3079" spans="1:1" x14ac:dyDescent="0.25">
      <c r="A3079" s="2"/>
    </row>
    <row r="3080" spans="1:1" x14ac:dyDescent="0.25">
      <c r="A3080" s="2"/>
    </row>
    <row r="3081" spans="1:1" x14ac:dyDescent="0.25">
      <c r="A3081" s="2"/>
    </row>
    <row r="3082" spans="1:1" x14ac:dyDescent="0.25">
      <c r="A3082" s="2"/>
    </row>
    <row r="3083" spans="1:1" x14ac:dyDescent="0.25">
      <c r="A3083" s="2"/>
    </row>
    <row r="3084" spans="1:1" x14ac:dyDescent="0.25">
      <c r="A3084" s="2"/>
    </row>
    <row r="3085" spans="1:1" x14ac:dyDescent="0.25">
      <c r="A3085" s="2"/>
    </row>
    <row r="3086" spans="1:1" x14ac:dyDescent="0.25">
      <c r="A3086" s="2"/>
    </row>
    <row r="3087" spans="1:1" x14ac:dyDescent="0.25">
      <c r="A3087" s="2"/>
    </row>
    <row r="3088" spans="1:1" x14ac:dyDescent="0.25">
      <c r="A3088" s="2"/>
    </row>
    <row r="3089" spans="1:1" x14ac:dyDescent="0.25">
      <c r="A3089" s="2"/>
    </row>
    <row r="3090" spans="1:1" x14ac:dyDescent="0.25">
      <c r="A3090" s="2"/>
    </row>
    <row r="3091" spans="1:1" x14ac:dyDescent="0.25">
      <c r="A3091" s="2"/>
    </row>
    <row r="3092" spans="1:1" x14ac:dyDescent="0.25">
      <c r="A3092" s="2"/>
    </row>
    <row r="3093" spans="1:1" x14ac:dyDescent="0.25">
      <c r="A3093" s="2"/>
    </row>
    <row r="3094" spans="1:1" x14ac:dyDescent="0.25">
      <c r="A3094" s="2"/>
    </row>
    <row r="3095" spans="1:1" x14ac:dyDescent="0.25">
      <c r="A3095" s="2"/>
    </row>
    <row r="3096" spans="1:1" x14ac:dyDescent="0.25">
      <c r="A3096" s="2"/>
    </row>
    <row r="3097" spans="1:1" x14ac:dyDescent="0.25">
      <c r="A3097" s="2"/>
    </row>
    <row r="3098" spans="1:1" x14ac:dyDescent="0.25">
      <c r="A3098" s="2"/>
    </row>
    <row r="3099" spans="1:1" x14ac:dyDescent="0.25">
      <c r="A3099" s="2"/>
    </row>
    <row r="3100" spans="1:1" x14ac:dyDescent="0.25">
      <c r="A3100" s="2"/>
    </row>
    <row r="3101" spans="1:1" x14ac:dyDescent="0.25">
      <c r="A3101" s="2"/>
    </row>
    <row r="3102" spans="1:1" x14ac:dyDescent="0.25">
      <c r="A3102" s="2"/>
    </row>
    <row r="3103" spans="1:1" x14ac:dyDescent="0.25">
      <c r="A3103" s="2"/>
    </row>
    <row r="3104" spans="1:1" x14ac:dyDescent="0.25">
      <c r="A3104" s="2"/>
    </row>
    <row r="3105" spans="1:1" x14ac:dyDescent="0.25">
      <c r="A3105" s="2"/>
    </row>
    <row r="3106" spans="1:1" x14ac:dyDescent="0.25">
      <c r="A3106" s="2"/>
    </row>
    <row r="3107" spans="1:1" x14ac:dyDescent="0.25">
      <c r="A3107" s="2"/>
    </row>
    <row r="3108" spans="1:1" x14ac:dyDescent="0.25">
      <c r="A3108" s="2"/>
    </row>
    <row r="3109" spans="1:1" x14ac:dyDescent="0.25">
      <c r="A3109" s="2"/>
    </row>
    <row r="3110" spans="1:1" x14ac:dyDescent="0.25">
      <c r="A3110" s="2"/>
    </row>
    <row r="3111" spans="1:1" x14ac:dyDescent="0.25">
      <c r="A3111" s="2"/>
    </row>
    <row r="3112" spans="1:1" x14ac:dyDescent="0.25">
      <c r="A3112" s="2"/>
    </row>
    <row r="3113" spans="1:1" x14ac:dyDescent="0.25">
      <c r="A3113" s="2"/>
    </row>
    <row r="3114" spans="1:1" x14ac:dyDescent="0.25">
      <c r="A3114" s="2"/>
    </row>
    <row r="3115" spans="1:1" x14ac:dyDescent="0.25">
      <c r="A3115" s="2"/>
    </row>
    <row r="3116" spans="1:1" x14ac:dyDescent="0.25">
      <c r="A3116" s="2"/>
    </row>
    <row r="3117" spans="1:1" x14ac:dyDescent="0.25">
      <c r="A3117" s="2"/>
    </row>
    <row r="3118" spans="1:1" x14ac:dyDescent="0.25">
      <c r="A3118" s="2"/>
    </row>
    <row r="3119" spans="1:1" x14ac:dyDescent="0.25">
      <c r="A3119" s="2"/>
    </row>
    <row r="3120" spans="1:1" x14ac:dyDescent="0.25">
      <c r="A3120" s="2"/>
    </row>
    <row r="3121" spans="1:1" x14ac:dyDescent="0.25">
      <c r="A3121" s="2"/>
    </row>
    <row r="3122" spans="1:1" x14ac:dyDescent="0.25">
      <c r="A3122" s="2"/>
    </row>
    <row r="3123" spans="1:1" x14ac:dyDescent="0.25">
      <c r="A3123" s="2"/>
    </row>
    <row r="3124" spans="1:1" x14ac:dyDescent="0.25">
      <c r="A3124" s="2"/>
    </row>
    <row r="3125" spans="1:1" x14ac:dyDescent="0.25">
      <c r="A3125" s="2"/>
    </row>
    <row r="3126" spans="1:1" x14ac:dyDescent="0.25">
      <c r="A3126" s="2"/>
    </row>
    <row r="3127" spans="1:1" x14ac:dyDescent="0.25">
      <c r="A3127" s="2"/>
    </row>
    <row r="3128" spans="1:1" x14ac:dyDescent="0.25">
      <c r="A3128" s="2"/>
    </row>
    <row r="3129" spans="1:1" x14ac:dyDescent="0.25">
      <c r="A3129" s="2"/>
    </row>
    <row r="3130" spans="1:1" x14ac:dyDescent="0.25">
      <c r="A3130" s="2"/>
    </row>
    <row r="3131" spans="1:1" x14ac:dyDescent="0.25">
      <c r="A3131" s="2"/>
    </row>
    <row r="3132" spans="1:1" x14ac:dyDescent="0.25">
      <c r="A3132" s="2"/>
    </row>
    <row r="3133" spans="1:1" x14ac:dyDescent="0.25">
      <c r="A3133" s="2"/>
    </row>
    <row r="3134" spans="1:1" x14ac:dyDescent="0.25">
      <c r="A3134" s="2"/>
    </row>
    <row r="3135" spans="1:1" x14ac:dyDescent="0.25">
      <c r="A3135" s="2"/>
    </row>
    <row r="3136" spans="1:1" x14ac:dyDescent="0.25">
      <c r="A3136" s="2"/>
    </row>
    <row r="3137" spans="1:1" x14ac:dyDescent="0.25">
      <c r="A3137" s="2"/>
    </row>
    <row r="3138" spans="1:1" x14ac:dyDescent="0.25">
      <c r="A3138" s="2"/>
    </row>
    <row r="3139" spans="1:1" x14ac:dyDescent="0.25">
      <c r="A3139" s="2"/>
    </row>
    <row r="3140" spans="1:1" x14ac:dyDescent="0.25">
      <c r="A3140" s="2"/>
    </row>
    <row r="3141" spans="1:1" x14ac:dyDescent="0.25">
      <c r="A3141" s="2"/>
    </row>
    <row r="3142" spans="1:1" x14ac:dyDescent="0.25">
      <c r="A3142" s="2"/>
    </row>
    <row r="3143" spans="1:1" x14ac:dyDescent="0.25">
      <c r="A3143" s="2"/>
    </row>
    <row r="3144" spans="1:1" x14ac:dyDescent="0.25">
      <c r="A3144" s="2"/>
    </row>
    <row r="3145" spans="1:1" x14ac:dyDescent="0.25">
      <c r="A3145" s="2"/>
    </row>
    <row r="3146" spans="1:1" x14ac:dyDescent="0.25">
      <c r="A3146" s="2"/>
    </row>
    <row r="3147" spans="1:1" x14ac:dyDescent="0.25">
      <c r="A3147" s="2"/>
    </row>
    <row r="3148" spans="1:1" x14ac:dyDescent="0.25">
      <c r="A3148" s="2"/>
    </row>
    <row r="3149" spans="1:1" x14ac:dyDescent="0.25">
      <c r="A3149" s="2"/>
    </row>
    <row r="3150" spans="1:1" x14ac:dyDescent="0.25">
      <c r="A3150" s="2"/>
    </row>
    <row r="3151" spans="1:1" x14ac:dyDescent="0.25">
      <c r="A3151" s="2"/>
    </row>
    <row r="3152" spans="1:1" x14ac:dyDescent="0.25">
      <c r="A3152" s="2"/>
    </row>
    <row r="3153" spans="1:1" x14ac:dyDescent="0.25">
      <c r="A3153" s="2"/>
    </row>
    <row r="3154" spans="1:1" x14ac:dyDescent="0.25">
      <c r="A3154" s="2"/>
    </row>
    <row r="3155" spans="1:1" x14ac:dyDescent="0.25">
      <c r="A3155" s="2"/>
    </row>
    <row r="3156" spans="1:1" x14ac:dyDescent="0.25">
      <c r="A3156" s="2"/>
    </row>
    <row r="3157" spans="1:1" x14ac:dyDescent="0.25">
      <c r="A3157" s="2"/>
    </row>
    <row r="3158" spans="1:1" x14ac:dyDescent="0.25">
      <c r="A3158" s="2"/>
    </row>
    <row r="3159" spans="1:1" x14ac:dyDescent="0.25">
      <c r="A3159" s="2"/>
    </row>
    <row r="3160" spans="1:1" x14ac:dyDescent="0.25">
      <c r="A3160" s="2"/>
    </row>
    <row r="3161" spans="1:1" x14ac:dyDescent="0.25">
      <c r="A3161" s="2"/>
    </row>
    <row r="3162" spans="1:1" x14ac:dyDescent="0.25">
      <c r="A3162" s="2"/>
    </row>
    <row r="3163" spans="1:1" x14ac:dyDescent="0.25">
      <c r="A3163" s="2"/>
    </row>
    <row r="3164" spans="1:1" x14ac:dyDescent="0.25">
      <c r="A3164" s="2"/>
    </row>
    <row r="3165" spans="1:1" x14ac:dyDescent="0.25">
      <c r="A3165" s="2"/>
    </row>
    <row r="3166" spans="1:1" x14ac:dyDescent="0.25">
      <c r="A3166" s="2"/>
    </row>
    <row r="3167" spans="1:1" x14ac:dyDescent="0.25">
      <c r="A3167" s="2"/>
    </row>
    <row r="3168" spans="1:1" x14ac:dyDescent="0.25">
      <c r="A3168" s="2"/>
    </row>
    <row r="3169" spans="1:1" x14ac:dyDescent="0.25">
      <c r="A3169" s="2"/>
    </row>
    <row r="3170" spans="1:1" x14ac:dyDescent="0.25">
      <c r="A3170" s="2"/>
    </row>
    <row r="3171" spans="1:1" x14ac:dyDescent="0.25">
      <c r="A3171" s="2"/>
    </row>
    <row r="3172" spans="1:1" x14ac:dyDescent="0.25">
      <c r="A3172" s="2"/>
    </row>
    <row r="3173" spans="1:1" x14ac:dyDescent="0.25">
      <c r="A3173" s="2"/>
    </row>
    <row r="3174" spans="1:1" x14ac:dyDescent="0.25">
      <c r="A3174" s="2"/>
    </row>
    <row r="3175" spans="1:1" x14ac:dyDescent="0.25">
      <c r="A3175" s="2"/>
    </row>
    <row r="3176" spans="1:1" x14ac:dyDescent="0.25">
      <c r="A3176" s="2"/>
    </row>
    <row r="3177" spans="1:1" x14ac:dyDescent="0.25">
      <c r="A3177" s="2"/>
    </row>
    <row r="3178" spans="1:1" x14ac:dyDescent="0.25">
      <c r="A3178" s="2"/>
    </row>
    <row r="3179" spans="1:1" x14ac:dyDescent="0.25">
      <c r="A3179" s="2"/>
    </row>
    <row r="3180" spans="1:1" x14ac:dyDescent="0.25">
      <c r="A3180" s="2"/>
    </row>
    <row r="3181" spans="1:1" x14ac:dyDescent="0.25">
      <c r="A3181" s="2"/>
    </row>
    <row r="3182" spans="1:1" x14ac:dyDescent="0.25">
      <c r="A3182" s="2"/>
    </row>
    <row r="3183" spans="1:1" x14ac:dyDescent="0.25">
      <c r="A3183" s="2"/>
    </row>
    <row r="3184" spans="1:1" x14ac:dyDescent="0.25">
      <c r="A3184" s="2"/>
    </row>
    <row r="3185" spans="1:1" x14ac:dyDescent="0.25">
      <c r="A3185" s="2"/>
    </row>
    <row r="3186" spans="1:1" x14ac:dyDescent="0.25">
      <c r="A3186" s="2"/>
    </row>
    <row r="3187" spans="1:1" x14ac:dyDescent="0.25">
      <c r="A3187" s="2"/>
    </row>
    <row r="3188" spans="1:1" x14ac:dyDescent="0.25">
      <c r="A3188" s="2"/>
    </row>
    <row r="3189" spans="1:1" x14ac:dyDescent="0.25">
      <c r="A3189" s="2"/>
    </row>
    <row r="3190" spans="1:1" x14ac:dyDescent="0.25">
      <c r="A3190" s="2"/>
    </row>
    <row r="3191" spans="1:1" x14ac:dyDescent="0.25">
      <c r="A3191" s="2"/>
    </row>
    <row r="3192" spans="1:1" x14ac:dyDescent="0.25">
      <c r="A3192" s="2"/>
    </row>
    <row r="3193" spans="1:1" x14ac:dyDescent="0.25">
      <c r="A3193" s="2"/>
    </row>
    <row r="3194" spans="1:1" x14ac:dyDescent="0.25">
      <c r="A3194" s="2"/>
    </row>
    <row r="3195" spans="1:1" x14ac:dyDescent="0.25">
      <c r="A3195" s="2"/>
    </row>
    <row r="3196" spans="1:1" x14ac:dyDescent="0.25">
      <c r="A3196" s="2"/>
    </row>
    <row r="3197" spans="1:1" x14ac:dyDescent="0.25">
      <c r="A3197" s="2"/>
    </row>
    <row r="3198" spans="1:1" x14ac:dyDescent="0.25">
      <c r="A3198" s="2"/>
    </row>
    <row r="3199" spans="1:1" x14ac:dyDescent="0.25">
      <c r="A3199" s="2"/>
    </row>
    <row r="3200" spans="1:1" x14ac:dyDescent="0.25">
      <c r="A3200" s="2"/>
    </row>
    <row r="3201" spans="1:1" x14ac:dyDescent="0.25">
      <c r="A3201" s="2"/>
    </row>
    <row r="3202" spans="1:1" x14ac:dyDescent="0.25">
      <c r="A3202" s="2"/>
    </row>
    <row r="3203" spans="1:1" x14ac:dyDescent="0.25">
      <c r="A3203" s="2"/>
    </row>
    <row r="3204" spans="1:1" x14ac:dyDescent="0.25">
      <c r="A3204" s="2"/>
    </row>
    <row r="3205" spans="1:1" x14ac:dyDescent="0.25">
      <c r="A3205" s="2"/>
    </row>
    <row r="3206" spans="1:1" x14ac:dyDescent="0.25">
      <c r="A3206" s="2"/>
    </row>
    <row r="3207" spans="1:1" x14ac:dyDescent="0.25">
      <c r="A3207" s="2"/>
    </row>
    <row r="3208" spans="1:1" x14ac:dyDescent="0.25">
      <c r="A3208" s="2"/>
    </row>
    <row r="3209" spans="1:1" x14ac:dyDescent="0.25">
      <c r="A3209" s="2"/>
    </row>
    <row r="3210" spans="1:1" x14ac:dyDescent="0.25">
      <c r="A3210" s="2"/>
    </row>
    <row r="3211" spans="1:1" x14ac:dyDescent="0.25">
      <c r="A3211" s="2"/>
    </row>
    <row r="3212" spans="1:1" x14ac:dyDescent="0.25">
      <c r="A3212" s="2"/>
    </row>
    <row r="3213" spans="1:1" x14ac:dyDescent="0.25">
      <c r="A3213" s="2"/>
    </row>
    <row r="3214" spans="1:1" x14ac:dyDescent="0.25">
      <c r="A3214" s="2"/>
    </row>
    <row r="3215" spans="1:1" x14ac:dyDescent="0.25">
      <c r="A3215" s="2"/>
    </row>
    <row r="3216" spans="1:1" x14ac:dyDescent="0.25">
      <c r="A3216" s="2"/>
    </row>
    <row r="3217" spans="1:1" x14ac:dyDescent="0.25">
      <c r="A3217" s="2"/>
    </row>
    <row r="3218" spans="1:1" x14ac:dyDescent="0.25">
      <c r="A3218" s="2"/>
    </row>
    <row r="3219" spans="1:1" x14ac:dyDescent="0.25">
      <c r="A3219" s="2"/>
    </row>
    <row r="3220" spans="1:1" x14ac:dyDescent="0.25">
      <c r="A3220" s="2"/>
    </row>
    <row r="3221" spans="1:1" x14ac:dyDescent="0.25">
      <c r="A3221" s="2"/>
    </row>
    <row r="3222" spans="1:1" x14ac:dyDescent="0.25">
      <c r="A3222" s="2"/>
    </row>
    <row r="3223" spans="1:1" x14ac:dyDescent="0.25">
      <c r="A3223" s="2"/>
    </row>
    <row r="3224" spans="1:1" x14ac:dyDescent="0.25">
      <c r="A3224" s="2"/>
    </row>
    <row r="3225" spans="1:1" x14ac:dyDescent="0.25">
      <c r="A3225" s="2"/>
    </row>
    <row r="3226" spans="1:1" x14ac:dyDescent="0.25">
      <c r="A3226" s="2"/>
    </row>
    <row r="3227" spans="1:1" x14ac:dyDescent="0.25">
      <c r="A3227" s="2"/>
    </row>
    <row r="3228" spans="1:1" x14ac:dyDescent="0.25">
      <c r="A3228" s="2"/>
    </row>
    <row r="3229" spans="1:1" x14ac:dyDescent="0.25">
      <c r="A3229" s="2"/>
    </row>
    <row r="3230" spans="1:1" x14ac:dyDescent="0.25">
      <c r="A3230" s="2"/>
    </row>
    <row r="3231" spans="1:1" x14ac:dyDescent="0.25">
      <c r="A3231" s="2"/>
    </row>
    <row r="3232" spans="1:1" x14ac:dyDescent="0.25">
      <c r="A3232" s="2"/>
    </row>
    <row r="3233" spans="1:1" x14ac:dyDescent="0.25">
      <c r="A3233" s="2"/>
    </row>
    <row r="3234" spans="1:1" x14ac:dyDescent="0.25">
      <c r="A3234" s="2"/>
    </row>
    <row r="3235" spans="1:1" x14ac:dyDescent="0.25">
      <c r="A3235" s="2"/>
    </row>
    <row r="3236" spans="1:1" x14ac:dyDescent="0.25">
      <c r="A3236" s="2"/>
    </row>
    <row r="3237" spans="1:1" x14ac:dyDescent="0.25">
      <c r="A3237" s="2"/>
    </row>
    <row r="3238" spans="1:1" x14ac:dyDescent="0.25">
      <c r="A3238" s="2"/>
    </row>
    <row r="3239" spans="1:1" x14ac:dyDescent="0.25">
      <c r="A3239" s="2"/>
    </row>
    <row r="3240" spans="1:1" x14ac:dyDescent="0.25">
      <c r="A3240" s="2"/>
    </row>
    <row r="3241" spans="1:1" x14ac:dyDescent="0.25">
      <c r="A3241" s="2"/>
    </row>
    <row r="3242" spans="1:1" x14ac:dyDescent="0.25">
      <c r="A3242" s="2"/>
    </row>
    <row r="3243" spans="1:1" x14ac:dyDescent="0.25">
      <c r="A3243" s="2"/>
    </row>
    <row r="3244" spans="1:1" x14ac:dyDescent="0.25">
      <c r="A3244" s="2"/>
    </row>
    <row r="3245" spans="1:1" x14ac:dyDescent="0.25">
      <c r="A3245" s="2"/>
    </row>
    <row r="3246" spans="1:1" x14ac:dyDescent="0.25">
      <c r="A3246" s="2"/>
    </row>
    <row r="3247" spans="1:1" x14ac:dyDescent="0.25">
      <c r="A3247" s="2"/>
    </row>
    <row r="3248" spans="1:1" x14ac:dyDescent="0.25">
      <c r="A3248" s="2"/>
    </row>
    <row r="3249" spans="1:1" x14ac:dyDescent="0.25">
      <c r="A3249" s="2"/>
    </row>
    <row r="3250" spans="1:1" x14ac:dyDescent="0.25">
      <c r="A3250" s="2"/>
    </row>
    <row r="3251" spans="1:1" x14ac:dyDescent="0.25">
      <c r="A3251" s="2"/>
    </row>
    <row r="3252" spans="1:1" x14ac:dyDescent="0.25">
      <c r="A3252" s="2"/>
    </row>
    <row r="3253" spans="1:1" x14ac:dyDescent="0.25">
      <c r="A3253" s="2"/>
    </row>
    <row r="3254" spans="1:1" x14ac:dyDescent="0.25">
      <c r="A3254" s="2"/>
    </row>
    <row r="3255" spans="1:1" x14ac:dyDescent="0.25">
      <c r="A3255" s="2"/>
    </row>
    <row r="3256" spans="1:1" x14ac:dyDescent="0.25">
      <c r="A3256" s="2"/>
    </row>
    <row r="3257" spans="1:1" x14ac:dyDescent="0.25">
      <c r="A3257" s="2"/>
    </row>
    <row r="3258" spans="1:1" x14ac:dyDescent="0.25">
      <c r="A3258" s="2"/>
    </row>
    <row r="3259" spans="1:1" x14ac:dyDescent="0.25">
      <c r="A3259" s="2"/>
    </row>
    <row r="3260" spans="1:1" x14ac:dyDescent="0.25">
      <c r="A3260" s="2"/>
    </row>
    <row r="3261" spans="1:1" x14ac:dyDescent="0.25">
      <c r="A3261" s="2"/>
    </row>
    <row r="3262" spans="1:1" x14ac:dyDescent="0.25">
      <c r="A3262" s="2"/>
    </row>
    <row r="3263" spans="1:1" x14ac:dyDescent="0.25">
      <c r="A3263" s="2"/>
    </row>
    <row r="3264" spans="1:1" x14ac:dyDescent="0.25">
      <c r="A3264" s="2"/>
    </row>
    <row r="3265" spans="1:1" x14ac:dyDescent="0.25">
      <c r="A3265" s="2"/>
    </row>
    <row r="3266" spans="1:1" x14ac:dyDescent="0.25">
      <c r="A3266" s="2"/>
    </row>
    <row r="3267" spans="1:1" x14ac:dyDescent="0.25">
      <c r="A3267" s="2"/>
    </row>
    <row r="3268" spans="1:1" x14ac:dyDescent="0.25">
      <c r="A3268" s="2"/>
    </row>
    <row r="3269" spans="1:1" x14ac:dyDescent="0.25">
      <c r="A3269" s="2"/>
    </row>
    <row r="3270" spans="1:1" x14ac:dyDescent="0.25">
      <c r="A3270" s="2"/>
    </row>
    <row r="3271" spans="1:1" x14ac:dyDescent="0.25">
      <c r="A3271" s="2"/>
    </row>
    <row r="3272" spans="1:1" x14ac:dyDescent="0.25">
      <c r="A3272" s="2"/>
    </row>
    <row r="3273" spans="1:1" x14ac:dyDescent="0.25">
      <c r="A3273" s="2"/>
    </row>
    <row r="3274" spans="1:1" x14ac:dyDescent="0.25">
      <c r="A3274" s="2"/>
    </row>
    <row r="3275" spans="1:1" x14ac:dyDescent="0.25">
      <c r="A3275" s="2"/>
    </row>
    <row r="3276" spans="1:1" x14ac:dyDescent="0.25">
      <c r="A3276" s="2"/>
    </row>
    <row r="3277" spans="1:1" x14ac:dyDescent="0.25">
      <c r="A3277" s="2"/>
    </row>
    <row r="3278" spans="1:1" x14ac:dyDescent="0.25">
      <c r="A3278" s="2"/>
    </row>
    <row r="3279" spans="1:1" x14ac:dyDescent="0.25">
      <c r="A3279" s="2"/>
    </row>
    <row r="3280" spans="1:1" x14ac:dyDescent="0.25">
      <c r="A3280" s="2"/>
    </row>
    <row r="3281" spans="1:1" x14ac:dyDescent="0.25">
      <c r="A3281" s="2"/>
    </row>
    <row r="3282" spans="1:1" x14ac:dyDescent="0.25">
      <c r="A3282" s="2"/>
    </row>
    <row r="3283" spans="1:1" x14ac:dyDescent="0.25">
      <c r="A3283" s="2"/>
    </row>
    <row r="3284" spans="1:1" x14ac:dyDescent="0.25">
      <c r="A3284" s="2"/>
    </row>
    <row r="3285" spans="1:1" x14ac:dyDescent="0.25">
      <c r="A3285" s="2"/>
    </row>
    <row r="3286" spans="1:1" x14ac:dyDescent="0.25">
      <c r="A3286" s="2"/>
    </row>
    <row r="3287" spans="1:1" x14ac:dyDescent="0.25">
      <c r="A3287" s="2"/>
    </row>
    <row r="3288" spans="1:1" x14ac:dyDescent="0.25">
      <c r="A3288" s="2"/>
    </row>
    <row r="3289" spans="1:1" x14ac:dyDescent="0.25">
      <c r="A3289" s="2"/>
    </row>
    <row r="3290" spans="1:1" x14ac:dyDescent="0.25">
      <c r="A3290" s="2"/>
    </row>
    <row r="3291" spans="1:1" x14ac:dyDescent="0.25">
      <c r="A3291" s="2"/>
    </row>
    <row r="3292" spans="1:1" x14ac:dyDescent="0.25">
      <c r="A3292" s="2"/>
    </row>
    <row r="3293" spans="1:1" x14ac:dyDescent="0.25">
      <c r="A3293" s="2"/>
    </row>
    <row r="3294" spans="1:1" x14ac:dyDescent="0.25">
      <c r="A3294" s="2"/>
    </row>
    <row r="3295" spans="1:1" x14ac:dyDescent="0.25">
      <c r="A3295" s="2"/>
    </row>
    <row r="3296" spans="1:1" x14ac:dyDescent="0.25">
      <c r="A3296" s="2"/>
    </row>
    <row r="3297" spans="1:1" x14ac:dyDescent="0.25">
      <c r="A3297" s="2"/>
    </row>
    <row r="3298" spans="1:1" x14ac:dyDescent="0.25">
      <c r="A3298" s="2"/>
    </row>
    <row r="3299" spans="1:1" x14ac:dyDescent="0.25">
      <c r="A3299" s="2"/>
    </row>
    <row r="3300" spans="1:1" x14ac:dyDescent="0.25">
      <c r="A3300" s="2"/>
    </row>
    <row r="3301" spans="1:1" x14ac:dyDescent="0.25">
      <c r="A3301" s="2"/>
    </row>
    <row r="3302" spans="1:1" x14ac:dyDescent="0.25">
      <c r="A3302" s="2"/>
    </row>
    <row r="3303" spans="1:1" x14ac:dyDescent="0.25">
      <c r="A3303" s="2"/>
    </row>
    <row r="3304" spans="1:1" x14ac:dyDescent="0.25">
      <c r="A3304" s="2"/>
    </row>
    <row r="3305" spans="1:1" x14ac:dyDescent="0.25">
      <c r="A3305" s="2"/>
    </row>
    <row r="3306" spans="1:1" x14ac:dyDescent="0.25">
      <c r="A3306" s="2"/>
    </row>
    <row r="3307" spans="1:1" x14ac:dyDescent="0.25">
      <c r="A3307" s="2"/>
    </row>
    <row r="3308" spans="1:1" x14ac:dyDescent="0.25">
      <c r="A3308" s="2"/>
    </row>
    <row r="3309" spans="1:1" x14ac:dyDescent="0.25">
      <c r="A3309" s="2"/>
    </row>
    <row r="3310" spans="1:1" x14ac:dyDescent="0.25">
      <c r="A3310" s="2"/>
    </row>
    <row r="3311" spans="1:1" x14ac:dyDescent="0.25">
      <c r="A3311" s="2"/>
    </row>
    <row r="3312" spans="1:1" x14ac:dyDescent="0.25">
      <c r="A3312" s="2"/>
    </row>
    <row r="3313" spans="1:1" x14ac:dyDescent="0.25">
      <c r="A3313" s="2"/>
    </row>
    <row r="3314" spans="1:1" x14ac:dyDescent="0.25">
      <c r="A3314" s="2"/>
    </row>
    <row r="3315" spans="1:1" x14ac:dyDescent="0.25">
      <c r="A3315" s="2"/>
    </row>
    <row r="3316" spans="1:1" x14ac:dyDescent="0.25">
      <c r="A3316" s="2"/>
    </row>
    <row r="3317" spans="1:1" x14ac:dyDescent="0.25">
      <c r="A3317" s="2"/>
    </row>
    <row r="3318" spans="1:1" x14ac:dyDescent="0.25">
      <c r="A3318" s="2"/>
    </row>
    <row r="3319" spans="1:1" x14ac:dyDescent="0.25">
      <c r="A3319" s="2"/>
    </row>
    <row r="3320" spans="1:1" x14ac:dyDescent="0.25">
      <c r="A3320" s="2"/>
    </row>
    <row r="3321" spans="1:1" x14ac:dyDescent="0.25">
      <c r="A3321" s="2"/>
    </row>
    <row r="3322" spans="1:1" x14ac:dyDescent="0.25">
      <c r="A3322" s="2"/>
    </row>
    <row r="3323" spans="1:1" x14ac:dyDescent="0.25">
      <c r="A3323" s="2"/>
    </row>
    <row r="3324" spans="1:1" x14ac:dyDescent="0.25">
      <c r="A3324" s="2"/>
    </row>
    <row r="3325" spans="1:1" x14ac:dyDescent="0.25">
      <c r="A3325" s="2"/>
    </row>
    <row r="3326" spans="1:1" x14ac:dyDescent="0.25">
      <c r="A3326" s="2"/>
    </row>
    <row r="3327" spans="1:1" x14ac:dyDescent="0.25">
      <c r="A3327" s="2"/>
    </row>
    <row r="3328" spans="1:1" x14ac:dyDescent="0.25">
      <c r="A3328" s="2"/>
    </row>
    <row r="3329" spans="1:1" x14ac:dyDescent="0.25">
      <c r="A3329" s="2"/>
    </row>
    <row r="3330" spans="1:1" x14ac:dyDescent="0.25">
      <c r="A3330" s="2"/>
    </row>
    <row r="3331" spans="1:1" x14ac:dyDescent="0.25">
      <c r="A3331" s="2"/>
    </row>
    <row r="3332" spans="1:1" x14ac:dyDescent="0.25">
      <c r="A3332" s="2"/>
    </row>
    <row r="3333" spans="1:1" x14ac:dyDescent="0.25">
      <c r="A3333" s="2"/>
    </row>
    <row r="3334" spans="1:1" x14ac:dyDescent="0.25">
      <c r="A3334" s="2"/>
    </row>
    <row r="3335" spans="1:1" x14ac:dyDescent="0.25">
      <c r="A3335" s="2"/>
    </row>
    <row r="3336" spans="1:1" x14ac:dyDescent="0.25">
      <c r="A3336" s="2"/>
    </row>
    <row r="3337" spans="1:1" x14ac:dyDescent="0.25">
      <c r="A3337" s="2"/>
    </row>
    <row r="3338" spans="1:1" x14ac:dyDescent="0.25">
      <c r="A3338" s="2"/>
    </row>
    <row r="3339" spans="1:1" x14ac:dyDescent="0.25">
      <c r="A3339" s="2"/>
    </row>
    <row r="3340" spans="1:1" x14ac:dyDescent="0.25">
      <c r="A3340" s="2"/>
    </row>
    <row r="3341" spans="1:1" x14ac:dyDescent="0.25">
      <c r="A3341" s="2"/>
    </row>
    <row r="3342" spans="1:1" x14ac:dyDescent="0.25">
      <c r="A3342" s="2"/>
    </row>
    <row r="3343" spans="1:1" x14ac:dyDescent="0.25">
      <c r="A3343" s="2"/>
    </row>
    <row r="3344" spans="1:1" x14ac:dyDescent="0.25">
      <c r="A3344" s="2"/>
    </row>
    <row r="3345" spans="1:1" x14ac:dyDescent="0.25">
      <c r="A3345" s="2"/>
    </row>
    <row r="3346" spans="1:1" x14ac:dyDescent="0.25">
      <c r="A3346" s="2"/>
    </row>
    <row r="3347" spans="1:1" x14ac:dyDescent="0.25">
      <c r="A3347" s="2"/>
    </row>
    <row r="3348" spans="1:1" x14ac:dyDescent="0.25">
      <c r="A3348" s="2"/>
    </row>
    <row r="3349" spans="1:1" x14ac:dyDescent="0.25">
      <c r="A3349" s="2"/>
    </row>
    <row r="3350" spans="1:1" x14ac:dyDescent="0.25">
      <c r="A3350" s="2"/>
    </row>
    <row r="3351" spans="1:1" x14ac:dyDescent="0.25">
      <c r="A3351" s="2"/>
    </row>
    <row r="3352" spans="1:1" x14ac:dyDescent="0.25">
      <c r="A3352" s="2"/>
    </row>
    <row r="3353" spans="1:1" x14ac:dyDescent="0.25">
      <c r="A3353" s="2"/>
    </row>
    <row r="3354" spans="1:1" x14ac:dyDescent="0.25">
      <c r="A3354" s="2"/>
    </row>
    <row r="3355" spans="1:1" x14ac:dyDescent="0.25">
      <c r="A3355" s="2"/>
    </row>
    <row r="3356" spans="1:1" x14ac:dyDescent="0.25">
      <c r="A3356" s="2"/>
    </row>
    <row r="3357" spans="1:1" x14ac:dyDescent="0.25">
      <c r="A3357" s="2"/>
    </row>
    <row r="3358" spans="1:1" x14ac:dyDescent="0.25">
      <c r="A3358" s="2"/>
    </row>
    <row r="3359" spans="1:1" x14ac:dyDescent="0.25">
      <c r="A3359" s="2"/>
    </row>
    <row r="3360" spans="1:1" x14ac:dyDescent="0.25">
      <c r="A3360" s="2"/>
    </row>
    <row r="3361" spans="1:1" x14ac:dyDescent="0.25">
      <c r="A3361" s="2"/>
    </row>
    <row r="3362" spans="1:1" x14ac:dyDescent="0.25">
      <c r="A3362" s="2"/>
    </row>
    <row r="3363" spans="1:1" x14ac:dyDescent="0.25">
      <c r="A3363" s="2"/>
    </row>
    <row r="3364" spans="1:1" x14ac:dyDescent="0.25">
      <c r="A3364" s="2"/>
    </row>
    <row r="3365" spans="1:1" x14ac:dyDescent="0.25">
      <c r="A3365" s="2"/>
    </row>
    <row r="3366" spans="1:1" x14ac:dyDescent="0.25">
      <c r="A3366" s="2"/>
    </row>
    <row r="3367" spans="1:1" x14ac:dyDescent="0.25">
      <c r="A3367" s="2"/>
    </row>
    <row r="3368" spans="1:1" x14ac:dyDescent="0.25">
      <c r="A3368" s="2"/>
    </row>
    <row r="3369" spans="1:1" x14ac:dyDescent="0.25">
      <c r="A3369" s="2"/>
    </row>
    <row r="3370" spans="1:1" x14ac:dyDescent="0.25">
      <c r="A3370" s="2"/>
    </row>
    <row r="3371" spans="1:1" x14ac:dyDescent="0.25">
      <c r="A3371" s="2"/>
    </row>
    <row r="3372" spans="1:1" x14ac:dyDescent="0.25">
      <c r="A3372" s="2"/>
    </row>
    <row r="3373" spans="1:1" x14ac:dyDescent="0.25">
      <c r="A3373" s="2"/>
    </row>
    <row r="3374" spans="1:1" x14ac:dyDescent="0.25">
      <c r="A3374" s="2"/>
    </row>
    <row r="3375" spans="1:1" x14ac:dyDescent="0.25">
      <c r="A3375" s="2"/>
    </row>
    <row r="3376" spans="1:1" x14ac:dyDescent="0.25">
      <c r="A3376" s="2"/>
    </row>
    <row r="3377" spans="1:1" x14ac:dyDescent="0.25">
      <c r="A3377" s="2"/>
    </row>
    <row r="3378" spans="1:1" x14ac:dyDescent="0.25">
      <c r="A3378" s="2"/>
    </row>
    <row r="3379" spans="1:1" x14ac:dyDescent="0.25">
      <c r="A3379" s="2"/>
    </row>
    <row r="3380" spans="1:1" x14ac:dyDescent="0.25">
      <c r="A3380" s="2"/>
    </row>
    <row r="3381" spans="1:1" x14ac:dyDescent="0.25">
      <c r="A3381" s="2"/>
    </row>
    <row r="3382" spans="1:1" x14ac:dyDescent="0.25">
      <c r="A3382" s="2"/>
    </row>
    <row r="3383" spans="1:1" x14ac:dyDescent="0.25">
      <c r="A3383" s="2"/>
    </row>
    <row r="3384" spans="1:1" x14ac:dyDescent="0.25">
      <c r="A3384" s="2"/>
    </row>
    <row r="3385" spans="1:1" x14ac:dyDescent="0.25">
      <c r="A3385" s="2"/>
    </row>
    <row r="3386" spans="1:1" x14ac:dyDescent="0.25">
      <c r="A3386" s="2"/>
    </row>
    <row r="3387" spans="1:1" x14ac:dyDescent="0.25">
      <c r="A3387" s="2"/>
    </row>
    <row r="3388" spans="1:1" x14ac:dyDescent="0.25">
      <c r="A3388" s="2"/>
    </row>
    <row r="3389" spans="1:1" x14ac:dyDescent="0.25">
      <c r="A3389" s="2"/>
    </row>
    <row r="3390" spans="1:1" x14ac:dyDescent="0.25">
      <c r="A3390" s="2"/>
    </row>
    <row r="3391" spans="1:1" x14ac:dyDescent="0.25">
      <c r="A3391" s="2"/>
    </row>
    <row r="3392" spans="1:1" x14ac:dyDescent="0.25">
      <c r="A3392" s="2"/>
    </row>
    <row r="3393" spans="1:1" x14ac:dyDescent="0.25">
      <c r="A3393" s="2"/>
    </row>
    <row r="3394" spans="1:1" x14ac:dyDescent="0.25">
      <c r="A3394" s="2"/>
    </row>
    <row r="3395" spans="1:1" x14ac:dyDescent="0.25">
      <c r="A3395" s="2"/>
    </row>
    <row r="3396" spans="1:1" x14ac:dyDescent="0.25">
      <c r="A3396" s="2"/>
    </row>
    <row r="3397" spans="1:1" x14ac:dyDescent="0.25">
      <c r="A3397" s="2"/>
    </row>
    <row r="3398" spans="1:1" x14ac:dyDescent="0.25">
      <c r="A3398" s="2"/>
    </row>
    <row r="3399" spans="1:1" x14ac:dyDescent="0.25">
      <c r="A3399" s="2"/>
    </row>
    <row r="3400" spans="1:1" x14ac:dyDescent="0.25">
      <c r="A3400" s="2"/>
    </row>
    <row r="3401" spans="1:1" x14ac:dyDescent="0.25">
      <c r="A3401" s="2"/>
    </row>
    <row r="3402" spans="1:1" x14ac:dyDescent="0.25">
      <c r="A3402" s="2"/>
    </row>
    <row r="3403" spans="1:1" x14ac:dyDescent="0.25">
      <c r="A3403" s="2"/>
    </row>
    <row r="3404" spans="1:1" x14ac:dyDescent="0.25">
      <c r="A3404" s="2"/>
    </row>
    <row r="3405" spans="1:1" x14ac:dyDescent="0.25">
      <c r="A3405" s="2"/>
    </row>
    <row r="3406" spans="1:1" x14ac:dyDescent="0.25">
      <c r="A3406" s="2"/>
    </row>
    <row r="3407" spans="1:1" x14ac:dyDescent="0.25">
      <c r="A3407" s="2"/>
    </row>
    <row r="3408" spans="1:1" x14ac:dyDescent="0.25">
      <c r="A3408" s="2"/>
    </row>
    <row r="3409" spans="1:1" x14ac:dyDescent="0.25">
      <c r="A3409" s="2"/>
    </row>
    <row r="3410" spans="1:1" x14ac:dyDescent="0.25">
      <c r="A3410" s="2"/>
    </row>
    <row r="3411" spans="1:1" x14ac:dyDescent="0.25">
      <c r="A3411" s="2"/>
    </row>
    <row r="3412" spans="1:1" x14ac:dyDescent="0.25">
      <c r="A3412" s="2"/>
    </row>
    <row r="3413" spans="1:1" x14ac:dyDescent="0.25">
      <c r="A3413" s="2"/>
    </row>
    <row r="3414" spans="1:1" x14ac:dyDescent="0.25">
      <c r="A3414" s="2"/>
    </row>
    <row r="3415" spans="1:1" x14ac:dyDescent="0.25">
      <c r="A3415" s="2"/>
    </row>
    <row r="3416" spans="1:1" x14ac:dyDescent="0.25">
      <c r="A3416" s="2"/>
    </row>
    <row r="3417" spans="1:1" x14ac:dyDescent="0.25">
      <c r="A3417" s="2"/>
    </row>
    <row r="3418" spans="1:1" x14ac:dyDescent="0.25">
      <c r="A3418" s="2"/>
    </row>
    <row r="3419" spans="1:1" x14ac:dyDescent="0.25">
      <c r="A3419" s="2"/>
    </row>
    <row r="3420" spans="1:1" x14ac:dyDescent="0.25">
      <c r="A3420" s="2"/>
    </row>
    <row r="3421" spans="1:1" x14ac:dyDescent="0.25">
      <c r="A3421" s="2"/>
    </row>
    <row r="3422" spans="1:1" x14ac:dyDescent="0.25">
      <c r="A3422" s="2"/>
    </row>
    <row r="3423" spans="1:1" x14ac:dyDescent="0.25">
      <c r="A3423" s="2"/>
    </row>
    <row r="3424" spans="1:1" x14ac:dyDescent="0.25">
      <c r="A3424" s="2"/>
    </row>
    <row r="3425" spans="1:1" x14ac:dyDescent="0.25">
      <c r="A3425" s="2"/>
    </row>
    <row r="3426" spans="1:1" x14ac:dyDescent="0.25">
      <c r="A3426" s="2"/>
    </row>
    <row r="3427" spans="1:1" x14ac:dyDescent="0.25">
      <c r="A3427" s="2"/>
    </row>
    <row r="3428" spans="1:1" x14ac:dyDescent="0.25">
      <c r="A3428" s="2"/>
    </row>
    <row r="3429" spans="1:1" x14ac:dyDescent="0.25">
      <c r="A3429" s="2"/>
    </row>
    <row r="3430" spans="1:1" x14ac:dyDescent="0.25">
      <c r="A3430" s="2"/>
    </row>
    <row r="3431" spans="1:1" x14ac:dyDescent="0.25">
      <c r="A3431" s="2"/>
    </row>
    <row r="3432" spans="1:1" x14ac:dyDescent="0.25">
      <c r="A3432" s="2"/>
    </row>
    <row r="3433" spans="1:1" x14ac:dyDescent="0.25">
      <c r="A3433" s="2"/>
    </row>
    <row r="3434" spans="1:1" x14ac:dyDescent="0.25">
      <c r="A3434" s="2"/>
    </row>
    <row r="3435" spans="1:1" x14ac:dyDescent="0.25">
      <c r="A3435" s="2"/>
    </row>
    <row r="3436" spans="1:1" x14ac:dyDescent="0.25">
      <c r="A3436" s="2"/>
    </row>
    <row r="3437" spans="1:1" x14ac:dyDescent="0.25">
      <c r="A3437" s="2"/>
    </row>
    <row r="3438" spans="1:1" x14ac:dyDescent="0.25">
      <c r="A3438" s="2"/>
    </row>
    <row r="3439" spans="1:1" x14ac:dyDescent="0.25">
      <c r="A3439" s="2"/>
    </row>
    <row r="3440" spans="1:1" x14ac:dyDescent="0.25">
      <c r="A3440" s="2"/>
    </row>
    <row r="3441" spans="1:1" x14ac:dyDescent="0.25">
      <c r="A3441" s="2"/>
    </row>
    <row r="3442" spans="1:1" x14ac:dyDescent="0.25">
      <c r="A3442" s="2"/>
    </row>
    <row r="3443" spans="1:1" x14ac:dyDescent="0.25">
      <c r="A3443" s="2"/>
    </row>
    <row r="3444" spans="1:1" x14ac:dyDescent="0.25">
      <c r="A3444" s="2"/>
    </row>
    <row r="3445" spans="1:1" x14ac:dyDescent="0.25">
      <c r="A3445" s="2"/>
    </row>
    <row r="3446" spans="1:1" x14ac:dyDescent="0.25">
      <c r="A3446" s="2"/>
    </row>
    <row r="3447" spans="1:1" x14ac:dyDescent="0.25">
      <c r="A3447" s="2"/>
    </row>
    <row r="3448" spans="1:1" x14ac:dyDescent="0.25">
      <c r="A3448" s="2"/>
    </row>
    <row r="3449" spans="1:1" x14ac:dyDescent="0.25">
      <c r="A3449" s="2"/>
    </row>
    <row r="3450" spans="1:1" x14ac:dyDescent="0.25">
      <c r="A3450" s="2"/>
    </row>
    <row r="3451" spans="1:1" x14ac:dyDescent="0.25">
      <c r="A3451" s="2"/>
    </row>
    <row r="3452" spans="1:1" x14ac:dyDescent="0.25">
      <c r="A3452" s="2"/>
    </row>
    <row r="3453" spans="1:1" x14ac:dyDescent="0.25">
      <c r="A3453" s="2"/>
    </row>
    <row r="3454" spans="1:1" x14ac:dyDescent="0.25">
      <c r="A3454" s="2"/>
    </row>
    <row r="3455" spans="1:1" x14ac:dyDescent="0.25">
      <c r="A3455" s="2"/>
    </row>
    <row r="3456" spans="1:1" x14ac:dyDescent="0.25">
      <c r="A3456" s="2"/>
    </row>
    <row r="3457" spans="1:1" x14ac:dyDescent="0.25">
      <c r="A3457" s="2"/>
    </row>
    <row r="3458" spans="1:1" x14ac:dyDescent="0.25">
      <c r="A3458" s="2"/>
    </row>
    <row r="3459" spans="1:1" x14ac:dyDescent="0.25">
      <c r="A3459" s="2"/>
    </row>
    <row r="3460" spans="1:1" x14ac:dyDescent="0.25">
      <c r="A3460" s="2"/>
    </row>
    <row r="3461" spans="1:1" x14ac:dyDescent="0.25">
      <c r="A3461" s="2"/>
    </row>
    <row r="3462" spans="1:1" x14ac:dyDescent="0.25">
      <c r="A3462" s="2"/>
    </row>
    <row r="3463" spans="1:1" x14ac:dyDescent="0.25">
      <c r="A3463" s="2"/>
    </row>
    <row r="3464" spans="1:1" x14ac:dyDescent="0.25">
      <c r="A3464" s="2"/>
    </row>
    <row r="3465" spans="1:1" x14ac:dyDescent="0.25">
      <c r="A3465" s="2"/>
    </row>
    <row r="3466" spans="1:1" x14ac:dyDescent="0.25">
      <c r="A3466" s="2"/>
    </row>
    <row r="3467" spans="1:1" x14ac:dyDescent="0.25">
      <c r="A3467" s="2"/>
    </row>
    <row r="3468" spans="1:1" x14ac:dyDescent="0.25">
      <c r="A3468" s="2"/>
    </row>
    <row r="3469" spans="1:1" x14ac:dyDescent="0.25">
      <c r="A3469" s="2"/>
    </row>
    <row r="3470" spans="1:1" x14ac:dyDescent="0.25">
      <c r="A3470" s="2"/>
    </row>
    <row r="3471" spans="1:1" x14ac:dyDescent="0.25">
      <c r="A3471" s="2"/>
    </row>
    <row r="3472" spans="1:1" x14ac:dyDescent="0.25">
      <c r="A3472" s="2"/>
    </row>
    <row r="3473" spans="1:1" x14ac:dyDescent="0.25">
      <c r="A3473" s="2"/>
    </row>
    <row r="3474" spans="1:1" x14ac:dyDescent="0.25">
      <c r="A3474" s="2"/>
    </row>
    <row r="3475" spans="1:1" x14ac:dyDescent="0.25">
      <c r="A3475" s="2"/>
    </row>
    <row r="3476" spans="1:1" x14ac:dyDescent="0.25">
      <c r="A3476" s="2"/>
    </row>
    <row r="3477" spans="1:1" x14ac:dyDescent="0.25">
      <c r="A3477" s="2"/>
    </row>
    <row r="3478" spans="1:1" x14ac:dyDescent="0.25">
      <c r="A3478" s="2"/>
    </row>
    <row r="3479" spans="1:1" x14ac:dyDescent="0.25">
      <c r="A3479" s="2"/>
    </row>
    <row r="3480" spans="1:1" x14ac:dyDescent="0.25">
      <c r="A3480" s="2"/>
    </row>
    <row r="3481" spans="1:1" x14ac:dyDescent="0.25">
      <c r="A3481" s="2"/>
    </row>
    <row r="3482" spans="1:1" x14ac:dyDescent="0.25">
      <c r="A3482" s="2"/>
    </row>
    <row r="3483" spans="1:1" x14ac:dyDescent="0.25">
      <c r="A3483" s="2"/>
    </row>
    <row r="3484" spans="1:1" x14ac:dyDescent="0.25">
      <c r="A3484" s="2"/>
    </row>
    <row r="3485" spans="1:1" x14ac:dyDescent="0.25">
      <c r="A3485" s="2"/>
    </row>
    <row r="3486" spans="1:1" x14ac:dyDescent="0.25">
      <c r="A3486" s="2"/>
    </row>
    <row r="3487" spans="1:1" x14ac:dyDescent="0.25">
      <c r="A3487" s="2"/>
    </row>
    <row r="3488" spans="1:1" x14ac:dyDescent="0.25">
      <c r="A3488" s="2"/>
    </row>
    <row r="3489" spans="1:1" x14ac:dyDescent="0.25">
      <c r="A3489" s="2"/>
    </row>
    <row r="3490" spans="1:1" x14ac:dyDescent="0.25">
      <c r="A3490" s="2"/>
    </row>
    <row r="3491" spans="1:1" x14ac:dyDescent="0.25">
      <c r="A3491" s="2"/>
    </row>
    <row r="3492" spans="1:1" x14ac:dyDescent="0.25">
      <c r="A3492" s="2"/>
    </row>
    <row r="3493" spans="1:1" x14ac:dyDescent="0.25">
      <c r="A3493" s="2"/>
    </row>
    <row r="3494" spans="1:1" x14ac:dyDescent="0.25">
      <c r="A3494" s="2"/>
    </row>
    <row r="3495" spans="1:1" x14ac:dyDescent="0.25">
      <c r="A3495" s="2"/>
    </row>
    <row r="3496" spans="1:1" x14ac:dyDescent="0.25">
      <c r="A3496" s="2"/>
    </row>
    <row r="3497" spans="1:1" x14ac:dyDescent="0.25">
      <c r="A3497" s="2"/>
    </row>
    <row r="3498" spans="1:1" x14ac:dyDescent="0.25">
      <c r="A3498" s="2"/>
    </row>
    <row r="3499" spans="1:1" x14ac:dyDescent="0.25">
      <c r="A3499" s="2"/>
    </row>
    <row r="3500" spans="1:1" x14ac:dyDescent="0.25">
      <c r="A3500" s="2"/>
    </row>
    <row r="3501" spans="1:1" x14ac:dyDescent="0.25">
      <c r="A3501" s="2"/>
    </row>
    <row r="3502" spans="1:1" x14ac:dyDescent="0.25">
      <c r="A3502" s="2"/>
    </row>
    <row r="3503" spans="1:1" x14ac:dyDescent="0.25">
      <c r="A3503" s="2"/>
    </row>
    <row r="3504" spans="1:1" x14ac:dyDescent="0.25">
      <c r="A3504" s="2"/>
    </row>
    <row r="3505" spans="1:1" x14ac:dyDescent="0.25">
      <c r="A3505" s="2"/>
    </row>
    <row r="3506" spans="1:1" x14ac:dyDescent="0.25">
      <c r="A3506" s="2"/>
    </row>
    <row r="3507" spans="1:1" x14ac:dyDescent="0.25">
      <c r="A3507" s="2"/>
    </row>
    <row r="3508" spans="1:1" x14ac:dyDescent="0.25">
      <c r="A3508" s="2"/>
    </row>
    <row r="3509" spans="1:1" x14ac:dyDescent="0.25">
      <c r="A3509" s="2"/>
    </row>
    <row r="3510" spans="1:1" x14ac:dyDescent="0.25">
      <c r="A3510" s="2"/>
    </row>
    <row r="3511" spans="1:1" x14ac:dyDescent="0.25">
      <c r="A3511" s="2"/>
    </row>
    <row r="3512" spans="1:1" x14ac:dyDescent="0.25">
      <c r="A3512" s="2"/>
    </row>
    <row r="3513" spans="1:1" x14ac:dyDescent="0.25">
      <c r="A3513" s="2"/>
    </row>
    <row r="3514" spans="1:1" x14ac:dyDescent="0.25">
      <c r="A3514" s="2"/>
    </row>
    <row r="3515" spans="1:1" x14ac:dyDescent="0.25">
      <c r="A3515" s="2"/>
    </row>
    <row r="3516" spans="1:1" x14ac:dyDescent="0.25">
      <c r="A3516" s="2"/>
    </row>
    <row r="3517" spans="1:1" x14ac:dyDescent="0.25">
      <c r="A3517" s="2"/>
    </row>
    <row r="3518" spans="1:1" x14ac:dyDescent="0.25">
      <c r="A3518" s="2"/>
    </row>
    <row r="3519" spans="1:1" x14ac:dyDescent="0.25">
      <c r="A3519" s="2"/>
    </row>
    <row r="3520" spans="1:1" x14ac:dyDescent="0.25">
      <c r="A3520" s="2"/>
    </row>
    <row r="3521" spans="1:1" x14ac:dyDescent="0.25">
      <c r="A3521" s="2"/>
    </row>
    <row r="3522" spans="1:1" x14ac:dyDescent="0.25">
      <c r="A3522" s="2"/>
    </row>
    <row r="3523" spans="1:1" x14ac:dyDescent="0.25">
      <c r="A3523" s="2"/>
    </row>
    <row r="3524" spans="1:1" x14ac:dyDescent="0.25">
      <c r="A3524" s="2"/>
    </row>
    <row r="3525" spans="1:1" x14ac:dyDescent="0.25">
      <c r="A3525" s="2"/>
    </row>
    <row r="3526" spans="1:1" x14ac:dyDescent="0.25">
      <c r="A3526" s="2"/>
    </row>
    <row r="3527" spans="1:1" x14ac:dyDescent="0.25">
      <c r="A3527" s="2"/>
    </row>
    <row r="3528" spans="1:1" x14ac:dyDescent="0.25">
      <c r="A3528" s="2"/>
    </row>
    <row r="3529" spans="1:1" x14ac:dyDescent="0.25">
      <c r="A3529" s="2"/>
    </row>
    <row r="3530" spans="1:1" x14ac:dyDescent="0.25">
      <c r="A3530" s="2"/>
    </row>
    <row r="3531" spans="1:1" x14ac:dyDescent="0.25">
      <c r="A3531" s="2"/>
    </row>
    <row r="3532" spans="1:1" x14ac:dyDescent="0.25">
      <c r="A3532" s="2"/>
    </row>
    <row r="3533" spans="1:1" x14ac:dyDescent="0.25">
      <c r="A3533" s="2"/>
    </row>
    <row r="3534" spans="1:1" x14ac:dyDescent="0.25">
      <c r="A3534" s="2"/>
    </row>
    <row r="3535" spans="1:1" x14ac:dyDescent="0.25">
      <c r="A3535" s="2"/>
    </row>
    <row r="3536" spans="1:1" x14ac:dyDescent="0.25">
      <c r="A3536" s="2"/>
    </row>
    <row r="3537" spans="1:1" x14ac:dyDescent="0.25">
      <c r="A3537" s="2"/>
    </row>
    <row r="3538" spans="1:1" x14ac:dyDescent="0.25">
      <c r="A3538" s="2"/>
    </row>
    <row r="3539" spans="1:1" x14ac:dyDescent="0.25">
      <c r="A3539" s="2"/>
    </row>
    <row r="3540" spans="1:1" x14ac:dyDescent="0.25">
      <c r="A3540" s="2"/>
    </row>
    <row r="3541" spans="1:1" x14ac:dyDescent="0.25">
      <c r="A3541" s="2"/>
    </row>
    <row r="3542" spans="1:1" x14ac:dyDescent="0.25">
      <c r="A3542" s="2"/>
    </row>
    <row r="3543" spans="1:1" x14ac:dyDescent="0.25">
      <c r="A3543" s="2"/>
    </row>
    <row r="3544" spans="1:1" x14ac:dyDescent="0.25">
      <c r="A3544" s="2"/>
    </row>
    <row r="3545" spans="1:1" x14ac:dyDescent="0.25">
      <c r="A3545" s="2"/>
    </row>
    <row r="3546" spans="1:1" x14ac:dyDescent="0.25">
      <c r="A3546" s="2"/>
    </row>
    <row r="3547" spans="1:1" x14ac:dyDescent="0.25">
      <c r="A3547" s="2"/>
    </row>
    <row r="3548" spans="1:1" x14ac:dyDescent="0.25">
      <c r="A3548" s="2"/>
    </row>
    <row r="3549" spans="1:1" x14ac:dyDescent="0.25">
      <c r="A3549" s="2"/>
    </row>
    <row r="3550" spans="1:1" x14ac:dyDescent="0.25">
      <c r="A3550" s="2"/>
    </row>
    <row r="3551" spans="1:1" x14ac:dyDescent="0.25">
      <c r="A3551" s="2"/>
    </row>
    <row r="3552" spans="1:1" x14ac:dyDescent="0.25">
      <c r="A3552" s="2"/>
    </row>
    <row r="3553" spans="1:1" x14ac:dyDescent="0.25">
      <c r="A3553" s="2"/>
    </row>
    <row r="3554" spans="1:1" x14ac:dyDescent="0.25">
      <c r="A3554" s="2"/>
    </row>
    <row r="3555" spans="1:1" x14ac:dyDescent="0.25">
      <c r="A3555" s="2"/>
    </row>
    <row r="3556" spans="1:1" x14ac:dyDescent="0.25">
      <c r="A3556" s="2"/>
    </row>
    <row r="3557" spans="1:1" x14ac:dyDescent="0.25">
      <c r="A3557" s="2"/>
    </row>
    <row r="3558" spans="1:1" x14ac:dyDescent="0.25">
      <c r="A3558" s="2"/>
    </row>
    <row r="3559" spans="1:1" x14ac:dyDescent="0.25">
      <c r="A3559" s="2"/>
    </row>
    <row r="3560" spans="1:1" x14ac:dyDescent="0.25">
      <c r="A3560" s="2"/>
    </row>
    <row r="3561" spans="1:1" x14ac:dyDescent="0.25">
      <c r="A3561" s="2"/>
    </row>
    <row r="3562" spans="1:1" x14ac:dyDescent="0.25">
      <c r="A3562" s="2"/>
    </row>
    <row r="3563" spans="1:1" x14ac:dyDescent="0.25">
      <c r="A3563" s="2"/>
    </row>
    <row r="3564" spans="1:1" x14ac:dyDescent="0.25">
      <c r="A3564" s="2"/>
    </row>
    <row r="3565" spans="1:1" x14ac:dyDescent="0.25">
      <c r="A3565" s="2"/>
    </row>
    <row r="3566" spans="1:1" x14ac:dyDescent="0.25">
      <c r="A3566" s="2"/>
    </row>
    <row r="3567" spans="1:1" x14ac:dyDescent="0.25">
      <c r="A3567" s="2"/>
    </row>
    <row r="3568" spans="1:1" x14ac:dyDescent="0.25">
      <c r="A3568" s="2"/>
    </row>
    <row r="3569" spans="1:1" x14ac:dyDescent="0.25">
      <c r="A3569" s="2"/>
    </row>
    <row r="3570" spans="1:1" x14ac:dyDescent="0.25">
      <c r="A3570" s="2"/>
    </row>
    <row r="3571" spans="1:1" x14ac:dyDescent="0.25">
      <c r="A3571" s="2"/>
    </row>
    <row r="3572" spans="1:1" x14ac:dyDescent="0.25">
      <c r="A3572" s="2"/>
    </row>
    <row r="3573" spans="1:1" x14ac:dyDescent="0.25">
      <c r="A3573" s="2"/>
    </row>
    <row r="3574" spans="1:1" x14ac:dyDescent="0.25">
      <c r="A3574" s="2"/>
    </row>
    <row r="3575" spans="1:1" x14ac:dyDescent="0.25">
      <c r="A3575" s="2"/>
    </row>
    <row r="3576" spans="1:1" x14ac:dyDescent="0.25">
      <c r="A3576" s="2"/>
    </row>
    <row r="3577" spans="1:1" x14ac:dyDescent="0.25">
      <c r="A3577" s="2"/>
    </row>
    <row r="3578" spans="1:1" x14ac:dyDescent="0.25">
      <c r="A3578" s="2"/>
    </row>
    <row r="3579" spans="1:1" x14ac:dyDescent="0.25">
      <c r="A3579" s="2"/>
    </row>
    <row r="3580" spans="1:1" x14ac:dyDescent="0.25">
      <c r="A3580" s="2"/>
    </row>
    <row r="3581" spans="1:1" x14ac:dyDescent="0.25">
      <c r="A3581" s="2"/>
    </row>
    <row r="3582" spans="1:1" x14ac:dyDescent="0.25">
      <c r="A3582" s="2"/>
    </row>
    <row r="3583" spans="1:1" x14ac:dyDescent="0.25">
      <c r="A3583" s="2"/>
    </row>
    <row r="3584" spans="1:1" x14ac:dyDescent="0.25">
      <c r="A3584" s="2"/>
    </row>
    <row r="3585" spans="1:1" x14ac:dyDescent="0.25">
      <c r="A3585" s="2"/>
    </row>
    <row r="3586" spans="1:1" x14ac:dyDescent="0.25">
      <c r="A3586" s="2"/>
    </row>
    <row r="3587" spans="1:1" x14ac:dyDescent="0.25">
      <c r="A3587" s="2"/>
    </row>
    <row r="3588" spans="1:1" x14ac:dyDescent="0.25">
      <c r="A3588" s="2"/>
    </row>
    <row r="3589" spans="1:1" x14ac:dyDescent="0.25">
      <c r="A3589" s="2"/>
    </row>
    <row r="3590" spans="1:1" x14ac:dyDescent="0.25">
      <c r="A3590" s="2"/>
    </row>
    <row r="3591" spans="1:1" x14ac:dyDescent="0.25">
      <c r="A3591" s="2"/>
    </row>
    <row r="3592" spans="1:1" x14ac:dyDescent="0.25">
      <c r="A3592" s="2"/>
    </row>
    <row r="3593" spans="1:1" x14ac:dyDescent="0.25">
      <c r="A3593" s="2"/>
    </row>
    <row r="3594" spans="1:1" x14ac:dyDescent="0.25">
      <c r="A3594" s="2"/>
    </row>
    <row r="3595" spans="1:1" x14ac:dyDescent="0.25">
      <c r="A3595" s="2"/>
    </row>
    <row r="3596" spans="1:1" x14ac:dyDescent="0.25">
      <c r="A3596" s="2"/>
    </row>
    <row r="3597" spans="1:1" x14ac:dyDescent="0.25">
      <c r="A3597" s="2"/>
    </row>
    <row r="3598" spans="1:1" x14ac:dyDescent="0.25">
      <c r="A3598" s="2"/>
    </row>
    <row r="3599" spans="1:1" x14ac:dyDescent="0.25">
      <c r="A3599" s="2"/>
    </row>
    <row r="3600" spans="1:1" x14ac:dyDescent="0.25">
      <c r="A3600" s="2"/>
    </row>
    <row r="3601" spans="1:1" x14ac:dyDescent="0.25">
      <c r="A3601" s="2"/>
    </row>
    <row r="3602" spans="1:1" x14ac:dyDescent="0.25">
      <c r="A3602" s="2"/>
    </row>
    <row r="3603" spans="1:1" x14ac:dyDescent="0.25">
      <c r="A3603" s="2"/>
    </row>
    <row r="3604" spans="1:1" x14ac:dyDescent="0.25">
      <c r="A3604" s="2"/>
    </row>
    <row r="3605" spans="1:1" x14ac:dyDescent="0.25">
      <c r="A3605" s="2"/>
    </row>
    <row r="3606" spans="1:1" x14ac:dyDescent="0.25">
      <c r="A3606" s="2"/>
    </row>
    <row r="3607" spans="1:1" x14ac:dyDescent="0.25">
      <c r="A3607" s="2"/>
    </row>
    <row r="3608" spans="1:1" x14ac:dyDescent="0.25">
      <c r="A3608" s="2"/>
    </row>
    <row r="3609" spans="1:1" x14ac:dyDescent="0.25">
      <c r="A3609" s="2"/>
    </row>
    <row r="3610" spans="1:1" x14ac:dyDescent="0.25">
      <c r="A3610" s="2"/>
    </row>
    <row r="3611" spans="1:1" x14ac:dyDescent="0.25">
      <c r="A3611" s="2"/>
    </row>
    <row r="3612" spans="1:1" x14ac:dyDescent="0.25">
      <c r="A3612" s="2"/>
    </row>
    <row r="3613" spans="1:1" x14ac:dyDescent="0.25">
      <c r="A3613" s="2"/>
    </row>
    <row r="3614" spans="1:1" x14ac:dyDescent="0.25">
      <c r="A3614" s="2"/>
    </row>
    <row r="3615" spans="1:1" x14ac:dyDescent="0.25">
      <c r="A3615" s="2"/>
    </row>
    <row r="3616" spans="1:1" x14ac:dyDescent="0.25">
      <c r="A3616" s="2"/>
    </row>
    <row r="3617" spans="1:1" x14ac:dyDescent="0.25">
      <c r="A3617" s="2"/>
    </row>
    <row r="3618" spans="1:1" x14ac:dyDescent="0.25">
      <c r="A3618" s="2"/>
    </row>
    <row r="3619" spans="1:1" x14ac:dyDescent="0.25">
      <c r="A3619" s="2"/>
    </row>
    <row r="3620" spans="1:1" x14ac:dyDescent="0.25">
      <c r="A3620" s="2"/>
    </row>
    <row r="3621" spans="1:1" x14ac:dyDescent="0.25">
      <c r="A3621" s="2"/>
    </row>
    <row r="3622" spans="1:1" x14ac:dyDescent="0.25">
      <c r="A3622" s="2"/>
    </row>
    <row r="3623" spans="1:1" x14ac:dyDescent="0.25">
      <c r="A3623" s="2"/>
    </row>
    <row r="3624" spans="1:1" x14ac:dyDescent="0.25">
      <c r="A3624" s="2"/>
    </row>
    <row r="3625" spans="1:1" x14ac:dyDescent="0.25">
      <c r="A3625" s="2"/>
    </row>
    <row r="3626" spans="1:1" x14ac:dyDescent="0.25">
      <c r="A3626" s="2"/>
    </row>
    <row r="3627" spans="1:1" x14ac:dyDescent="0.25">
      <c r="A3627" s="2"/>
    </row>
    <row r="3628" spans="1:1" x14ac:dyDescent="0.25">
      <c r="A3628" s="2"/>
    </row>
    <row r="3629" spans="1:1" x14ac:dyDescent="0.25">
      <c r="A3629" s="2"/>
    </row>
    <row r="3630" spans="1:1" x14ac:dyDescent="0.25">
      <c r="A3630" s="2"/>
    </row>
    <row r="3631" spans="1:1" x14ac:dyDescent="0.25">
      <c r="A3631" s="2"/>
    </row>
    <row r="3632" spans="1:1" x14ac:dyDescent="0.25">
      <c r="A3632" s="2"/>
    </row>
    <row r="3633" spans="1:1" x14ac:dyDescent="0.25">
      <c r="A3633" s="2"/>
    </row>
    <row r="3634" spans="1:1" x14ac:dyDescent="0.25">
      <c r="A3634" s="2"/>
    </row>
    <row r="3635" spans="1:1" x14ac:dyDescent="0.25">
      <c r="A3635" s="2"/>
    </row>
    <row r="3636" spans="1:1" x14ac:dyDescent="0.25">
      <c r="A3636" s="2"/>
    </row>
    <row r="3637" spans="1:1" x14ac:dyDescent="0.25">
      <c r="A3637" s="2"/>
    </row>
    <row r="3638" spans="1:1" x14ac:dyDescent="0.25">
      <c r="A3638" s="2"/>
    </row>
    <row r="3639" spans="1:1" x14ac:dyDescent="0.25">
      <c r="A3639" s="2"/>
    </row>
    <row r="3640" spans="1:1" x14ac:dyDescent="0.25">
      <c r="A3640" s="2"/>
    </row>
    <row r="3641" spans="1:1" x14ac:dyDescent="0.25">
      <c r="A3641" s="2"/>
    </row>
    <row r="3642" spans="1:1" x14ac:dyDescent="0.25">
      <c r="A3642" s="2"/>
    </row>
    <row r="3643" spans="1:1" x14ac:dyDescent="0.25">
      <c r="A3643" s="2"/>
    </row>
    <row r="3644" spans="1:1" x14ac:dyDescent="0.25">
      <c r="A3644" s="2"/>
    </row>
    <row r="3645" spans="1:1" x14ac:dyDescent="0.25">
      <c r="A3645" s="2"/>
    </row>
    <row r="3646" spans="1:1" x14ac:dyDescent="0.25">
      <c r="A3646" s="2"/>
    </row>
    <row r="3647" spans="1:1" x14ac:dyDescent="0.25">
      <c r="A3647" s="2"/>
    </row>
    <row r="3648" spans="1:1" x14ac:dyDescent="0.25">
      <c r="A3648" s="2"/>
    </row>
    <row r="3649" spans="1:1" x14ac:dyDescent="0.25">
      <c r="A3649" s="2"/>
    </row>
    <row r="3650" spans="1:1" x14ac:dyDescent="0.25">
      <c r="A3650" s="2"/>
    </row>
    <row r="3651" spans="1:1" x14ac:dyDescent="0.25">
      <c r="A3651" s="2"/>
    </row>
    <row r="3652" spans="1:1" x14ac:dyDescent="0.25">
      <c r="A3652" s="2"/>
    </row>
    <row r="3653" spans="1:1" x14ac:dyDescent="0.25">
      <c r="A3653" s="2"/>
    </row>
    <row r="3654" spans="1:1" x14ac:dyDescent="0.25">
      <c r="A3654" s="2"/>
    </row>
    <row r="3655" spans="1:1" x14ac:dyDescent="0.25">
      <c r="A3655" s="2"/>
    </row>
    <row r="3656" spans="1:1" x14ac:dyDescent="0.25">
      <c r="A3656" s="2"/>
    </row>
    <row r="3657" spans="1:1" x14ac:dyDescent="0.25">
      <c r="A3657" s="2"/>
    </row>
    <row r="3658" spans="1:1" x14ac:dyDescent="0.25">
      <c r="A3658" s="2"/>
    </row>
    <row r="3659" spans="1:1" x14ac:dyDescent="0.25">
      <c r="A3659" s="2"/>
    </row>
    <row r="3660" spans="1:1" x14ac:dyDescent="0.25">
      <c r="A3660" s="2"/>
    </row>
    <row r="3661" spans="1:1" x14ac:dyDescent="0.25">
      <c r="A3661" s="2"/>
    </row>
    <row r="3662" spans="1:1" x14ac:dyDescent="0.25">
      <c r="A3662" s="2"/>
    </row>
    <row r="3663" spans="1:1" x14ac:dyDescent="0.25">
      <c r="A3663" s="2"/>
    </row>
    <row r="3664" spans="1:1" x14ac:dyDescent="0.25">
      <c r="A3664" s="2"/>
    </row>
    <row r="3665" spans="1:1" x14ac:dyDescent="0.25">
      <c r="A3665" s="2"/>
    </row>
    <row r="3666" spans="1:1" x14ac:dyDescent="0.25">
      <c r="A3666" s="2"/>
    </row>
    <row r="3667" spans="1:1" x14ac:dyDescent="0.25">
      <c r="A3667" s="2"/>
    </row>
    <row r="3668" spans="1:1" x14ac:dyDescent="0.25">
      <c r="A3668" s="2"/>
    </row>
    <row r="3669" spans="1:1" x14ac:dyDescent="0.25">
      <c r="A3669" s="2"/>
    </row>
    <row r="3670" spans="1:1" x14ac:dyDescent="0.25">
      <c r="A3670" s="2"/>
    </row>
    <row r="3671" spans="1:1" x14ac:dyDescent="0.25">
      <c r="A3671" s="2"/>
    </row>
    <row r="3672" spans="1:1" x14ac:dyDescent="0.25">
      <c r="A3672" s="2"/>
    </row>
    <row r="3673" spans="1:1" x14ac:dyDescent="0.25">
      <c r="A3673" s="2"/>
    </row>
    <row r="3674" spans="1:1" x14ac:dyDescent="0.25">
      <c r="A3674" s="2"/>
    </row>
    <row r="3675" spans="1:1" x14ac:dyDescent="0.25">
      <c r="A3675" s="2"/>
    </row>
    <row r="3676" spans="1:1" x14ac:dyDescent="0.25">
      <c r="A3676" s="2"/>
    </row>
    <row r="3677" spans="1:1" x14ac:dyDescent="0.25">
      <c r="A3677" s="2"/>
    </row>
    <row r="3678" spans="1:1" x14ac:dyDescent="0.25">
      <c r="A3678" s="2"/>
    </row>
    <row r="3679" spans="1:1" x14ac:dyDescent="0.25">
      <c r="A3679" s="2"/>
    </row>
    <row r="3680" spans="1:1" x14ac:dyDescent="0.25">
      <c r="A3680" s="2"/>
    </row>
    <row r="3681" spans="1:1" x14ac:dyDescent="0.25">
      <c r="A3681" s="2"/>
    </row>
    <row r="3682" spans="1:1" x14ac:dyDescent="0.25">
      <c r="A3682" s="2"/>
    </row>
    <row r="3683" spans="1:1" x14ac:dyDescent="0.25">
      <c r="A3683" s="2"/>
    </row>
    <row r="3684" spans="1:1" x14ac:dyDescent="0.25">
      <c r="A3684" s="2"/>
    </row>
    <row r="3685" spans="1:1" x14ac:dyDescent="0.25">
      <c r="A3685" s="2"/>
    </row>
    <row r="3686" spans="1:1" x14ac:dyDescent="0.25">
      <c r="A3686" s="2"/>
    </row>
    <row r="3687" spans="1:1" x14ac:dyDescent="0.25">
      <c r="A3687" s="2"/>
    </row>
    <row r="3688" spans="1:1" x14ac:dyDescent="0.25">
      <c r="A3688" s="2"/>
    </row>
    <row r="3689" spans="1:1" x14ac:dyDescent="0.25">
      <c r="A3689" s="2"/>
    </row>
    <row r="3690" spans="1:1" x14ac:dyDescent="0.25">
      <c r="A3690" s="2"/>
    </row>
    <row r="3691" spans="1:1" x14ac:dyDescent="0.25">
      <c r="A3691" s="2"/>
    </row>
    <row r="3692" spans="1:1" x14ac:dyDescent="0.25">
      <c r="A3692" s="2"/>
    </row>
    <row r="3693" spans="1:1" x14ac:dyDescent="0.25">
      <c r="A3693" s="2"/>
    </row>
    <row r="3694" spans="1:1" x14ac:dyDescent="0.25">
      <c r="A3694" s="2"/>
    </row>
    <row r="3695" spans="1:1" x14ac:dyDescent="0.25">
      <c r="A3695" s="2"/>
    </row>
    <row r="3696" spans="1:1" x14ac:dyDescent="0.25">
      <c r="A3696" s="2"/>
    </row>
    <row r="3697" spans="1:1" x14ac:dyDescent="0.25">
      <c r="A3697" s="2"/>
    </row>
    <row r="3698" spans="1:1" x14ac:dyDescent="0.25">
      <c r="A3698" s="2"/>
    </row>
    <row r="3699" spans="1:1" x14ac:dyDescent="0.25">
      <c r="A3699" s="2"/>
    </row>
    <row r="3700" spans="1:1" x14ac:dyDescent="0.25">
      <c r="A3700" s="2"/>
    </row>
    <row r="3701" spans="1:1" x14ac:dyDescent="0.25">
      <c r="A3701" s="2"/>
    </row>
    <row r="3702" spans="1:1" x14ac:dyDescent="0.25">
      <c r="A3702" s="2"/>
    </row>
    <row r="3703" spans="1:1" x14ac:dyDescent="0.25">
      <c r="A3703" s="2"/>
    </row>
    <row r="3704" spans="1:1" x14ac:dyDescent="0.25">
      <c r="A3704" s="2"/>
    </row>
    <row r="3705" spans="1:1" x14ac:dyDescent="0.25">
      <c r="A3705" s="2"/>
    </row>
    <row r="3706" spans="1:1" x14ac:dyDescent="0.25">
      <c r="A3706" s="2"/>
    </row>
    <row r="3707" spans="1:1" x14ac:dyDescent="0.25">
      <c r="A3707" s="2"/>
    </row>
    <row r="3708" spans="1:1" x14ac:dyDescent="0.25">
      <c r="A3708" s="2"/>
    </row>
    <row r="3709" spans="1:1" x14ac:dyDescent="0.25">
      <c r="A3709" s="2"/>
    </row>
    <row r="3710" spans="1:1" x14ac:dyDescent="0.25">
      <c r="A3710" s="2"/>
    </row>
    <row r="3711" spans="1:1" x14ac:dyDescent="0.25">
      <c r="A3711" s="2"/>
    </row>
    <row r="3712" spans="1:1" x14ac:dyDescent="0.25">
      <c r="A3712" s="2"/>
    </row>
    <row r="3713" spans="1:1" x14ac:dyDescent="0.25">
      <c r="A3713" s="2"/>
    </row>
    <row r="3714" spans="1:1" x14ac:dyDescent="0.25">
      <c r="A3714" s="2"/>
    </row>
    <row r="3715" spans="1:1" x14ac:dyDescent="0.25">
      <c r="A3715" s="2"/>
    </row>
    <row r="3716" spans="1:1" x14ac:dyDescent="0.25">
      <c r="A3716" s="2"/>
    </row>
    <row r="3717" spans="1:1" x14ac:dyDescent="0.25">
      <c r="A3717" s="2"/>
    </row>
    <row r="3718" spans="1:1" x14ac:dyDescent="0.25">
      <c r="A3718" s="2"/>
    </row>
    <row r="3719" spans="1:1" x14ac:dyDescent="0.25">
      <c r="A3719" s="2"/>
    </row>
    <row r="3720" spans="1:1" x14ac:dyDescent="0.25">
      <c r="A3720" s="2"/>
    </row>
    <row r="3721" spans="1:1" x14ac:dyDescent="0.25">
      <c r="A3721" s="2"/>
    </row>
    <row r="3722" spans="1:1" x14ac:dyDescent="0.25">
      <c r="A3722" s="2"/>
    </row>
    <row r="3723" spans="1:1" x14ac:dyDescent="0.25">
      <c r="A3723" s="2"/>
    </row>
    <row r="3724" spans="1:1" x14ac:dyDescent="0.25">
      <c r="A3724" s="2"/>
    </row>
    <row r="3725" spans="1:1" x14ac:dyDescent="0.25">
      <c r="A3725" s="2"/>
    </row>
    <row r="3726" spans="1:1" x14ac:dyDescent="0.25">
      <c r="A3726" s="2"/>
    </row>
    <row r="3727" spans="1:1" x14ac:dyDescent="0.25">
      <c r="A3727" s="2"/>
    </row>
    <row r="3728" spans="1:1" x14ac:dyDescent="0.25">
      <c r="A3728" s="2"/>
    </row>
    <row r="3729" spans="1:1" x14ac:dyDescent="0.25">
      <c r="A3729" s="2"/>
    </row>
    <row r="3730" spans="1:1" x14ac:dyDescent="0.25">
      <c r="A3730" s="2"/>
    </row>
    <row r="3731" spans="1:1" x14ac:dyDescent="0.25">
      <c r="A3731" s="2"/>
    </row>
    <row r="3732" spans="1:1" x14ac:dyDescent="0.25">
      <c r="A3732" s="2"/>
    </row>
    <row r="3733" spans="1:1" x14ac:dyDescent="0.25">
      <c r="A3733" s="2"/>
    </row>
    <row r="3734" spans="1:1" x14ac:dyDescent="0.25">
      <c r="A3734" s="2"/>
    </row>
    <row r="3735" spans="1:1" x14ac:dyDescent="0.25">
      <c r="A3735" s="2"/>
    </row>
    <row r="3736" spans="1:1" x14ac:dyDescent="0.25">
      <c r="A3736" s="2"/>
    </row>
    <row r="3737" spans="1:1" x14ac:dyDescent="0.25">
      <c r="A3737" s="2"/>
    </row>
    <row r="3738" spans="1:1" x14ac:dyDescent="0.25">
      <c r="A3738" s="2"/>
    </row>
    <row r="3739" spans="1:1" x14ac:dyDescent="0.25">
      <c r="A3739" s="2"/>
    </row>
    <row r="3740" spans="1:1" x14ac:dyDescent="0.25">
      <c r="A3740" s="2"/>
    </row>
    <row r="3741" spans="1:1" x14ac:dyDescent="0.25">
      <c r="A3741" s="2"/>
    </row>
    <row r="3742" spans="1:1" x14ac:dyDescent="0.25">
      <c r="A3742" s="2"/>
    </row>
    <row r="3743" spans="1:1" x14ac:dyDescent="0.25">
      <c r="A3743" s="2"/>
    </row>
    <row r="3744" spans="1:1" x14ac:dyDescent="0.25">
      <c r="A3744" s="2"/>
    </row>
    <row r="3745" spans="1:1" x14ac:dyDescent="0.25">
      <c r="A3745" s="2"/>
    </row>
    <row r="3746" spans="1:1" x14ac:dyDescent="0.25">
      <c r="A3746" s="2"/>
    </row>
    <row r="3747" spans="1:1" x14ac:dyDescent="0.25">
      <c r="A3747" s="2"/>
    </row>
    <row r="3748" spans="1:1" x14ac:dyDescent="0.25">
      <c r="A3748" s="2"/>
    </row>
    <row r="3749" spans="1:1" x14ac:dyDescent="0.25">
      <c r="A3749" s="2"/>
    </row>
    <row r="3750" spans="1:1" x14ac:dyDescent="0.25">
      <c r="A3750" s="2"/>
    </row>
    <row r="3751" spans="1:1" x14ac:dyDescent="0.25">
      <c r="A3751" s="2"/>
    </row>
    <row r="3752" spans="1:1" x14ac:dyDescent="0.25">
      <c r="A3752" s="2"/>
    </row>
    <row r="3753" spans="1:1" x14ac:dyDescent="0.25">
      <c r="A3753" s="2"/>
    </row>
    <row r="3754" spans="1:1" x14ac:dyDescent="0.25">
      <c r="A3754" s="2"/>
    </row>
    <row r="3755" spans="1:1" x14ac:dyDescent="0.25">
      <c r="A3755" s="2"/>
    </row>
    <row r="3756" spans="1:1" x14ac:dyDescent="0.25">
      <c r="A3756" s="2"/>
    </row>
    <row r="3757" spans="1:1" x14ac:dyDescent="0.25">
      <c r="A3757" s="2"/>
    </row>
    <row r="3758" spans="1:1" x14ac:dyDescent="0.25">
      <c r="A3758" s="2"/>
    </row>
    <row r="3759" spans="1:1" x14ac:dyDescent="0.25">
      <c r="A3759" s="2"/>
    </row>
    <row r="3760" spans="1:1" x14ac:dyDescent="0.25">
      <c r="A3760" s="2"/>
    </row>
    <row r="3761" spans="1:1" x14ac:dyDescent="0.25">
      <c r="A3761" s="2"/>
    </row>
    <row r="3762" spans="1:1" x14ac:dyDescent="0.25">
      <c r="A3762" s="2"/>
    </row>
    <row r="3763" spans="1:1" x14ac:dyDescent="0.25">
      <c r="A3763" s="2"/>
    </row>
    <row r="3764" spans="1:1" x14ac:dyDescent="0.25">
      <c r="A3764" s="2"/>
    </row>
    <row r="3765" spans="1:1" x14ac:dyDescent="0.25">
      <c r="A3765" s="2"/>
    </row>
    <row r="3766" spans="1:1" x14ac:dyDescent="0.25">
      <c r="A3766" s="2"/>
    </row>
    <row r="3767" spans="1:1" x14ac:dyDescent="0.25">
      <c r="A3767" s="2"/>
    </row>
    <row r="3768" spans="1:1" x14ac:dyDescent="0.25">
      <c r="A3768" s="2"/>
    </row>
    <row r="3769" spans="1:1" x14ac:dyDescent="0.25">
      <c r="A3769" s="2"/>
    </row>
    <row r="3770" spans="1:1" x14ac:dyDescent="0.25">
      <c r="A3770" s="2"/>
    </row>
    <row r="3771" spans="1:1" x14ac:dyDescent="0.25">
      <c r="A3771" s="2"/>
    </row>
    <row r="3772" spans="1:1" x14ac:dyDescent="0.25">
      <c r="A3772" s="2"/>
    </row>
    <row r="3773" spans="1:1" x14ac:dyDescent="0.25">
      <c r="A3773" s="2"/>
    </row>
    <row r="3774" spans="1:1" x14ac:dyDescent="0.25">
      <c r="A3774" s="2"/>
    </row>
    <row r="3775" spans="1:1" x14ac:dyDescent="0.25">
      <c r="A3775" s="2"/>
    </row>
    <row r="3776" spans="1:1" x14ac:dyDescent="0.25">
      <c r="A3776" s="2"/>
    </row>
    <row r="3777" spans="1:1" x14ac:dyDescent="0.25">
      <c r="A3777" s="2"/>
    </row>
    <row r="3778" spans="1:1" x14ac:dyDescent="0.25">
      <c r="A3778" s="2"/>
    </row>
    <row r="3779" spans="1:1" x14ac:dyDescent="0.25">
      <c r="A3779" s="2"/>
    </row>
    <row r="3780" spans="1:1" x14ac:dyDescent="0.25">
      <c r="A3780" s="2"/>
    </row>
    <row r="3781" spans="1:1" x14ac:dyDescent="0.25">
      <c r="A3781" s="2"/>
    </row>
    <row r="3782" spans="1:1" x14ac:dyDescent="0.25">
      <c r="A3782" s="2"/>
    </row>
    <row r="3783" spans="1:1" x14ac:dyDescent="0.25">
      <c r="A3783" s="2"/>
    </row>
    <row r="3784" spans="1:1" x14ac:dyDescent="0.25">
      <c r="A3784" s="2"/>
    </row>
    <row r="3785" spans="1:1" x14ac:dyDescent="0.25">
      <c r="A3785" s="2"/>
    </row>
    <row r="3786" spans="1:1" x14ac:dyDescent="0.25">
      <c r="A3786" s="2"/>
    </row>
    <row r="3787" spans="1:1" x14ac:dyDescent="0.25">
      <c r="A3787" s="2"/>
    </row>
    <row r="3788" spans="1:1" x14ac:dyDescent="0.25">
      <c r="A3788" s="2"/>
    </row>
    <row r="3789" spans="1:1" x14ac:dyDescent="0.25">
      <c r="A3789" s="2"/>
    </row>
    <row r="3790" spans="1:1" x14ac:dyDescent="0.25">
      <c r="A3790" s="2"/>
    </row>
    <row r="3791" spans="1:1" x14ac:dyDescent="0.25">
      <c r="A3791" s="2"/>
    </row>
    <row r="3792" spans="1:1" x14ac:dyDescent="0.25">
      <c r="A3792" s="2"/>
    </row>
    <row r="3793" spans="1:1" x14ac:dyDescent="0.25">
      <c r="A3793" s="2"/>
    </row>
    <row r="3794" spans="1:1" x14ac:dyDescent="0.25">
      <c r="A3794" s="2"/>
    </row>
    <row r="3795" spans="1:1" x14ac:dyDescent="0.25">
      <c r="A3795" s="2"/>
    </row>
    <row r="3796" spans="1:1" x14ac:dyDescent="0.25">
      <c r="A3796" s="2"/>
    </row>
    <row r="3797" spans="1:1" x14ac:dyDescent="0.25">
      <c r="A3797" s="2"/>
    </row>
    <row r="3798" spans="1:1" x14ac:dyDescent="0.25">
      <c r="A3798" s="2"/>
    </row>
    <row r="3799" spans="1:1" x14ac:dyDescent="0.25">
      <c r="A3799" s="2"/>
    </row>
    <row r="3800" spans="1:1" x14ac:dyDescent="0.25">
      <c r="A3800" s="2"/>
    </row>
    <row r="3801" spans="1:1" x14ac:dyDescent="0.25">
      <c r="A3801" s="2"/>
    </row>
    <row r="3802" spans="1:1" x14ac:dyDescent="0.25">
      <c r="A3802" s="2"/>
    </row>
    <row r="3803" spans="1:1" x14ac:dyDescent="0.25">
      <c r="A3803" s="2"/>
    </row>
    <row r="3804" spans="1:1" x14ac:dyDescent="0.25">
      <c r="A3804" s="2"/>
    </row>
    <row r="3805" spans="1:1" x14ac:dyDescent="0.25">
      <c r="A3805" s="2"/>
    </row>
    <row r="3806" spans="1:1" x14ac:dyDescent="0.25">
      <c r="A3806" s="2"/>
    </row>
    <row r="3807" spans="1:1" x14ac:dyDescent="0.25">
      <c r="A3807" s="2"/>
    </row>
    <row r="3808" spans="1:1" x14ac:dyDescent="0.25">
      <c r="A3808" s="2"/>
    </row>
    <row r="3809" spans="1:1" x14ac:dyDescent="0.25">
      <c r="A3809" s="2"/>
    </row>
    <row r="3810" spans="1:1" x14ac:dyDescent="0.25">
      <c r="A3810" s="2"/>
    </row>
    <row r="3811" spans="1:1" x14ac:dyDescent="0.25">
      <c r="A3811" s="2"/>
    </row>
    <row r="3812" spans="1:1" x14ac:dyDescent="0.25">
      <c r="A3812" s="2"/>
    </row>
    <row r="3813" spans="1:1" x14ac:dyDescent="0.25">
      <c r="A3813" s="2"/>
    </row>
    <row r="3814" spans="1:1" x14ac:dyDescent="0.25">
      <c r="A3814" s="2"/>
    </row>
    <row r="3815" spans="1:1" x14ac:dyDescent="0.25">
      <c r="A3815" s="2"/>
    </row>
    <row r="3816" spans="1:1" x14ac:dyDescent="0.25">
      <c r="A3816" s="2"/>
    </row>
    <row r="3817" spans="1:1" x14ac:dyDescent="0.25">
      <c r="A3817" s="2"/>
    </row>
    <row r="3818" spans="1:1" x14ac:dyDescent="0.25">
      <c r="A3818" s="2"/>
    </row>
    <row r="3819" spans="1:1" x14ac:dyDescent="0.25">
      <c r="A3819" s="2"/>
    </row>
    <row r="3820" spans="1:1" x14ac:dyDescent="0.25">
      <c r="A3820" s="2"/>
    </row>
    <row r="3821" spans="1:1" x14ac:dyDescent="0.25">
      <c r="A3821" s="2"/>
    </row>
    <row r="3822" spans="1:1" x14ac:dyDescent="0.25">
      <c r="A3822" s="2"/>
    </row>
    <row r="3823" spans="1:1" x14ac:dyDescent="0.25">
      <c r="A3823" s="2"/>
    </row>
    <row r="3824" spans="1:1" x14ac:dyDescent="0.25">
      <c r="A3824" s="2"/>
    </row>
    <row r="3825" spans="1:1" x14ac:dyDescent="0.25">
      <c r="A3825" s="2"/>
    </row>
    <row r="3826" spans="1:1" x14ac:dyDescent="0.25">
      <c r="A3826" s="2"/>
    </row>
    <row r="3827" spans="1:1" x14ac:dyDescent="0.25">
      <c r="A3827" s="2"/>
    </row>
    <row r="3828" spans="1:1" x14ac:dyDescent="0.25">
      <c r="A3828" s="2"/>
    </row>
    <row r="3829" spans="1:1" x14ac:dyDescent="0.25">
      <c r="A3829" s="2"/>
    </row>
    <row r="3830" spans="1:1" x14ac:dyDescent="0.25">
      <c r="A3830" s="2"/>
    </row>
    <row r="3831" spans="1:1" x14ac:dyDescent="0.25">
      <c r="A3831" s="2"/>
    </row>
    <row r="3832" spans="1:1" x14ac:dyDescent="0.25">
      <c r="A3832" s="2"/>
    </row>
    <row r="3833" spans="1:1" x14ac:dyDescent="0.25">
      <c r="A3833" s="2"/>
    </row>
    <row r="3834" spans="1:1" x14ac:dyDescent="0.25">
      <c r="A3834" s="2"/>
    </row>
    <row r="3835" spans="1:1" x14ac:dyDescent="0.25">
      <c r="A3835" s="2"/>
    </row>
    <row r="3836" spans="1:1" x14ac:dyDescent="0.25">
      <c r="A3836" s="2"/>
    </row>
    <row r="3837" spans="1:1" x14ac:dyDescent="0.25">
      <c r="A3837" s="2"/>
    </row>
    <row r="3838" spans="1:1" x14ac:dyDescent="0.25">
      <c r="A3838" s="2"/>
    </row>
    <row r="3839" spans="1:1" x14ac:dyDescent="0.25">
      <c r="A3839" s="2"/>
    </row>
    <row r="3840" spans="1:1" x14ac:dyDescent="0.25">
      <c r="A3840" s="2"/>
    </row>
    <row r="3841" spans="1:1" x14ac:dyDescent="0.25">
      <c r="A3841" s="2"/>
    </row>
    <row r="3842" spans="1:1" x14ac:dyDescent="0.25">
      <c r="A3842" s="2"/>
    </row>
    <row r="3843" spans="1:1" x14ac:dyDescent="0.25">
      <c r="A3843" s="2"/>
    </row>
    <row r="3844" spans="1:1" x14ac:dyDescent="0.25">
      <c r="A3844" s="2"/>
    </row>
    <row r="3845" spans="1:1" x14ac:dyDescent="0.25">
      <c r="A3845" s="2"/>
    </row>
    <row r="3846" spans="1:1" x14ac:dyDescent="0.25">
      <c r="A3846" s="2"/>
    </row>
    <row r="3847" spans="1:1" x14ac:dyDescent="0.25">
      <c r="A3847" s="2"/>
    </row>
    <row r="3848" spans="1:1" x14ac:dyDescent="0.25">
      <c r="A3848" s="2"/>
    </row>
    <row r="3849" spans="1:1" x14ac:dyDescent="0.25">
      <c r="A3849" s="2"/>
    </row>
    <row r="3850" spans="1:1" x14ac:dyDescent="0.25">
      <c r="A3850" s="2"/>
    </row>
    <row r="3851" spans="1:1" x14ac:dyDescent="0.25">
      <c r="A3851" s="2"/>
    </row>
    <row r="3852" spans="1:1" x14ac:dyDescent="0.25">
      <c r="A3852" s="2"/>
    </row>
    <row r="3853" spans="1:1" x14ac:dyDescent="0.25">
      <c r="A3853" s="2"/>
    </row>
    <row r="3854" spans="1:1" x14ac:dyDescent="0.25">
      <c r="A3854" s="2"/>
    </row>
    <row r="3855" spans="1:1" x14ac:dyDescent="0.25">
      <c r="A3855" s="2"/>
    </row>
    <row r="3856" spans="1:1" x14ac:dyDescent="0.25">
      <c r="A3856" s="2"/>
    </row>
    <row r="3857" spans="1:1" x14ac:dyDescent="0.25">
      <c r="A3857" s="2"/>
    </row>
    <row r="3858" spans="1:1" x14ac:dyDescent="0.25">
      <c r="A3858" s="2"/>
    </row>
    <row r="3859" spans="1:1" x14ac:dyDescent="0.25">
      <c r="A3859" s="2"/>
    </row>
    <row r="3860" spans="1:1" x14ac:dyDescent="0.25">
      <c r="A3860" s="2"/>
    </row>
    <row r="3861" spans="1:1" x14ac:dyDescent="0.25">
      <c r="A3861" s="2"/>
    </row>
    <row r="3862" spans="1:1" x14ac:dyDescent="0.25">
      <c r="A3862" s="2"/>
    </row>
    <row r="3863" spans="1:1" x14ac:dyDescent="0.25">
      <c r="A3863" s="2"/>
    </row>
    <row r="3864" spans="1:1" x14ac:dyDescent="0.25">
      <c r="A3864" s="2"/>
    </row>
    <row r="3865" spans="1:1" x14ac:dyDescent="0.25">
      <c r="A3865" s="2"/>
    </row>
    <row r="3866" spans="1:1" x14ac:dyDescent="0.25">
      <c r="A3866" s="2"/>
    </row>
    <row r="3867" spans="1:1" x14ac:dyDescent="0.25">
      <c r="A3867" s="2"/>
    </row>
    <row r="3868" spans="1:1" x14ac:dyDescent="0.25">
      <c r="A3868" s="2"/>
    </row>
    <row r="3869" spans="1:1" x14ac:dyDescent="0.25">
      <c r="A3869" s="2"/>
    </row>
    <row r="3870" spans="1:1" x14ac:dyDescent="0.25">
      <c r="A3870" s="2"/>
    </row>
    <row r="3871" spans="1:1" x14ac:dyDescent="0.25">
      <c r="A3871" s="2"/>
    </row>
    <row r="3872" spans="1:1" x14ac:dyDescent="0.25">
      <c r="A3872" s="2"/>
    </row>
    <row r="3873" spans="1:1" x14ac:dyDescent="0.25">
      <c r="A3873" s="2"/>
    </row>
    <row r="3874" spans="1:1" x14ac:dyDescent="0.25">
      <c r="A3874" s="2"/>
    </row>
    <row r="3875" spans="1:1" x14ac:dyDescent="0.25">
      <c r="A3875" s="2"/>
    </row>
    <row r="3876" spans="1:1" x14ac:dyDescent="0.25">
      <c r="A3876" s="2"/>
    </row>
    <row r="3877" spans="1:1" x14ac:dyDescent="0.25">
      <c r="A3877" s="2"/>
    </row>
    <row r="3878" spans="1:1" x14ac:dyDescent="0.25">
      <c r="A3878" s="2"/>
    </row>
    <row r="3879" spans="1:1" x14ac:dyDescent="0.25">
      <c r="A3879" s="2"/>
    </row>
    <row r="3880" spans="1:1" x14ac:dyDescent="0.25">
      <c r="A3880" s="2"/>
    </row>
    <row r="3881" spans="1:1" x14ac:dyDescent="0.25">
      <c r="A3881" s="2"/>
    </row>
    <row r="3882" spans="1:1" x14ac:dyDescent="0.25">
      <c r="A3882" s="2"/>
    </row>
    <row r="3883" spans="1:1" x14ac:dyDescent="0.25">
      <c r="A3883" s="2"/>
    </row>
    <row r="3884" spans="1:1" x14ac:dyDescent="0.25">
      <c r="A3884" s="2"/>
    </row>
    <row r="3885" spans="1:1" x14ac:dyDescent="0.25">
      <c r="A3885" s="2"/>
    </row>
    <row r="3886" spans="1:1" x14ac:dyDescent="0.25">
      <c r="A3886" s="2"/>
    </row>
    <row r="3887" spans="1:1" x14ac:dyDescent="0.25">
      <c r="A3887" s="2"/>
    </row>
    <row r="3888" spans="1:1" x14ac:dyDescent="0.25">
      <c r="A3888" s="2"/>
    </row>
    <row r="3889" spans="1:1" x14ac:dyDescent="0.25">
      <c r="A3889" s="2"/>
    </row>
    <row r="3890" spans="1:1" x14ac:dyDescent="0.25">
      <c r="A3890" s="2"/>
    </row>
    <row r="3891" spans="1:1" x14ac:dyDescent="0.25">
      <c r="A3891" s="2"/>
    </row>
    <row r="3892" spans="1:1" x14ac:dyDescent="0.25">
      <c r="A3892" s="2"/>
    </row>
    <row r="3893" spans="1:1" x14ac:dyDescent="0.25">
      <c r="A3893" s="2"/>
    </row>
    <row r="3894" spans="1:1" x14ac:dyDescent="0.25">
      <c r="A3894" s="2"/>
    </row>
    <row r="3895" spans="1:1" x14ac:dyDescent="0.25">
      <c r="A3895" s="2"/>
    </row>
    <row r="3896" spans="1:1" x14ac:dyDescent="0.25">
      <c r="A3896" s="2"/>
    </row>
    <row r="3897" spans="1:1" x14ac:dyDescent="0.25">
      <c r="A3897" s="2"/>
    </row>
    <row r="3898" spans="1:1" x14ac:dyDescent="0.25">
      <c r="A3898" s="2"/>
    </row>
    <row r="3899" spans="1:1" x14ac:dyDescent="0.25">
      <c r="A3899" s="2"/>
    </row>
    <row r="3900" spans="1:1" x14ac:dyDescent="0.25">
      <c r="A3900" s="2"/>
    </row>
    <row r="3901" spans="1:1" x14ac:dyDescent="0.25">
      <c r="A3901" s="2"/>
    </row>
    <row r="3902" spans="1:1" x14ac:dyDescent="0.25">
      <c r="A3902" s="2"/>
    </row>
    <row r="3903" spans="1:1" x14ac:dyDescent="0.25">
      <c r="A3903" s="2"/>
    </row>
    <row r="3904" spans="1:1" x14ac:dyDescent="0.25">
      <c r="A3904" s="2"/>
    </row>
    <row r="3905" spans="1:1" x14ac:dyDescent="0.25">
      <c r="A3905" s="2"/>
    </row>
    <row r="3906" spans="1:1" x14ac:dyDescent="0.25">
      <c r="A3906" s="2"/>
    </row>
    <row r="3907" spans="1:1" x14ac:dyDescent="0.25">
      <c r="A3907" s="2"/>
    </row>
    <row r="3908" spans="1:1" x14ac:dyDescent="0.25">
      <c r="A3908" s="2"/>
    </row>
    <row r="3909" spans="1:1" x14ac:dyDescent="0.25">
      <c r="A3909" s="2"/>
    </row>
    <row r="3910" spans="1:1" x14ac:dyDescent="0.25">
      <c r="A3910" s="2"/>
    </row>
    <row r="3911" spans="1:1" x14ac:dyDescent="0.25">
      <c r="A3911" s="2"/>
    </row>
    <row r="3912" spans="1:1" x14ac:dyDescent="0.25">
      <c r="A3912" s="2"/>
    </row>
    <row r="3913" spans="1:1" x14ac:dyDescent="0.25">
      <c r="A3913" s="2"/>
    </row>
    <row r="3914" spans="1:1" x14ac:dyDescent="0.25">
      <c r="A3914" s="2"/>
    </row>
    <row r="3915" spans="1:1" x14ac:dyDescent="0.25">
      <c r="A3915" s="2"/>
    </row>
    <row r="3916" spans="1:1" x14ac:dyDescent="0.25">
      <c r="A3916" s="2"/>
    </row>
    <row r="3917" spans="1:1" x14ac:dyDescent="0.25">
      <c r="A3917" s="2"/>
    </row>
    <row r="3918" spans="1:1" x14ac:dyDescent="0.25">
      <c r="A3918" s="2"/>
    </row>
    <row r="3919" spans="1:1" x14ac:dyDescent="0.25">
      <c r="A3919" s="2"/>
    </row>
    <row r="3920" spans="1:1" x14ac:dyDescent="0.25">
      <c r="A3920" s="2"/>
    </row>
    <row r="3921" spans="1:1" x14ac:dyDescent="0.25">
      <c r="A3921" s="2"/>
    </row>
    <row r="3922" spans="1:1" x14ac:dyDescent="0.25">
      <c r="A3922" s="2"/>
    </row>
    <row r="3923" spans="1:1" x14ac:dyDescent="0.25">
      <c r="A3923" s="2"/>
    </row>
    <row r="3924" spans="1:1" x14ac:dyDescent="0.25">
      <c r="A3924" s="2"/>
    </row>
    <row r="3925" spans="1:1" x14ac:dyDescent="0.25">
      <c r="A3925" s="2"/>
    </row>
    <row r="3926" spans="1:1" x14ac:dyDescent="0.25">
      <c r="A3926" s="2"/>
    </row>
    <row r="3927" spans="1:1" x14ac:dyDescent="0.25">
      <c r="A3927" s="2"/>
    </row>
    <row r="3928" spans="1:1" x14ac:dyDescent="0.25">
      <c r="A3928" s="2"/>
    </row>
    <row r="3929" spans="1:1" x14ac:dyDescent="0.25">
      <c r="A3929" s="2"/>
    </row>
    <row r="3930" spans="1:1" x14ac:dyDescent="0.25">
      <c r="A3930" s="2"/>
    </row>
    <row r="3931" spans="1:1" x14ac:dyDescent="0.25">
      <c r="A3931" s="2"/>
    </row>
    <row r="3932" spans="1:1" x14ac:dyDescent="0.25">
      <c r="A3932" s="2"/>
    </row>
    <row r="3933" spans="1:1" x14ac:dyDescent="0.25">
      <c r="A3933" s="2"/>
    </row>
    <row r="3934" spans="1:1" x14ac:dyDescent="0.25">
      <c r="A3934" s="2"/>
    </row>
    <row r="3935" spans="1:1" x14ac:dyDescent="0.25">
      <c r="A3935" s="2"/>
    </row>
    <row r="3936" spans="1:1" x14ac:dyDescent="0.25">
      <c r="A3936" s="2"/>
    </row>
    <row r="3937" spans="1:1" x14ac:dyDescent="0.25">
      <c r="A3937" s="2"/>
    </row>
    <row r="3938" spans="1:1" x14ac:dyDescent="0.25">
      <c r="A3938" s="2"/>
    </row>
    <row r="3939" spans="1:1" x14ac:dyDescent="0.25">
      <c r="A3939" s="2"/>
    </row>
    <row r="3940" spans="1:1" x14ac:dyDescent="0.25">
      <c r="A3940" s="2"/>
    </row>
    <row r="3941" spans="1:1" x14ac:dyDescent="0.25">
      <c r="A3941" s="2"/>
    </row>
    <row r="3942" spans="1:1" x14ac:dyDescent="0.25">
      <c r="A3942" s="2"/>
    </row>
    <row r="3943" spans="1:1" x14ac:dyDescent="0.25">
      <c r="A3943" s="2"/>
    </row>
    <row r="3944" spans="1:1" x14ac:dyDescent="0.25">
      <c r="A3944" s="2"/>
    </row>
    <row r="3945" spans="1:1" x14ac:dyDescent="0.25">
      <c r="A3945" s="2"/>
    </row>
    <row r="3946" spans="1:1" x14ac:dyDescent="0.25">
      <c r="A3946" s="2"/>
    </row>
    <row r="3947" spans="1:1" x14ac:dyDescent="0.25">
      <c r="A3947" s="2"/>
    </row>
    <row r="3948" spans="1:1" x14ac:dyDescent="0.25">
      <c r="A3948" s="2"/>
    </row>
    <row r="3949" spans="1:1" x14ac:dyDescent="0.25">
      <c r="A3949" s="2"/>
    </row>
    <row r="3950" spans="1:1" x14ac:dyDescent="0.25">
      <c r="A3950" s="2"/>
    </row>
    <row r="3951" spans="1:1" x14ac:dyDescent="0.25">
      <c r="A3951" s="2"/>
    </row>
    <row r="3952" spans="1:1" x14ac:dyDescent="0.25">
      <c r="A3952" s="2"/>
    </row>
    <row r="3953" spans="1:1" x14ac:dyDescent="0.25">
      <c r="A3953" s="2"/>
    </row>
    <row r="3954" spans="1:1" x14ac:dyDescent="0.25">
      <c r="A3954" s="2"/>
    </row>
    <row r="3955" spans="1:1" x14ac:dyDescent="0.25">
      <c r="A3955" s="2"/>
    </row>
    <row r="3956" spans="1:1" x14ac:dyDescent="0.25">
      <c r="A3956" s="2"/>
    </row>
    <row r="3957" spans="1:1" x14ac:dyDescent="0.25">
      <c r="A3957" s="2"/>
    </row>
    <row r="3958" spans="1:1" x14ac:dyDescent="0.25">
      <c r="A3958" s="2"/>
    </row>
    <row r="3959" spans="1:1" x14ac:dyDescent="0.25">
      <c r="A3959" s="2"/>
    </row>
    <row r="3960" spans="1:1" x14ac:dyDescent="0.25">
      <c r="A3960" s="2"/>
    </row>
    <row r="3961" spans="1:1" x14ac:dyDescent="0.25">
      <c r="A3961" s="2"/>
    </row>
    <row r="3962" spans="1:1" x14ac:dyDescent="0.25">
      <c r="A3962" s="2"/>
    </row>
    <row r="3963" spans="1:1" x14ac:dyDescent="0.25">
      <c r="A3963" s="2"/>
    </row>
    <row r="3964" spans="1:1" x14ac:dyDescent="0.25">
      <c r="A3964" s="2"/>
    </row>
    <row r="3965" spans="1:1" x14ac:dyDescent="0.25">
      <c r="A3965" s="2"/>
    </row>
    <row r="3966" spans="1:1" x14ac:dyDescent="0.25">
      <c r="A3966" s="2"/>
    </row>
    <row r="3967" spans="1:1" x14ac:dyDescent="0.25">
      <c r="A3967" s="2"/>
    </row>
    <row r="3968" spans="1:1" x14ac:dyDescent="0.25">
      <c r="A3968" s="2"/>
    </row>
    <row r="3969" spans="1:1" x14ac:dyDescent="0.25">
      <c r="A3969" s="2"/>
    </row>
    <row r="3970" spans="1:1" x14ac:dyDescent="0.25">
      <c r="A3970" s="2"/>
    </row>
    <row r="3971" spans="1:1" x14ac:dyDescent="0.25">
      <c r="A3971" s="2"/>
    </row>
    <row r="3972" spans="1:1" x14ac:dyDescent="0.25">
      <c r="A3972" s="2"/>
    </row>
    <row r="3973" spans="1:1" x14ac:dyDescent="0.25">
      <c r="A3973" s="2"/>
    </row>
    <row r="3974" spans="1:1" x14ac:dyDescent="0.25">
      <c r="A3974" s="2"/>
    </row>
    <row r="3975" spans="1:1" x14ac:dyDescent="0.25">
      <c r="A3975" s="2"/>
    </row>
    <row r="3976" spans="1:1" x14ac:dyDescent="0.25">
      <c r="A3976" s="2"/>
    </row>
    <row r="3977" spans="1:1" x14ac:dyDescent="0.25">
      <c r="A3977" s="2"/>
    </row>
    <row r="3978" spans="1:1" x14ac:dyDescent="0.25">
      <c r="A3978" s="2"/>
    </row>
    <row r="3979" spans="1:1" x14ac:dyDescent="0.25">
      <c r="A3979" s="2"/>
    </row>
    <row r="3980" spans="1:1" x14ac:dyDescent="0.25">
      <c r="A3980" s="2"/>
    </row>
    <row r="3981" spans="1:1" x14ac:dyDescent="0.25">
      <c r="A3981" s="2"/>
    </row>
    <row r="3982" spans="1:1" x14ac:dyDescent="0.25">
      <c r="A3982" s="2"/>
    </row>
    <row r="3983" spans="1:1" x14ac:dyDescent="0.25">
      <c r="A3983" s="2"/>
    </row>
    <row r="3984" spans="1:1" x14ac:dyDescent="0.25">
      <c r="A3984" s="2"/>
    </row>
    <row r="3985" spans="1:1" x14ac:dyDescent="0.25">
      <c r="A3985" s="2"/>
    </row>
    <row r="3986" spans="1:1" x14ac:dyDescent="0.25">
      <c r="A3986" s="2"/>
    </row>
    <row r="3987" spans="1:1" x14ac:dyDescent="0.25">
      <c r="A3987" s="2"/>
    </row>
    <row r="3988" spans="1:1" x14ac:dyDescent="0.25">
      <c r="A3988" s="2"/>
    </row>
    <row r="3989" spans="1:1" x14ac:dyDescent="0.25">
      <c r="A3989" s="2"/>
    </row>
    <row r="3990" spans="1:1" x14ac:dyDescent="0.25">
      <c r="A3990" s="2"/>
    </row>
    <row r="3991" spans="1:1" x14ac:dyDescent="0.25">
      <c r="A3991" s="2"/>
    </row>
    <row r="3992" spans="1:1" x14ac:dyDescent="0.25">
      <c r="A3992" s="2"/>
    </row>
    <row r="3993" spans="1:1" x14ac:dyDescent="0.25">
      <c r="A3993" s="2"/>
    </row>
    <row r="3994" spans="1:1" x14ac:dyDescent="0.25">
      <c r="A3994" s="2"/>
    </row>
    <row r="3995" spans="1:1" x14ac:dyDescent="0.25">
      <c r="A3995" s="2"/>
    </row>
    <row r="3996" spans="1:1" x14ac:dyDescent="0.25">
      <c r="A3996" s="2"/>
    </row>
    <row r="3997" spans="1:1" x14ac:dyDescent="0.25">
      <c r="A3997" s="2"/>
    </row>
    <row r="3998" spans="1:1" x14ac:dyDescent="0.25">
      <c r="A3998" s="2"/>
    </row>
    <row r="3999" spans="1:1" x14ac:dyDescent="0.25">
      <c r="A3999" s="2"/>
    </row>
    <row r="4000" spans="1:1" x14ac:dyDescent="0.25">
      <c r="A4000" s="2"/>
    </row>
    <row r="4001" spans="1:1" x14ac:dyDescent="0.25">
      <c r="A4001" s="2"/>
    </row>
    <row r="4002" spans="1:1" x14ac:dyDescent="0.25">
      <c r="A4002" s="2"/>
    </row>
    <row r="4003" spans="1:1" x14ac:dyDescent="0.25">
      <c r="A4003" s="2"/>
    </row>
    <row r="4004" spans="1:1" x14ac:dyDescent="0.25">
      <c r="A4004" s="2"/>
    </row>
    <row r="4005" spans="1:1" x14ac:dyDescent="0.25">
      <c r="A4005" s="2"/>
    </row>
    <row r="4006" spans="1:1" x14ac:dyDescent="0.25">
      <c r="A4006" s="2"/>
    </row>
    <row r="4007" spans="1:1" x14ac:dyDescent="0.25">
      <c r="A4007" s="2"/>
    </row>
    <row r="4008" spans="1:1" x14ac:dyDescent="0.25">
      <c r="A4008" s="2"/>
    </row>
    <row r="4009" spans="1:1" x14ac:dyDescent="0.25">
      <c r="A4009" s="2"/>
    </row>
    <row r="4010" spans="1:1" x14ac:dyDescent="0.25">
      <c r="A4010" s="2"/>
    </row>
    <row r="4011" spans="1:1" x14ac:dyDescent="0.25">
      <c r="A4011" s="2"/>
    </row>
    <row r="4012" spans="1:1" x14ac:dyDescent="0.25">
      <c r="A4012" s="2"/>
    </row>
    <row r="4013" spans="1:1" x14ac:dyDescent="0.25">
      <c r="A4013" s="2"/>
    </row>
    <row r="4014" spans="1:1" x14ac:dyDescent="0.25">
      <c r="A4014" s="2"/>
    </row>
    <row r="4015" spans="1:1" x14ac:dyDescent="0.25">
      <c r="A4015" s="2"/>
    </row>
    <row r="4016" spans="1:1" x14ac:dyDescent="0.25">
      <c r="A4016" s="2"/>
    </row>
    <row r="4017" spans="1:1" x14ac:dyDescent="0.25">
      <c r="A4017" s="2"/>
    </row>
    <row r="4018" spans="1:1" x14ac:dyDescent="0.25">
      <c r="A4018" s="2"/>
    </row>
    <row r="4019" spans="1:1" x14ac:dyDescent="0.25">
      <c r="A4019" s="2"/>
    </row>
    <row r="4020" spans="1:1" x14ac:dyDescent="0.25">
      <c r="A4020" s="2"/>
    </row>
    <row r="4021" spans="1:1" x14ac:dyDescent="0.25">
      <c r="A4021" s="2"/>
    </row>
    <row r="4022" spans="1:1" x14ac:dyDescent="0.25">
      <c r="A4022" s="2"/>
    </row>
    <row r="4023" spans="1:1" x14ac:dyDescent="0.25">
      <c r="A4023" s="2"/>
    </row>
    <row r="4024" spans="1:1" x14ac:dyDescent="0.25">
      <c r="A4024" s="2"/>
    </row>
    <row r="4025" spans="1:1" x14ac:dyDescent="0.25">
      <c r="A4025" s="2"/>
    </row>
    <row r="4026" spans="1:1" x14ac:dyDescent="0.25">
      <c r="A4026" s="2"/>
    </row>
    <row r="4027" spans="1:1" x14ac:dyDescent="0.25">
      <c r="A4027" s="2"/>
    </row>
    <row r="4028" spans="1:1" x14ac:dyDescent="0.25">
      <c r="A4028" s="2"/>
    </row>
    <row r="4029" spans="1:1" x14ac:dyDescent="0.25">
      <c r="A4029" s="2"/>
    </row>
    <row r="4030" spans="1:1" x14ac:dyDescent="0.25">
      <c r="A4030" s="2"/>
    </row>
    <row r="4031" spans="1:1" x14ac:dyDescent="0.25">
      <c r="A4031" s="2"/>
    </row>
    <row r="4032" spans="1:1" x14ac:dyDescent="0.25">
      <c r="A4032" s="2"/>
    </row>
    <row r="4033" spans="1:1" x14ac:dyDescent="0.25">
      <c r="A4033" s="2"/>
    </row>
    <row r="4034" spans="1:1" x14ac:dyDescent="0.25">
      <c r="A4034" s="2"/>
    </row>
    <row r="4035" spans="1:1" x14ac:dyDescent="0.25">
      <c r="A4035" s="2"/>
    </row>
    <row r="4036" spans="1:1" x14ac:dyDescent="0.25">
      <c r="A4036" s="2"/>
    </row>
    <row r="4037" spans="1:1" x14ac:dyDescent="0.25">
      <c r="A4037" s="2"/>
    </row>
    <row r="4038" spans="1:1" x14ac:dyDescent="0.25">
      <c r="A4038" s="2"/>
    </row>
    <row r="4039" spans="1:1" x14ac:dyDescent="0.25">
      <c r="A4039" s="2"/>
    </row>
    <row r="4040" spans="1:1" x14ac:dyDescent="0.25">
      <c r="A4040" s="2"/>
    </row>
    <row r="4041" spans="1:1" x14ac:dyDescent="0.25">
      <c r="A4041" s="2"/>
    </row>
    <row r="4042" spans="1:1" x14ac:dyDescent="0.25">
      <c r="A4042" s="2"/>
    </row>
    <row r="4043" spans="1:1" x14ac:dyDescent="0.25">
      <c r="A4043" s="2"/>
    </row>
    <row r="4044" spans="1:1" x14ac:dyDescent="0.25">
      <c r="A4044" s="2"/>
    </row>
    <row r="4045" spans="1:1" x14ac:dyDescent="0.25">
      <c r="A4045" s="2"/>
    </row>
    <row r="4046" spans="1:1" x14ac:dyDescent="0.25">
      <c r="A4046" s="2"/>
    </row>
    <row r="4047" spans="1:1" x14ac:dyDescent="0.25">
      <c r="A4047" s="2"/>
    </row>
    <row r="4048" spans="1:1" x14ac:dyDescent="0.25">
      <c r="A4048" s="2"/>
    </row>
    <row r="4049" spans="1:1" x14ac:dyDescent="0.25">
      <c r="A4049" s="2"/>
    </row>
    <row r="4050" spans="1:1" x14ac:dyDescent="0.25">
      <c r="A4050" s="2"/>
    </row>
    <row r="4051" spans="1:1" x14ac:dyDescent="0.25">
      <c r="A4051" s="2"/>
    </row>
    <row r="4052" spans="1:1" x14ac:dyDescent="0.25">
      <c r="A4052" s="2"/>
    </row>
    <row r="4053" spans="1:1" x14ac:dyDescent="0.25">
      <c r="A4053" s="2"/>
    </row>
    <row r="4054" spans="1:1" x14ac:dyDescent="0.25">
      <c r="A4054" s="2"/>
    </row>
    <row r="4055" spans="1:1" x14ac:dyDescent="0.25">
      <c r="A4055" s="2"/>
    </row>
    <row r="4056" spans="1:1" x14ac:dyDescent="0.25">
      <c r="A4056" s="2"/>
    </row>
    <row r="4057" spans="1:1" x14ac:dyDescent="0.25">
      <c r="A4057" s="2"/>
    </row>
    <row r="4058" spans="1:1" x14ac:dyDescent="0.25">
      <c r="A4058" s="2"/>
    </row>
    <row r="4059" spans="1:1" x14ac:dyDescent="0.25">
      <c r="A4059" s="2"/>
    </row>
    <row r="4060" spans="1:1" x14ac:dyDescent="0.25">
      <c r="A4060" s="2"/>
    </row>
    <row r="4061" spans="1:1" x14ac:dyDescent="0.25">
      <c r="A4061" s="2"/>
    </row>
    <row r="4062" spans="1:1" x14ac:dyDescent="0.25">
      <c r="A4062" s="2"/>
    </row>
    <row r="4063" spans="1:1" x14ac:dyDescent="0.25">
      <c r="A4063" s="2"/>
    </row>
    <row r="4064" spans="1:1" x14ac:dyDescent="0.25">
      <c r="A4064" s="2"/>
    </row>
    <row r="4065" spans="1:1" x14ac:dyDescent="0.25">
      <c r="A4065" s="2"/>
    </row>
    <row r="4066" spans="1:1" x14ac:dyDescent="0.25">
      <c r="A4066" s="2"/>
    </row>
    <row r="4067" spans="1:1" x14ac:dyDescent="0.25">
      <c r="A4067" s="2"/>
    </row>
    <row r="4068" spans="1:1" x14ac:dyDescent="0.25">
      <c r="A4068" s="2"/>
    </row>
    <row r="4069" spans="1:1" x14ac:dyDescent="0.25">
      <c r="A4069" s="2"/>
    </row>
    <row r="4070" spans="1:1" x14ac:dyDescent="0.25">
      <c r="A4070" s="2"/>
    </row>
    <row r="4071" spans="1:1" x14ac:dyDescent="0.25">
      <c r="A4071" s="2"/>
    </row>
    <row r="4072" spans="1:1" x14ac:dyDescent="0.25">
      <c r="A4072" s="2"/>
    </row>
    <row r="4073" spans="1:1" x14ac:dyDescent="0.25">
      <c r="A4073" s="2"/>
    </row>
    <row r="4074" spans="1:1" x14ac:dyDescent="0.25">
      <c r="A4074" s="2"/>
    </row>
    <row r="4075" spans="1:1" x14ac:dyDescent="0.25">
      <c r="A4075" s="2"/>
    </row>
    <row r="4076" spans="1:1" x14ac:dyDescent="0.25">
      <c r="A4076" s="2"/>
    </row>
    <row r="4077" spans="1:1" x14ac:dyDescent="0.25">
      <c r="A4077" s="2"/>
    </row>
    <row r="4078" spans="1:1" x14ac:dyDescent="0.25">
      <c r="A4078" s="2"/>
    </row>
    <row r="4079" spans="1:1" x14ac:dyDescent="0.25">
      <c r="A4079" s="2"/>
    </row>
    <row r="4080" spans="1:1" x14ac:dyDescent="0.25">
      <c r="A4080" s="2"/>
    </row>
    <row r="4081" spans="1:1" x14ac:dyDescent="0.25">
      <c r="A4081" s="2"/>
    </row>
    <row r="4082" spans="1:1" x14ac:dyDescent="0.25">
      <c r="A4082" s="2"/>
    </row>
    <row r="4083" spans="1:1" x14ac:dyDescent="0.25">
      <c r="A4083" s="2"/>
    </row>
    <row r="4084" spans="1:1" x14ac:dyDescent="0.25">
      <c r="A4084" s="2"/>
    </row>
    <row r="4085" spans="1:1" x14ac:dyDescent="0.25">
      <c r="A4085" s="2"/>
    </row>
    <row r="4086" spans="1:1" x14ac:dyDescent="0.25">
      <c r="A4086" s="2"/>
    </row>
    <row r="4087" spans="1:1" x14ac:dyDescent="0.25">
      <c r="A4087" s="2"/>
    </row>
    <row r="4088" spans="1:1" x14ac:dyDescent="0.25">
      <c r="A4088" s="2"/>
    </row>
    <row r="4089" spans="1:1" x14ac:dyDescent="0.25">
      <c r="A4089" s="2"/>
    </row>
    <row r="4090" spans="1:1" x14ac:dyDescent="0.25">
      <c r="A4090" s="2"/>
    </row>
    <row r="4091" spans="1:1" x14ac:dyDescent="0.25">
      <c r="A4091" s="2"/>
    </row>
    <row r="4092" spans="1:1" x14ac:dyDescent="0.25">
      <c r="A4092" s="2"/>
    </row>
    <row r="4093" spans="1:1" x14ac:dyDescent="0.25">
      <c r="A4093" s="2"/>
    </row>
    <row r="4094" spans="1:1" x14ac:dyDescent="0.25">
      <c r="A4094" s="2"/>
    </row>
    <row r="4095" spans="1:1" x14ac:dyDescent="0.25">
      <c r="A4095" s="2"/>
    </row>
    <row r="4096" spans="1:1" x14ac:dyDescent="0.25">
      <c r="A4096" s="2"/>
    </row>
    <row r="4097" spans="1:1" x14ac:dyDescent="0.25">
      <c r="A4097" s="2"/>
    </row>
    <row r="4098" spans="1:1" x14ac:dyDescent="0.25">
      <c r="A4098" s="2"/>
    </row>
    <row r="4099" spans="1:1" x14ac:dyDescent="0.25">
      <c r="A4099" s="2"/>
    </row>
    <row r="4100" spans="1:1" x14ac:dyDescent="0.25">
      <c r="A4100" s="2"/>
    </row>
    <row r="4101" spans="1:1" x14ac:dyDescent="0.25">
      <c r="A4101" s="2"/>
    </row>
    <row r="4102" spans="1:1" x14ac:dyDescent="0.25">
      <c r="A4102" s="2"/>
    </row>
    <row r="4103" spans="1:1" x14ac:dyDescent="0.25">
      <c r="A4103" s="2"/>
    </row>
    <row r="4104" spans="1:1" x14ac:dyDescent="0.25">
      <c r="A4104" s="2"/>
    </row>
    <row r="4105" spans="1:1" x14ac:dyDescent="0.25">
      <c r="A4105" s="2"/>
    </row>
    <row r="4106" spans="1:1" x14ac:dyDescent="0.25">
      <c r="A4106" s="2"/>
    </row>
    <row r="4107" spans="1:1" x14ac:dyDescent="0.25">
      <c r="A4107" s="2"/>
    </row>
    <row r="4108" spans="1:1" x14ac:dyDescent="0.25">
      <c r="A4108" s="2"/>
    </row>
    <row r="4109" spans="1:1" x14ac:dyDescent="0.25">
      <c r="A4109" s="2"/>
    </row>
    <row r="4110" spans="1:1" x14ac:dyDescent="0.25">
      <c r="A4110" s="2"/>
    </row>
    <row r="4111" spans="1:1" x14ac:dyDescent="0.25">
      <c r="A4111" s="2"/>
    </row>
    <row r="4112" spans="1:1" x14ac:dyDescent="0.25">
      <c r="A4112" s="2"/>
    </row>
    <row r="4113" spans="1:1" x14ac:dyDescent="0.25">
      <c r="A4113" s="2"/>
    </row>
    <row r="4114" spans="1:1" x14ac:dyDescent="0.25">
      <c r="A4114" s="2"/>
    </row>
    <row r="4115" spans="1:1" x14ac:dyDescent="0.25">
      <c r="A4115" s="2"/>
    </row>
    <row r="4116" spans="1:1" x14ac:dyDescent="0.25">
      <c r="A4116" s="2"/>
    </row>
    <row r="4117" spans="1:1" x14ac:dyDescent="0.25">
      <c r="A4117" s="2"/>
    </row>
    <row r="4118" spans="1:1" x14ac:dyDescent="0.25">
      <c r="A4118" s="2"/>
    </row>
    <row r="4119" spans="1:1" x14ac:dyDescent="0.25">
      <c r="A4119" s="2"/>
    </row>
    <row r="4120" spans="1:1" x14ac:dyDescent="0.25">
      <c r="A4120" s="2"/>
    </row>
    <row r="4121" spans="1:1" x14ac:dyDescent="0.25">
      <c r="A4121" s="2"/>
    </row>
    <row r="4122" spans="1:1" x14ac:dyDescent="0.25">
      <c r="A4122" s="2"/>
    </row>
    <row r="4123" spans="1:1" x14ac:dyDescent="0.25">
      <c r="A4123" s="2"/>
    </row>
    <row r="4124" spans="1:1" x14ac:dyDescent="0.25">
      <c r="A4124" s="2"/>
    </row>
    <row r="4125" spans="1:1" x14ac:dyDescent="0.25">
      <c r="A4125" s="2"/>
    </row>
    <row r="4126" spans="1:1" x14ac:dyDescent="0.25">
      <c r="A4126" s="2"/>
    </row>
    <row r="4127" spans="1:1" x14ac:dyDescent="0.25">
      <c r="A4127" s="2"/>
    </row>
    <row r="4128" spans="1:1" x14ac:dyDescent="0.25">
      <c r="A4128" s="2"/>
    </row>
    <row r="4129" spans="1:1" x14ac:dyDescent="0.25">
      <c r="A4129" s="2"/>
    </row>
    <row r="4130" spans="1:1" x14ac:dyDescent="0.25">
      <c r="A4130" s="2"/>
    </row>
    <row r="4131" spans="1:1" x14ac:dyDescent="0.25">
      <c r="A4131" s="2"/>
    </row>
    <row r="4132" spans="1:1" x14ac:dyDescent="0.25">
      <c r="A4132" s="2"/>
    </row>
    <row r="4133" spans="1:1" x14ac:dyDescent="0.25">
      <c r="A4133" s="2"/>
    </row>
    <row r="4134" spans="1:1" x14ac:dyDescent="0.25">
      <c r="A4134" s="2"/>
    </row>
    <row r="4135" spans="1:1" x14ac:dyDescent="0.25">
      <c r="A4135" s="2"/>
    </row>
    <row r="4136" spans="1:1" x14ac:dyDescent="0.25">
      <c r="A4136" s="2"/>
    </row>
    <row r="4137" spans="1:1" x14ac:dyDescent="0.25">
      <c r="A4137" s="2"/>
    </row>
    <row r="4138" spans="1:1" x14ac:dyDescent="0.25">
      <c r="A4138" s="2"/>
    </row>
    <row r="4139" spans="1:1" x14ac:dyDescent="0.25">
      <c r="A4139" s="2"/>
    </row>
    <row r="4140" spans="1:1" x14ac:dyDescent="0.25">
      <c r="A4140" s="2"/>
    </row>
    <row r="4141" spans="1:1" x14ac:dyDescent="0.25">
      <c r="A4141" s="2"/>
    </row>
    <row r="4142" spans="1:1" x14ac:dyDescent="0.25">
      <c r="A4142" s="2"/>
    </row>
    <row r="4143" spans="1:1" x14ac:dyDescent="0.25">
      <c r="A4143" s="2"/>
    </row>
    <row r="4144" spans="1:1" x14ac:dyDescent="0.25">
      <c r="A4144" s="2"/>
    </row>
    <row r="4145" spans="1:1" x14ac:dyDescent="0.25">
      <c r="A4145" s="2"/>
    </row>
    <row r="4146" spans="1:1" x14ac:dyDescent="0.25">
      <c r="A4146" s="2"/>
    </row>
    <row r="4147" spans="1:1" x14ac:dyDescent="0.25">
      <c r="A4147" s="2"/>
    </row>
    <row r="4148" spans="1:1" x14ac:dyDescent="0.25">
      <c r="A4148" s="2"/>
    </row>
    <row r="4149" spans="1:1" x14ac:dyDescent="0.25">
      <c r="A4149" s="2"/>
    </row>
    <row r="4150" spans="1:1" x14ac:dyDescent="0.25">
      <c r="A4150" s="2"/>
    </row>
    <row r="4151" spans="1:1" x14ac:dyDescent="0.25">
      <c r="A4151" s="2"/>
    </row>
    <row r="4152" spans="1:1" x14ac:dyDescent="0.25">
      <c r="A4152" s="2"/>
    </row>
    <row r="4153" spans="1:1" x14ac:dyDescent="0.25">
      <c r="A4153" s="2"/>
    </row>
    <row r="4154" spans="1:1" x14ac:dyDescent="0.25">
      <c r="A4154" s="2"/>
    </row>
    <row r="4155" spans="1:1" x14ac:dyDescent="0.25">
      <c r="A4155" s="2"/>
    </row>
    <row r="4156" spans="1:1" x14ac:dyDescent="0.25">
      <c r="A4156" s="2"/>
    </row>
    <row r="4157" spans="1:1" x14ac:dyDescent="0.25">
      <c r="A4157" s="2"/>
    </row>
    <row r="4158" spans="1:1" x14ac:dyDescent="0.25">
      <c r="A4158" s="2"/>
    </row>
    <row r="4159" spans="1:1" x14ac:dyDescent="0.25">
      <c r="A4159" s="2"/>
    </row>
    <row r="4160" spans="1:1" x14ac:dyDescent="0.25">
      <c r="A4160" s="2"/>
    </row>
    <row r="4161" spans="1:1" x14ac:dyDescent="0.25">
      <c r="A4161" s="2"/>
    </row>
    <row r="4162" spans="1:1" x14ac:dyDescent="0.25">
      <c r="A4162" s="2"/>
    </row>
    <row r="4163" spans="1:1" x14ac:dyDescent="0.25">
      <c r="A4163" s="2"/>
    </row>
    <row r="4164" spans="1:1" x14ac:dyDescent="0.25">
      <c r="A4164" s="2"/>
    </row>
    <row r="4165" spans="1:1" x14ac:dyDescent="0.25">
      <c r="A4165" s="2"/>
    </row>
    <row r="4166" spans="1:1" x14ac:dyDescent="0.25">
      <c r="A4166" s="2"/>
    </row>
    <row r="4167" spans="1:1" x14ac:dyDescent="0.25">
      <c r="A4167" s="2"/>
    </row>
    <row r="4168" spans="1:1" x14ac:dyDescent="0.25">
      <c r="A4168" s="2"/>
    </row>
    <row r="4169" spans="1:1" x14ac:dyDescent="0.25">
      <c r="A4169" s="2"/>
    </row>
    <row r="4170" spans="1:1" x14ac:dyDescent="0.25">
      <c r="A4170" s="2"/>
    </row>
    <row r="4171" spans="1:1" x14ac:dyDescent="0.25">
      <c r="A4171" s="2"/>
    </row>
    <row r="4172" spans="1:1" x14ac:dyDescent="0.25">
      <c r="A4172" s="2"/>
    </row>
    <row r="4173" spans="1:1" x14ac:dyDescent="0.25">
      <c r="A4173" s="2"/>
    </row>
    <row r="4174" spans="1:1" x14ac:dyDescent="0.25">
      <c r="A4174" s="2"/>
    </row>
    <row r="4175" spans="1:1" x14ac:dyDescent="0.25">
      <c r="A4175" s="2"/>
    </row>
    <row r="4176" spans="1:1" x14ac:dyDescent="0.25">
      <c r="A4176" s="2"/>
    </row>
    <row r="4177" spans="1:1" x14ac:dyDescent="0.25">
      <c r="A4177" s="2"/>
    </row>
    <row r="4178" spans="1:1" x14ac:dyDescent="0.25">
      <c r="A4178" s="2"/>
    </row>
    <row r="4179" spans="1:1" x14ac:dyDescent="0.25">
      <c r="A4179" s="2"/>
    </row>
    <row r="4180" spans="1:1" x14ac:dyDescent="0.25">
      <c r="A4180" s="2"/>
    </row>
    <row r="4181" spans="1:1" x14ac:dyDescent="0.25">
      <c r="A4181" s="2"/>
    </row>
    <row r="4182" spans="1:1" x14ac:dyDescent="0.25">
      <c r="A4182" s="2"/>
    </row>
    <row r="4183" spans="1:1" x14ac:dyDescent="0.25">
      <c r="A4183" s="2"/>
    </row>
    <row r="4184" spans="1:1" x14ac:dyDescent="0.25">
      <c r="A4184" s="2"/>
    </row>
    <row r="4185" spans="1:1" x14ac:dyDescent="0.25">
      <c r="A4185" s="2"/>
    </row>
    <row r="4186" spans="1:1" x14ac:dyDescent="0.25">
      <c r="A4186" s="2"/>
    </row>
    <row r="4187" spans="1:1" x14ac:dyDescent="0.25">
      <c r="A4187" s="2"/>
    </row>
    <row r="4188" spans="1:1" x14ac:dyDescent="0.25">
      <c r="A4188" s="2"/>
    </row>
    <row r="4189" spans="1:1" x14ac:dyDescent="0.25">
      <c r="A4189" s="2"/>
    </row>
    <row r="4190" spans="1:1" x14ac:dyDescent="0.25">
      <c r="A4190" s="2"/>
    </row>
    <row r="4191" spans="1:1" x14ac:dyDescent="0.25">
      <c r="A4191" s="2"/>
    </row>
    <row r="4192" spans="1:1" x14ac:dyDescent="0.25">
      <c r="A4192" s="2"/>
    </row>
    <row r="4193" spans="1:1" x14ac:dyDescent="0.25">
      <c r="A4193" s="2"/>
    </row>
    <row r="4194" spans="1:1" x14ac:dyDescent="0.25">
      <c r="A4194" s="2"/>
    </row>
    <row r="4195" spans="1:1" x14ac:dyDescent="0.25">
      <c r="A4195" s="2"/>
    </row>
    <row r="4196" spans="1:1" x14ac:dyDescent="0.25">
      <c r="A4196" s="2"/>
    </row>
    <row r="4197" spans="1:1" x14ac:dyDescent="0.25">
      <c r="A4197" s="2"/>
    </row>
    <row r="4198" spans="1:1" x14ac:dyDescent="0.25">
      <c r="A4198" s="2"/>
    </row>
    <row r="4199" spans="1:1" x14ac:dyDescent="0.25">
      <c r="A4199" s="2"/>
    </row>
    <row r="4200" spans="1:1" x14ac:dyDescent="0.25">
      <c r="A4200" s="2"/>
    </row>
    <row r="4201" spans="1:1" x14ac:dyDescent="0.25">
      <c r="A4201" s="2"/>
    </row>
    <row r="4202" spans="1:1" x14ac:dyDescent="0.25">
      <c r="A4202" s="2"/>
    </row>
    <row r="4203" spans="1:1" x14ac:dyDescent="0.25">
      <c r="A4203" s="2"/>
    </row>
    <row r="4204" spans="1:1" x14ac:dyDescent="0.25">
      <c r="A4204" s="2"/>
    </row>
    <row r="4205" spans="1:1" x14ac:dyDescent="0.25">
      <c r="A4205" s="2"/>
    </row>
    <row r="4206" spans="1:1" x14ac:dyDescent="0.25">
      <c r="A4206" s="2"/>
    </row>
    <row r="4207" spans="1:1" x14ac:dyDescent="0.25">
      <c r="A4207" s="2"/>
    </row>
    <row r="4208" spans="1:1" x14ac:dyDescent="0.25">
      <c r="A4208" s="2"/>
    </row>
    <row r="4209" spans="1:1" x14ac:dyDescent="0.25">
      <c r="A4209" s="2"/>
    </row>
    <row r="4210" spans="1:1" x14ac:dyDescent="0.25">
      <c r="A4210" s="2"/>
    </row>
    <row r="4211" spans="1:1" x14ac:dyDescent="0.25">
      <c r="A4211" s="2"/>
    </row>
    <row r="4212" spans="1:1" x14ac:dyDescent="0.25">
      <c r="A4212" s="2"/>
    </row>
    <row r="4213" spans="1:1" x14ac:dyDescent="0.25">
      <c r="A4213" s="2"/>
    </row>
    <row r="4214" spans="1:1" x14ac:dyDescent="0.25">
      <c r="A4214" s="2"/>
    </row>
    <row r="4215" spans="1:1" x14ac:dyDescent="0.25">
      <c r="A4215" s="2"/>
    </row>
    <row r="4216" spans="1:1" x14ac:dyDescent="0.25">
      <c r="A4216" s="2"/>
    </row>
    <row r="4217" spans="1:1" x14ac:dyDescent="0.25">
      <c r="A4217" s="2"/>
    </row>
    <row r="4218" spans="1:1" x14ac:dyDescent="0.25">
      <c r="A4218" s="2"/>
    </row>
    <row r="4219" spans="1:1" x14ac:dyDescent="0.25">
      <c r="A4219" s="2"/>
    </row>
    <row r="4220" spans="1:1" x14ac:dyDescent="0.25">
      <c r="A4220" s="2"/>
    </row>
    <row r="4221" spans="1:1" x14ac:dyDescent="0.25">
      <c r="A4221" s="2"/>
    </row>
    <row r="4222" spans="1:1" x14ac:dyDescent="0.25">
      <c r="A4222" s="2"/>
    </row>
    <row r="4223" spans="1:1" x14ac:dyDescent="0.25">
      <c r="A4223" s="2"/>
    </row>
    <row r="4224" spans="1:1" x14ac:dyDescent="0.25">
      <c r="A4224" s="2"/>
    </row>
    <row r="4225" spans="1:1" x14ac:dyDescent="0.25">
      <c r="A4225" s="2"/>
    </row>
    <row r="4226" spans="1:1" x14ac:dyDescent="0.25">
      <c r="A4226" s="2"/>
    </row>
    <row r="4227" spans="1:1" x14ac:dyDescent="0.25">
      <c r="A4227" s="2"/>
    </row>
    <row r="4228" spans="1:1" x14ac:dyDescent="0.25">
      <c r="A4228" s="2"/>
    </row>
    <row r="4229" spans="1:1" x14ac:dyDescent="0.25">
      <c r="A4229" s="2"/>
    </row>
    <row r="4230" spans="1:1" x14ac:dyDescent="0.25">
      <c r="A4230" s="2"/>
    </row>
    <row r="4231" spans="1:1" x14ac:dyDescent="0.25">
      <c r="A4231" s="2"/>
    </row>
    <row r="4232" spans="1:1" x14ac:dyDescent="0.25">
      <c r="A4232" s="2"/>
    </row>
    <row r="4233" spans="1:1" x14ac:dyDescent="0.25">
      <c r="A4233" s="2"/>
    </row>
    <row r="4234" spans="1:1" x14ac:dyDescent="0.25">
      <c r="A4234" s="2"/>
    </row>
    <row r="4235" spans="1:1" x14ac:dyDescent="0.25">
      <c r="A4235" s="2"/>
    </row>
    <row r="4236" spans="1:1" x14ac:dyDescent="0.25">
      <c r="A4236" s="2"/>
    </row>
    <row r="4237" spans="1:1" x14ac:dyDescent="0.25">
      <c r="A4237" s="2"/>
    </row>
    <row r="4238" spans="1:1" x14ac:dyDescent="0.25">
      <c r="A4238" s="2"/>
    </row>
    <row r="4239" spans="1:1" x14ac:dyDescent="0.25">
      <c r="A4239" s="2"/>
    </row>
    <row r="4240" spans="1:1" x14ac:dyDescent="0.25">
      <c r="A4240" s="2"/>
    </row>
    <row r="4241" spans="1:1" x14ac:dyDescent="0.25">
      <c r="A4241" s="2"/>
    </row>
    <row r="4242" spans="1:1" x14ac:dyDescent="0.25">
      <c r="A4242" s="2"/>
    </row>
    <row r="4243" spans="1:1" x14ac:dyDescent="0.25">
      <c r="A4243" s="2"/>
    </row>
    <row r="4244" spans="1:1" x14ac:dyDescent="0.25">
      <c r="A4244" s="2"/>
    </row>
    <row r="4245" spans="1:1" x14ac:dyDescent="0.25">
      <c r="A4245" s="2"/>
    </row>
    <row r="4246" spans="1:1" x14ac:dyDescent="0.25">
      <c r="A4246" s="2"/>
    </row>
    <row r="4247" spans="1:1" x14ac:dyDescent="0.25">
      <c r="A4247" s="2"/>
    </row>
    <row r="4248" spans="1:1" x14ac:dyDescent="0.25">
      <c r="A4248" s="2"/>
    </row>
    <row r="4249" spans="1:1" x14ac:dyDescent="0.25">
      <c r="A4249" s="2"/>
    </row>
    <row r="4250" spans="1:1" x14ac:dyDescent="0.25">
      <c r="A4250" s="2"/>
    </row>
    <row r="4251" spans="1:1" x14ac:dyDescent="0.25">
      <c r="A4251" s="2"/>
    </row>
    <row r="4252" spans="1:1" x14ac:dyDescent="0.25">
      <c r="A4252" s="2"/>
    </row>
    <row r="4253" spans="1:1" x14ac:dyDescent="0.25">
      <c r="A4253" s="2"/>
    </row>
    <row r="4254" spans="1:1" x14ac:dyDescent="0.25">
      <c r="A4254" s="2"/>
    </row>
    <row r="4255" spans="1:1" x14ac:dyDescent="0.25">
      <c r="A4255" s="2"/>
    </row>
    <row r="4256" spans="1:1" x14ac:dyDescent="0.25">
      <c r="A4256" s="2"/>
    </row>
    <row r="4257" spans="1:1" x14ac:dyDescent="0.25">
      <c r="A4257" s="2"/>
    </row>
    <row r="4258" spans="1:1" x14ac:dyDescent="0.25">
      <c r="A4258" s="2"/>
    </row>
    <row r="4259" spans="1:1" x14ac:dyDescent="0.25">
      <c r="A4259" s="2"/>
    </row>
    <row r="4260" spans="1:1" x14ac:dyDescent="0.25">
      <c r="A4260" s="2"/>
    </row>
    <row r="4261" spans="1:1" x14ac:dyDescent="0.25">
      <c r="A4261" s="2"/>
    </row>
    <row r="4262" spans="1:1" x14ac:dyDescent="0.25">
      <c r="A4262" s="2"/>
    </row>
    <row r="4263" spans="1:1" x14ac:dyDescent="0.25">
      <c r="A4263" s="2"/>
    </row>
    <row r="4264" spans="1:1" x14ac:dyDescent="0.25">
      <c r="A4264" s="2"/>
    </row>
    <row r="4265" spans="1:1" x14ac:dyDescent="0.25">
      <c r="A4265" s="2"/>
    </row>
    <row r="4266" spans="1:1" x14ac:dyDescent="0.25">
      <c r="A4266" s="2"/>
    </row>
    <row r="4267" spans="1:1" x14ac:dyDescent="0.25">
      <c r="A4267" s="2"/>
    </row>
    <row r="4268" spans="1:1" x14ac:dyDescent="0.25">
      <c r="A4268" s="2"/>
    </row>
    <row r="4269" spans="1:1" x14ac:dyDescent="0.25">
      <c r="A4269" s="2"/>
    </row>
    <row r="4270" spans="1:1" x14ac:dyDescent="0.25">
      <c r="A4270" s="2"/>
    </row>
    <row r="4271" spans="1:1" x14ac:dyDescent="0.25">
      <c r="A4271" s="2"/>
    </row>
    <row r="4272" spans="1:1" x14ac:dyDescent="0.25">
      <c r="A4272" s="2"/>
    </row>
    <row r="4273" spans="1:1" x14ac:dyDescent="0.25">
      <c r="A4273" s="2"/>
    </row>
    <row r="4274" spans="1:1" x14ac:dyDescent="0.25">
      <c r="A4274" s="2"/>
    </row>
    <row r="4275" spans="1:1" x14ac:dyDescent="0.25">
      <c r="A4275" s="2"/>
    </row>
    <row r="4276" spans="1:1" x14ac:dyDescent="0.25">
      <c r="A4276" s="2"/>
    </row>
    <row r="4277" spans="1:1" x14ac:dyDescent="0.25">
      <c r="A4277" s="2"/>
    </row>
    <row r="4278" spans="1:1" x14ac:dyDescent="0.25">
      <c r="A4278" s="2"/>
    </row>
    <row r="4279" spans="1:1" x14ac:dyDescent="0.25">
      <c r="A4279" s="2"/>
    </row>
    <row r="4280" spans="1:1" x14ac:dyDescent="0.25">
      <c r="A4280" s="2"/>
    </row>
    <row r="4281" spans="1:1" x14ac:dyDescent="0.25">
      <c r="A4281" s="2"/>
    </row>
    <row r="4282" spans="1:1" x14ac:dyDescent="0.25">
      <c r="A4282" s="2"/>
    </row>
    <row r="4283" spans="1:1" x14ac:dyDescent="0.25">
      <c r="A4283" s="2"/>
    </row>
    <row r="4284" spans="1:1" x14ac:dyDescent="0.25">
      <c r="A4284" s="2"/>
    </row>
    <row r="4285" spans="1:1" x14ac:dyDescent="0.25">
      <c r="A4285" s="2"/>
    </row>
    <row r="4286" spans="1:1" x14ac:dyDescent="0.25">
      <c r="A4286" s="2"/>
    </row>
    <row r="4287" spans="1:1" x14ac:dyDescent="0.25">
      <c r="A4287" s="2"/>
    </row>
    <row r="4288" spans="1:1" x14ac:dyDescent="0.25">
      <c r="A4288" s="2"/>
    </row>
    <row r="4289" spans="1:1" x14ac:dyDescent="0.25">
      <c r="A4289" s="2"/>
    </row>
    <row r="4290" spans="1:1" x14ac:dyDescent="0.25">
      <c r="A4290" s="2"/>
    </row>
    <row r="4291" spans="1:1" x14ac:dyDescent="0.25">
      <c r="A4291" s="2"/>
    </row>
    <row r="4292" spans="1:1" x14ac:dyDescent="0.25">
      <c r="A4292" s="2"/>
    </row>
    <row r="4293" spans="1:1" x14ac:dyDescent="0.25">
      <c r="A4293" s="2"/>
    </row>
    <row r="4294" spans="1:1" x14ac:dyDescent="0.25">
      <c r="A4294" s="2"/>
    </row>
    <row r="4295" spans="1:1" x14ac:dyDescent="0.25">
      <c r="A4295" s="2"/>
    </row>
    <row r="4296" spans="1:1" x14ac:dyDescent="0.25">
      <c r="A4296" s="2"/>
    </row>
    <row r="4297" spans="1:1" x14ac:dyDescent="0.25">
      <c r="A4297" s="2"/>
    </row>
    <row r="4298" spans="1:1" x14ac:dyDescent="0.25">
      <c r="A4298" s="2"/>
    </row>
    <row r="4299" spans="1:1" x14ac:dyDescent="0.25">
      <c r="A4299" s="2"/>
    </row>
    <row r="4300" spans="1:1" x14ac:dyDescent="0.25">
      <c r="A4300" s="2"/>
    </row>
    <row r="4301" spans="1:1" x14ac:dyDescent="0.25">
      <c r="A4301" s="2"/>
    </row>
    <row r="4302" spans="1:1" x14ac:dyDescent="0.25">
      <c r="A4302" s="2"/>
    </row>
    <row r="4303" spans="1:1" x14ac:dyDescent="0.25">
      <c r="A4303" s="2"/>
    </row>
    <row r="4304" spans="1:1" x14ac:dyDescent="0.25">
      <c r="A4304" s="2"/>
    </row>
    <row r="4305" spans="1:1" x14ac:dyDescent="0.25">
      <c r="A4305" s="2"/>
    </row>
    <row r="4306" spans="1:1" x14ac:dyDescent="0.25">
      <c r="A4306" s="2"/>
    </row>
    <row r="4307" spans="1:1" x14ac:dyDescent="0.25">
      <c r="A4307" s="2"/>
    </row>
    <row r="4308" spans="1:1" x14ac:dyDescent="0.25">
      <c r="A4308" s="2"/>
    </row>
    <row r="4309" spans="1:1" x14ac:dyDescent="0.25">
      <c r="A4309" s="2"/>
    </row>
    <row r="4310" spans="1:1" x14ac:dyDescent="0.25">
      <c r="A4310" s="2"/>
    </row>
    <row r="4311" spans="1:1" x14ac:dyDescent="0.25">
      <c r="A4311" s="2"/>
    </row>
    <row r="4312" spans="1:1" x14ac:dyDescent="0.25">
      <c r="A4312" s="2"/>
    </row>
    <row r="4313" spans="1:1" x14ac:dyDescent="0.25">
      <c r="A4313" s="2"/>
    </row>
    <row r="4314" spans="1:1" x14ac:dyDescent="0.25">
      <c r="A4314" s="2"/>
    </row>
    <row r="4315" spans="1:1" x14ac:dyDescent="0.25">
      <c r="A4315" s="2"/>
    </row>
    <row r="4316" spans="1:1" x14ac:dyDescent="0.25">
      <c r="A4316" s="2"/>
    </row>
    <row r="4317" spans="1:1" x14ac:dyDescent="0.25">
      <c r="A4317" s="2"/>
    </row>
    <row r="4318" spans="1:1" x14ac:dyDescent="0.25">
      <c r="A4318" s="2"/>
    </row>
    <row r="4319" spans="1:1" x14ac:dyDescent="0.25">
      <c r="A4319" s="2"/>
    </row>
    <row r="4320" spans="1:1" x14ac:dyDescent="0.25">
      <c r="A4320" s="2"/>
    </row>
    <row r="4321" spans="1:1" x14ac:dyDescent="0.25">
      <c r="A4321" s="2"/>
    </row>
    <row r="4322" spans="1:1" x14ac:dyDescent="0.25">
      <c r="A4322" s="2"/>
    </row>
    <row r="4323" spans="1:1" x14ac:dyDescent="0.25">
      <c r="A4323" s="2"/>
    </row>
    <row r="4324" spans="1:1" x14ac:dyDescent="0.25">
      <c r="A4324" s="2"/>
    </row>
    <row r="4325" spans="1:1" x14ac:dyDescent="0.25">
      <c r="A4325" s="2"/>
    </row>
    <row r="4326" spans="1:1" x14ac:dyDescent="0.25">
      <c r="A4326" s="2"/>
    </row>
    <row r="4327" spans="1:1" x14ac:dyDescent="0.25">
      <c r="A4327" s="2"/>
    </row>
    <row r="4328" spans="1:1" x14ac:dyDescent="0.25">
      <c r="A4328" s="2"/>
    </row>
    <row r="4329" spans="1:1" x14ac:dyDescent="0.25">
      <c r="A4329" s="2"/>
    </row>
    <row r="4330" spans="1:1" x14ac:dyDescent="0.25">
      <c r="A4330" s="2"/>
    </row>
    <row r="4331" spans="1:1" x14ac:dyDescent="0.25">
      <c r="A4331" s="2"/>
    </row>
    <row r="4332" spans="1:1" x14ac:dyDescent="0.25">
      <c r="A4332" s="2"/>
    </row>
    <row r="4333" spans="1:1" x14ac:dyDescent="0.25">
      <c r="A4333" s="2"/>
    </row>
    <row r="4334" spans="1:1" x14ac:dyDescent="0.25">
      <c r="A4334" s="2"/>
    </row>
    <row r="4335" spans="1:1" x14ac:dyDescent="0.25">
      <c r="A4335" s="2"/>
    </row>
    <row r="4336" spans="1:1" x14ac:dyDescent="0.25">
      <c r="A4336" s="2"/>
    </row>
    <row r="4337" spans="1:1" x14ac:dyDescent="0.25">
      <c r="A4337" s="2"/>
    </row>
    <row r="4338" spans="1:1" x14ac:dyDescent="0.25">
      <c r="A4338" s="2"/>
    </row>
    <row r="4339" spans="1:1" x14ac:dyDescent="0.25">
      <c r="A4339" s="2"/>
    </row>
    <row r="4340" spans="1:1" x14ac:dyDescent="0.25">
      <c r="A4340" s="2"/>
    </row>
    <row r="4341" spans="1:1" x14ac:dyDescent="0.25">
      <c r="A4341" s="2"/>
    </row>
    <row r="4342" spans="1:1" x14ac:dyDescent="0.25">
      <c r="A4342" s="2"/>
    </row>
    <row r="4343" spans="1:1" x14ac:dyDescent="0.25">
      <c r="A4343" s="2"/>
    </row>
    <row r="4344" spans="1:1" x14ac:dyDescent="0.25">
      <c r="A4344" s="2"/>
    </row>
    <row r="4345" spans="1:1" x14ac:dyDescent="0.25">
      <c r="A4345" s="2"/>
    </row>
    <row r="4346" spans="1:1" x14ac:dyDescent="0.25">
      <c r="A4346" s="2"/>
    </row>
    <row r="4347" spans="1:1" x14ac:dyDescent="0.25">
      <c r="A4347" s="2"/>
    </row>
    <row r="4348" spans="1:1" x14ac:dyDescent="0.25">
      <c r="A4348" s="2"/>
    </row>
    <row r="4349" spans="1:1" x14ac:dyDescent="0.25">
      <c r="A4349" s="2"/>
    </row>
    <row r="4350" spans="1:1" x14ac:dyDescent="0.25">
      <c r="A4350" s="2"/>
    </row>
    <row r="4351" spans="1:1" x14ac:dyDescent="0.25">
      <c r="A4351" s="2"/>
    </row>
    <row r="4352" spans="1:1" x14ac:dyDescent="0.25">
      <c r="A4352" s="2"/>
    </row>
    <row r="4353" spans="1:1" x14ac:dyDescent="0.25">
      <c r="A4353" s="2"/>
    </row>
    <row r="4354" spans="1:1" x14ac:dyDescent="0.25">
      <c r="A4354" s="2"/>
    </row>
    <row r="4355" spans="1:1" x14ac:dyDescent="0.25">
      <c r="A4355" s="2"/>
    </row>
    <row r="4356" spans="1:1" x14ac:dyDescent="0.25">
      <c r="A4356" s="2"/>
    </row>
    <row r="4357" spans="1:1" x14ac:dyDescent="0.25">
      <c r="A4357" s="2"/>
    </row>
    <row r="4358" spans="1:1" x14ac:dyDescent="0.25">
      <c r="A4358" s="2"/>
    </row>
    <row r="4359" spans="1:1" x14ac:dyDescent="0.25">
      <c r="A4359" s="2"/>
    </row>
    <row r="4360" spans="1:1" x14ac:dyDescent="0.25">
      <c r="A4360" s="2"/>
    </row>
    <row r="4361" spans="1:1" x14ac:dyDescent="0.25">
      <c r="A4361" s="2"/>
    </row>
    <row r="4362" spans="1:1" x14ac:dyDescent="0.25">
      <c r="A4362" s="2"/>
    </row>
    <row r="4363" spans="1:1" x14ac:dyDescent="0.25">
      <c r="A4363" s="2"/>
    </row>
    <row r="4364" spans="1:1" x14ac:dyDescent="0.25">
      <c r="A4364" s="2"/>
    </row>
    <row r="4365" spans="1:1" x14ac:dyDescent="0.25">
      <c r="A4365" s="2"/>
    </row>
    <row r="4366" spans="1:1" x14ac:dyDescent="0.25">
      <c r="A4366" s="2"/>
    </row>
    <row r="4367" spans="1:1" x14ac:dyDescent="0.25">
      <c r="A4367" s="2"/>
    </row>
    <row r="4368" spans="1:1" x14ac:dyDescent="0.25">
      <c r="A4368" s="2"/>
    </row>
    <row r="4369" spans="1:1" x14ac:dyDescent="0.25">
      <c r="A4369" s="2"/>
    </row>
    <row r="4370" spans="1:1" x14ac:dyDescent="0.25">
      <c r="A4370" s="2"/>
    </row>
    <row r="4371" spans="1:1" x14ac:dyDescent="0.25">
      <c r="A4371" s="2"/>
    </row>
    <row r="4372" spans="1:1" x14ac:dyDescent="0.25">
      <c r="A4372" s="2"/>
    </row>
    <row r="4373" spans="1:1" x14ac:dyDescent="0.25">
      <c r="A4373" s="2"/>
    </row>
    <row r="4374" spans="1:1" x14ac:dyDescent="0.25">
      <c r="A4374" s="2"/>
    </row>
    <row r="4375" spans="1:1" x14ac:dyDescent="0.25">
      <c r="A4375" s="2"/>
    </row>
    <row r="4376" spans="1:1" x14ac:dyDescent="0.25">
      <c r="A4376" s="2"/>
    </row>
    <row r="4377" spans="1:1" x14ac:dyDescent="0.25">
      <c r="A4377" s="2"/>
    </row>
    <row r="4378" spans="1:1" x14ac:dyDescent="0.25">
      <c r="A4378" s="2"/>
    </row>
    <row r="4379" spans="1:1" x14ac:dyDescent="0.25">
      <c r="A4379" s="2"/>
    </row>
    <row r="4380" spans="1:1" x14ac:dyDescent="0.25">
      <c r="A4380" s="2"/>
    </row>
    <row r="4381" spans="1:1" x14ac:dyDescent="0.25">
      <c r="A4381" s="2"/>
    </row>
    <row r="4382" spans="1:1" x14ac:dyDescent="0.25">
      <c r="A4382" s="2"/>
    </row>
    <row r="4383" spans="1:1" x14ac:dyDescent="0.25">
      <c r="A4383" s="2"/>
    </row>
    <row r="4384" spans="1:1" x14ac:dyDescent="0.25">
      <c r="A4384" s="2"/>
    </row>
    <row r="4385" spans="1:1" x14ac:dyDescent="0.25">
      <c r="A4385" s="2"/>
    </row>
    <row r="4386" spans="1:1" x14ac:dyDescent="0.25">
      <c r="A4386" s="2"/>
    </row>
    <row r="4387" spans="1:1" x14ac:dyDescent="0.25">
      <c r="A4387" s="2"/>
    </row>
    <row r="4388" spans="1:1" x14ac:dyDescent="0.25">
      <c r="A4388" s="2"/>
    </row>
    <row r="4389" spans="1:1" x14ac:dyDescent="0.25">
      <c r="A4389" s="2"/>
    </row>
    <row r="4390" spans="1:1" x14ac:dyDescent="0.25">
      <c r="A4390" s="2"/>
    </row>
    <row r="4391" spans="1:1" x14ac:dyDescent="0.25">
      <c r="A4391" s="2"/>
    </row>
    <row r="4392" spans="1:1" x14ac:dyDescent="0.25">
      <c r="A4392" s="2"/>
    </row>
    <row r="4393" spans="1:1" x14ac:dyDescent="0.25">
      <c r="A4393" s="2"/>
    </row>
    <row r="4394" spans="1:1" x14ac:dyDescent="0.25">
      <c r="A4394" s="2"/>
    </row>
    <row r="4395" spans="1:1" x14ac:dyDescent="0.25">
      <c r="A4395" s="2"/>
    </row>
    <row r="4396" spans="1:1" x14ac:dyDescent="0.25">
      <c r="A4396" s="2"/>
    </row>
    <row r="4397" spans="1:1" x14ac:dyDescent="0.25">
      <c r="A4397" s="2"/>
    </row>
    <row r="4398" spans="1:1" x14ac:dyDescent="0.25">
      <c r="A4398" s="2"/>
    </row>
    <row r="4399" spans="1:1" x14ac:dyDescent="0.25">
      <c r="A4399" s="2"/>
    </row>
    <row r="4400" spans="1:1" x14ac:dyDescent="0.25">
      <c r="A4400" s="2"/>
    </row>
    <row r="4401" spans="1:1" x14ac:dyDescent="0.25">
      <c r="A4401" s="2"/>
    </row>
    <row r="4402" spans="1:1" x14ac:dyDescent="0.25">
      <c r="A4402" s="2"/>
    </row>
    <row r="4403" spans="1:1" x14ac:dyDescent="0.25">
      <c r="A4403" s="2"/>
    </row>
    <row r="4404" spans="1:1" x14ac:dyDescent="0.25">
      <c r="A4404" s="2"/>
    </row>
    <row r="4405" spans="1:1" x14ac:dyDescent="0.25">
      <c r="A4405" s="2"/>
    </row>
    <row r="4406" spans="1:1" x14ac:dyDescent="0.25">
      <c r="A4406" s="2"/>
    </row>
    <row r="4407" spans="1:1" x14ac:dyDescent="0.25">
      <c r="A4407" s="2"/>
    </row>
    <row r="4408" spans="1:1" x14ac:dyDescent="0.25">
      <c r="A4408" s="2"/>
    </row>
    <row r="4409" spans="1:1" x14ac:dyDescent="0.25">
      <c r="A4409" s="2"/>
    </row>
    <row r="4410" spans="1:1" x14ac:dyDescent="0.25">
      <c r="A4410" s="2"/>
    </row>
    <row r="4411" spans="1:1" x14ac:dyDescent="0.25">
      <c r="A4411" s="2"/>
    </row>
    <row r="4412" spans="1:1" x14ac:dyDescent="0.25">
      <c r="A4412" s="2"/>
    </row>
    <row r="4413" spans="1:1" x14ac:dyDescent="0.25">
      <c r="A4413" s="2"/>
    </row>
    <row r="4414" spans="1:1" x14ac:dyDescent="0.25">
      <c r="A4414" s="2"/>
    </row>
    <row r="4415" spans="1:1" x14ac:dyDescent="0.25">
      <c r="A4415" s="2"/>
    </row>
    <row r="4416" spans="1:1" x14ac:dyDescent="0.25">
      <c r="A4416" s="2"/>
    </row>
    <row r="4417" spans="1:1" x14ac:dyDescent="0.25">
      <c r="A4417" s="2"/>
    </row>
    <row r="4418" spans="1:1" x14ac:dyDescent="0.25">
      <c r="A4418" s="2"/>
    </row>
    <row r="4419" spans="1:1" x14ac:dyDescent="0.25">
      <c r="A4419" s="2"/>
    </row>
    <row r="4420" spans="1:1" x14ac:dyDescent="0.25">
      <c r="A4420" s="2"/>
    </row>
    <row r="4421" spans="1:1" x14ac:dyDescent="0.25">
      <c r="A4421" s="2"/>
    </row>
    <row r="4422" spans="1:1" x14ac:dyDescent="0.25">
      <c r="A4422" s="2"/>
    </row>
    <row r="4423" spans="1:1" x14ac:dyDescent="0.25">
      <c r="A4423" s="2"/>
    </row>
    <row r="4424" spans="1:1" x14ac:dyDescent="0.25">
      <c r="A4424" s="2"/>
    </row>
    <row r="4425" spans="1:1" x14ac:dyDescent="0.25">
      <c r="A4425" s="2"/>
    </row>
    <row r="4426" spans="1:1" x14ac:dyDescent="0.25">
      <c r="A4426" s="2"/>
    </row>
    <row r="4427" spans="1:1" x14ac:dyDescent="0.25">
      <c r="A4427" s="2"/>
    </row>
    <row r="4428" spans="1:1" x14ac:dyDescent="0.25">
      <c r="A4428" s="2"/>
    </row>
    <row r="4429" spans="1:1" x14ac:dyDescent="0.25">
      <c r="A4429" s="2"/>
    </row>
    <row r="4430" spans="1:1" x14ac:dyDescent="0.25">
      <c r="A4430" s="2"/>
    </row>
    <row r="4431" spans="1:1" x14ac:dyDescent="0.25">
      <c r="A4431" s="2"/>
    </row>
    <row r="4432" spans="1:1" x14ac:dyDescent="0.25">
      <c r="A4432" s="2"/>
    </row>
    <row r="4433" spans="1:1" x14ac:dyDescent="0.25">
      <c r="A4433" s="2"/>
    </row>
    <row r="4434" spans="1:1" x14ac:dyDescent="0.25">
      <c r="A4434" s="2"/>
    </row>
    <row r="4435" spans="1:1" x14ac:dyDescent="0.25">
      <c r="A4435" s="2"/>
    </row>
    <row r="4436" spans="1:1" x14ac:dyDescent="0.25">
      <c r="A4436" s="2"/>
    </row>
    <row r="4437" spans="1:1" x14ac:dyDescent="0.25">
      <c r="A4437" s="2"/>
    </row>
    <row r="4438" spans="1:1" x14ac:dyDescent="0.25">
      <c r="A4438" s="2"/>
    </row>
    <row r="4439" spans="1:1" x14ac:dyDescent="0.25">
      <c r="A4439" s="2"/>
    </row>
    <row r="4440" spans="1:1" x14ac:dyDescent="0.25">
      <c r="A4440" s="2"/>
    </row>
    <row r="4441" spans="1:1" x14ac:dyDescent="0.25">
      <c r="A4441" s="2"/>
    </row>
    <row r="4442" spans="1:1" x14ac:dyDescent="0.25">
      <c r="A4442" s="2"/>
    </row>
    <row r="4443" spans="1:1" x14ac:dyDescent="0.25">
      <c r="A4443" s="2"/>
    </row>
    <row r="4444" spans="1:1" x14ac:dyDescent="0.25">
      <c r="A4444" s="2"/>
    </row>
    <row r="4445" spans="1:1" x14ac:dyDescent="0.25">
      <c r="A4445" s="2"/>
    </row>
    <row r="4446" spans="1:1" x14ac:dyDescent="0.25">
      <c r="A4446" s="2"/>
    </row>
    <row r="4447" spans="1:1" x14ac:dyDescent="0.25">
      <c r="A4447" s="2"/>
    </row>
    <row r="4448" spans="1:1" x14ac:dyDescent="0.25">
      <c r="A4448" s="2"/>
    </row>
    <row r="4449" spans="1:1" x14ac:dyDescent="0.25">
      <c r="A4449" s="2"/>
    </row>
    <row r="4450" spans="1:1" x14ac:dyDescent="0.25">
      <c r="A4450" s="2"/>
    </row>
    <row r="4451" spans="1:1" x14ac:dyDescent="0.25">
      <c r="A4451" s="2"/>
    </row>
    <row r="4452" spans="1:1" x14ac:dyDescent="0.25">
      <c r="A4452" s="2"/>
    </row>
    <row r="4453" spans="1:1" x14ac:dyDescent="0.25">
      <c r="A4453" s="2"/>
    </row>
    <row r="4454" spans="1:1" x14ac:dyDescent="0.25">
      <c r="A4454" s="2"/>
    </row>
    <row r="4455" spans="1:1" x14ac:dyDescent="0.25">
      <c r="A4455" s="2"/>
    </row>
    <row r="4456" spans="1:1" x14ac:dyDescent="0.25">
      <c r="A4456" s="2"/>
    </row>
    <row r="4457" spans="1:1" x14ac:dyDescent="0.25">
      <c r="A4457" s="2"/>
    </row>
    <row r="4458" spans="1:1" x14ac:dyDescent="0.25">
      <c r="A4458" s="2"/>
    </row>
    <row r="4459" spans="1:1" x14ac:dyDescent="0.25">
      <c r="A4459" s="2"/>
    </row>
    <row r="4460" spans="1:1" x14ac:dyDescent="0.25">
      <c r="A4460" s="2"/>
    </row>
    <row r="4461" spans="1:1" x14ac:dyDescent="0.25">
      <c r="A4461" s="2"/>
    </row>
    <row r="4462" spans="1:1" x14ac:dyDescent="0.25">
      <c r="A4462" s="2"/>
    </row>
    <row r="4463" spans="1:1" x14ac:dyDescent="0.25">
      <c r="A4463" s="2"/>
    </row>
    <row r="4464" spans="1:1" x14ac:dyDescent="0.25">
      <c r="A4464" s="2"/>
    </row>
    <row r="4465" spans="1:1" x14ac:dyDescent="0.25">
      <c r="A4465" s="2"/>
    </row>
    <row r="4466" spans="1:1" x14ac:dyDescent="0.25">
      <c r="A4466" s="2"/>
    </row>
    <row r="4467" spans="1:1" x14ac:dyDescent="0.25">
      <c r="A4467" s="2"/>
    </row>
    <row r="4468" spans="1:1" x14ac:dyDescent="0.25">
      <c r="A4468" s="2"/>
    </row>
    <row r="4469" spans="1:1" x14ac:dyDescent="0.25">
      <c r="A4469" s="2"/>
    </row>
    <row r="4470" spans="1:1" x14ac:dyDescent="0.25">
      <c r="A4470" s="2"/>
    </row>
    <row r="4471" spans="1:1" x14ac:dyDescent="0.25">
      <c r="A4471" s="2"/>
    </row>
    <row r="4472" spans="1:1" x14ac:dyDescent="0.25">
      <c r="A4472" s="2"/>
    </row>
    <row r="4473" spans="1:1" x14ac:dyDescent="0.25">
      <c r="A4473" s="2"/>
    </row>
    <row r="4474" spans="1:1" x14ac:dyDescent="0.25">
      <c r="A4474" s="2"/>
    </row>
    <row r="4475" spans="1:1" x14ac:dyDescent="0.25">
      <c r="A4475" s="2"/>
    </row>
    <row r="4476" spans="1:1" x14ac:dyDescent="0.25">
      <c r="A4476" s="2"/>
    </row>
    <row r="4477" spans="1:1" x14ac:dyDescent="0.25">
      <c r="A4477" s="2"/>
    </row>
    <row r="4478" spans="1:1" x14ac:dyDescent="0.25">
      <c r="A4478" s="2"/>
    </row>
    <row r="4479" spans="1:1" x14ac:dyDescent="0.25">
      <c r="A4479" s="2"/>
    </row>
    <row r="4480" spans="1:1" x14ac:dyDescent="0.25">
      <c r="A4480" s="2"/>
    </row>
    <row r="4481" spans="1:1" x14ac:dyDescent="0.25">
      <c r="A4481" s="2"/>
    </row>
    <row r="4482" spans="1:1" x14ac:dyDescent="0.25">
      <c r="A4482" s="2"/>
    </row>
    <row r="4483" spans="1:1" x14ac:dyDescent="0.25">
      <c r="A4483" s="2"/>
    </row>
    <row r="4484" spans="1:1" x14ac:dyDescent="0.25">
      <c r="A4484" s="2"/>
    </row>
    <row r="4485" spans="1:1" x14ac:dyDescent="0.25">
      <c r="A4485" s="2"/>
    </row>
    <row r="4486" spans="1:1" x14ac:dyDescent="0.25">
      <c r="A4486" s="2"/>
    </row>
    <row r="4487" spans="1:1" x14ac:dyDescent="0.25">
      <c r="A4487" s="2"/>
    </row>
    <row r="4488" spans="1:1" x14ac:dyDescent="0.25">
      <c r="A4488" s="2"/>
    </row>
    <row r="4489" spans="1:1" x14ac:dyDescent="0.25">
      <c r="A4489" s="2"/>
    </row>
    <row r="4490" spans="1:1" x14ac:dyDescent="0.25">
      <c r="A4490" s="2"/>
    </row>
    <row r="4491" spans="1:1" x14ac:dyDescent="0.25">
      <c r="A4491" s="2"/>
    </row>
    <row r="4492" spans="1:1" x14ac:dyDescent="0.25">
      <c r="A4492" s="2"/>
    </row>
    <row r="4493" spans="1:1" x14ac:dyDescent="0.25">
      <c r="A4493" s="2"/>
    </row>
    <row r="4494" spans="1:1" x14ac:dyDescent="0.25">
      <c r="A4494" s="2"/>
    </row>
    <row r="4495" spans="1:1" x14ac:dyDescent="0.25">
      <c r="A4495" s="2"/>
    </row>
    <row r="4496" spans="1:1" x14ac:dyDescent="0.25">
      <c r="A4496" s="2"/>
    </row>
    <row r="4497" spans="1:1" x14ac:dyDescent="0.25">
      <c r="A4497" s="2"/>
    </row>
    <row r="4498" spans="1:1" x14ac:dyDescent="0.25">
      <c r="A4498" s="2"/>
    </row>
    <row r="4499" spans="1:1" x14ac:dyDescent="0.25">
      <c r="A4499" s="2"/>
    </row>
    <row r="4500" spans="1:1" x14ac:dyDescent="0.25">
      <c r="A4500" s="2"/>
    </row>
    <row r="4501" spans="1:1" x14ac:dyDescent="0.25">
      <c r="A4501" s="2"/>
    </row>
    <row r="4502" spans="1:1" x14ac:dyDescent="0.25">
      <c r="A4502" s="2"/>
    </row>
    <row r="4503" spans="1:1" x14ac:dyDescent="0.25">
      <c r="A4503" s="2"/>
    </row>
    <row r="4504" spans="1:1" x14ac:dyDescent="0.25">
      <c r="A4504" s="2"/>
    </row>
    <row r="4505" spans="1:1" x14ac:dyDescent="0.25">
      <c r="A4505" s="2"/>
    </row>
    <row r="4506" spans="1:1" x14ac:dyDescent="0.25">
      <c r="A4506" s="2"/>
    </row>
    <row r="4507" spans="1:1" x14ac:dyDescent="0.25">
      <c r="A4507" s="2"/>
    </row>
    <row r="4508" spans="1:1" x14ac:dyDescent="0.25">
      <c r="A4508" s="2"/>
    </row>
    <row r="4509" spans="1:1" x14ac:dyDescent="0.25">
      <c r="A4509" s="2"/>
    </row>
    <row r="4510" spans="1:1" x14ac:dyDescent="0.25">
      <c r="A4510" s="2"/>
    </row>
    <row r="4511" spans="1:1" x14ac:dyDescent="0.25">
      <c r="A4511" s="2"/>
    </row>
    <row r="4512" spans="1:1" x14ac:dyDescent="0.25">
      <c r="A4512" s="2"/>
    </row>
    <row r="4513" spans="1:1" x14ac:dyDescent="0.25">
      <c r="A4513" s="2"/>
    </row>
    <row r="4514" spans="1:1" x14ac:dyDescent="0.25">
      <c r="A4514" s="2"/>
    </row>
    <row r="4515" spans="1:1" x14ac:dyDescent="0.25">
      <c r="A4515" s="2"/>
    </row>
    <row r="4516" spans="1:1" x14ac:dyDescent="0.25">
      <c r="A4516" s="2"/>
    </row>
    <row r="4517" spans="1:1" x14ac:dyDescent="0.25">
      <c r="A4517" s="2"/>
    </row>
    <row r="4518" spans="1:1" x14ac:dyDescent="0.25">
      <c r="A4518" s="2"/>
    </row>
    <row r="4519" spans="1:1" x14ac:dyDescent="0.25">
      <c r="A4519" s="2"/>
    </row>
    <row r="4520" spans="1:1" x14ac:dyDescent="0.25">
      <c r="A4520" s="2"/>
    </row>
    <row r="4521" spans="1:1" x14ac:dyDescent="0.25">
      <c r="A4521" s="2"/>
    </row>
    <row r="4522" spans="1:1" x14ac:dyDescent="0.25">
      <c r="A4522" s="2"/>
    </row>
    <row r="4523" spans="1:1" x14ac:dyDescent="0.25">
      <c r="A4523" s="2"/>
    </row>
    <row r="4524" spans="1:1" x14ac:dyDescent="0.25">
      <c r="A4524" s="2"/>
    </row>
    <row r="4525" spans="1:1" x14ac:dyDescent="0.25">
      <c r="A4525" s="2"/>
    </row>
    <row r="4526" spans="1:1" x14ac:dyDescent="0.25">
      <c r="A4526" s="2"/>
    </row>
    <row r="4527" spans="1:1" x14ac:dyDescent="0.25">
      <c r="A4527" s="2"/>
    </row>
    <row r="4528" spans="1:1" x14ac:dyDescent="0.25">
      <c r="A4528" s="2"/>
    </row>
    <row r="4529" spans="1:1" x14ac:dyDescent="0.25">
      <c r="A4529" s="2"/>
    </row>
    <row r="4530" spans="1:1" x14ac:dyDescent="0.25">
      <c r="A4530" s="2"/>
    </row>
    <row r="4531" spans="1:1" x14ac:dyDescent="0.25">
      <c r="A4531" s="2"/>
    </row>
    <row r="4532" spans="1:1" x14ac:dyDescent="0.25">
      <c r="A4532" s="2"/>
    </row>
    <row r="4533" spans="1:1" x14ac:dyDescent="0.25">
      <c r="A4533" s="2"/>
    </row>
    <row r="4534" spans="1:1" x14ac:dyDescent="0.25">
      <c r="A4534" s="2"/>
    </row>
    <row r="4535" spans="1:1" x14ac:dyDescent="0.25">
      <c r="A4535" s="2"/>
    </row>
    <row r="4536" spans="1:1" x14ac:dyDescent="0.25">
      <c r="A4536" s="2"/>
    </row>
    <row r="4537" spans="1:1" x14ac:dyDescent="0.25">
      <c r="A4537" s="2"/>
    </row>
    <row r="4538" spans="1:1" x14ac:dyDescent="0.25">
      <c r="A4538" s="2"/>
    </row>
    <row r="4539" spans="1:1" x14ac:dyDescent="0.25">
      <c r="A4539" s="2"/>
    </row>
    <row r="4540" spans="1:1" x14ac:dyDescent="0.25">
      <c r="A4540" s="2"/>
    </row>
    <row r="4541" spans="1:1" x14ac:dyDescent="0.25">
      <c r="A4541" s="2"/>
    </row>
    <row r="4542" spans="1:1" x14ac:dyDescent="0.25">
      <c r="A4542" s="2"/>
    </row>
    <row r="4543" spans="1:1" x14ac:dyDescent="0.25">
      <c r="A4543" s="2"/>
    </row>
    <row r="4544" spans="1:1" x14ac:dyDescent="0.25">
      <c r="A4544" s="2"/>
    </row>
    <row r="4545" spans="1:1" x14ac:dyDescent="0.25">
      <c r="A4545" s="2"/>
    </row>
    <row r="4546" spans="1:1" x14ac:dyDescent="0.25">
      <c r="A4546" s="2"/>
    </row>
    <row r="4547" spans="1:1" x14ac:dyDescent="0.25">
      <c r="A4547" s="2"/>
    </row>
    <row r="4548" spans="1:1" x14ac:dyDescent="0.25">
      <c r="A4548" s="2"/>
    </row>
    <row r="4549" spans="1:1" x14ac:dyDescent="0.25">
      <c r="A4549" s="2"/>
    </row>
    <row r="4550" spans="1:1" x14ac:dyDescent="0.25">
      <c r="A4550" s="2"/>
    </row>
    <row r="4551" spans="1:1" x14ac:dyDescent="0.25">
      <c r="A4551" s="2"/>
    </row>
    <row r="4552" spans="1:1" x14ac:dyDescent="0.25">
      <c r="A4552" s="2"/>
    </row>
    <row r="4553" spans="1:1" x14ac:dyDescent="0.25">
      <c r="A4553" s="2"/>
    </row>
    <row r="4554" spans="1:1" x14ac:dyDescent="0.25">
      <c r="A4554" s="2"/>
    </row>
    <row r="4555" spans="1:1" x14ac:dyDescent="0.25">
      <c r="A4555" s="2"/>
    </row>
    <row r="4556" spans="1:1" x14ac:dyDescent="0.25">
      <c r="A4556" s="2"/>
    </row>
    <row r="4557" spans="1:1" x14ac:dyDescent="0.25">
      <c r="A4557" s="2"/>
    </row>
    <row r="4558" spans="1:1" x14ac:dyDescent="0.25">
      <c r="A4558" s="2"/>
    </row>
    <row r="4559" spans="1:1" x14ac:dyDescent="0.25">
      <c r="A4559" s="2"/>
    </row>
    <row r="4560" spans="1:1" x14ac:dyDescent="0.25">
      <c r="A4560" s="2"/>
    </row>
    <row r="4561" spans="1:1" x14ac:dyDescent="0.25">
      <c r="A4561" s="2"/>
    </row>
    <row r="4562" spans="1:1" x14ac:dyDescent="0.25">
      <c r="A4562" s="2"/>
    </row>
    <row r="4563" spans="1:1" x14ac:dyDescent="0.25">
      <c r="A4563" s="2"/>
    </row>
    <row r="4564" spans="1:1" x14ac:dyDescent="0.25">
      <c r="A4564" s="2"/>
    </row>
    <row r="4565" spans="1:1" x14ac:dyDescent="0.25">
      <c r="A4565" s="2"/>
    </row>
    <row r="4566" spans="1:1" x14ac:dyDescent="0.25">
      <c r="A4566" s="2"/>
    </row>
    <row r="4567" spans="1:1" x14ac:dyDescent="0.25">
      <c r="A4567" s="2"/>
    </row>
    <row r="4568" spans="1:1" x14ac:dyDescent="0.25">
      <c r="A4568" s="2"/>
    </row>
    <row r="4569" spans="1:1" x14ac:dyDescent="0.25">
      <c r="A4569" s="2"/>
    </row>
    <row r="4570" spans="1:1" x14ac:dyDescent="0.25">
      <c r="A4570" s="2"/>
    </row>
    <row r="4571" spans="1:1" x14ac:dyDescent="0.25">
      <c r="A4571" s="2"/>
    </row>
    <row r="4572" spans="1:1" x14ac:dyDescent="0.25">
      <c r="A4572" s="2"/>
    </row>
    <row r="4573" spans="1:1" x14ac:dyDescent="0.25">
      <c r="A4573" s="2"/>
    </row>
    <row r="4574" spans="1:1" x14ac:dyDescent="0.25">
      <c r="A4574" s="2"/>
    </row>
    <row r="4575" spans="1:1" x14ac:dyDescent="0.25">
      <c r="A4575" s="2"/>
    </row>
    <row r="4576" spans="1:1" x14ac:dyDescent="0.25">
      <c r="A4576" s="2"/>
    </row>
    <row r="4577" spans="1:1" x14ac:dyDescent="0.25">
      <c r="A4577" s="2"/>
    </row>
    <row r="4578" spans="1:1" x14ac:dyDescent="0.25">
      <c r="A4578" s="2"/>
    </row>
    <row r="4579" spans="1:1" x14ac:dyDescent="0.25">
      <c r="A4579" s="2"/>
    </row>
    <row r="4580" spans="1:1" x14ac:dyDescent="0.25">
      <c r="A4580" s="2"/>
    </row>
    <row r="4581" spans="1:1" x14ac:dyDescent="0.25">
      <c r="A4581" s="2"/>
    </row>
    <row r="4582" spans="1:1" x14ac:dyDescent="0.25">
      <c r="A4582" s="2"/>
    </row>
    <row r="4583" spans="1:1" x14ac:dyDescent="0.25">
      <c r="A4583" s="2"/>
    </row>
    <row r="4584" spans="1:1" x14ac:dyDescent="0.25">
      <c r="A4584" s="2"/>
    </row>
    <row r="4585" spans="1:1" x14ac:dyDescent="0.25">
      <c r="A4585" s="2"/>
    </row>
    <row r="4586" spans="1:1" x14ac:dyDescent="0.25">
      <c r="A4586" s="2"/>
    </row>
    <row r="4587" spans="1:1" x14ac:dyDescent="0.25">
      <c r="A4587" s="2"/>
    </row>
    <row r="4588" spans="1:1" x14ac:dyDescent="0.25">
      <c r="A4588" s="2"/>
    </row>
    <row r="4589" spans="1:1" x14ac:dyDescent="0.25">
      <c r="A4589" s="2"/>
    </row>
    <row r="4590" spans="1:1" x14ac:dyDescent="0.25">
      <c r="A4590" s="2"/>
    </row>
    <row r="4591" spans="1:1" x14ac:dyDescent="0.25">
      <c r="A4591" s="2"/>
    </row>
    <row r="4592" spans="1:1" x14ac:dyDescent="0.25">
      <c r="A4592" s="2"/>
    </row>
    <row r="4593" spans="1:1" x14ac:dyDescent="0.25">
      <c r="A4593" s="2"/>
    </row>
    <row r="4594" spans="1:1" x14ac:dyDescent="0.25">
      <c r="A4594" s="2"/>
    </row>
    <row r="4595" spans="1:1" x14ac:dyDescent="0.25">
      <c r="A4595" s="2"/>
    </row>
    <row r="4596" spans="1:1" x14ac:dyDescent="0.25">
      <c r="A4596" s="2"/>
    </row>
    <row r="4597" spans="1:1" x14ac:dyDescent="0.25">
      <c r="A4597" s="2"/>
    </row>
    <row r="4598" spans="1:1" x14ac:dyDescent="0.25">
      <c r="A4598" s="2"/>
    </row>
    <row r="4599" spans="1:1" x14ac:dyDescent="0.25">
      <c r="A4599" s="2"/>
    </row>
    <row r="4600" spans="1:1" x14ac:dyDescent="0.25">
      <c r="A4600" s="2"/>
    </row>
    <row r="4601" spans="1:1" x14ac:dyDescent="0.25">
      <c r="A4601" s="2"/>
    </row>
    <row r="4602" spans="1:1" x14ac:dyDescent="0.25">
      <c r="A4602" s="2"/>
    </row>
    <row r="4603" spans="1:1" x14ac:dyDescent="0.25">
      <c r="A4603" s="2"/>
    </row>
    <row r="4604" spans="1:1" x14ac:dyDescent="0.25">
      <c r="A4604" s="2"/>
    </row>
    <row r="4605" spans="1:1" x14ac:dyDescent="0.25">
      <c r="A4605" s="2"/>
    </row>
    <row r="4606" spans="1:1" x14ac:dyDescent="0.25">
      <c r="A4606" s="2"/>
    </row>
    <row r="4607" spans="1:1" x14ac:dyDescent="0.25">
      <c r="A4607" s="2"/>
    </row>
    <row r="4608" spans="1:1" x14ac:dyDescent="0.25">
      <c r="A4608" s="2"/>
    </row>
    <row r="4609" spans="1:1" x14ac:dyDescent="0.25">
      <c r="A4609" s="2"/>
    </row>
    <row r="4610" spans="1:1" x14ac:dyDescent="0.25">
      <c r="A4610" s="2"/>
    </row>
    <row r="4611" spans="1:1" x14ac:dyDescent="0.25">
      <c r="A4611" s="2"/>
    </row>
    <row r="4612" spans="1:1" x14ac:dyDescent="0.25">
      <c r="A4612" s="2"/>
    </row>
    <row r="4613" spans="1:1" x14ac:dyDescent="0.25">
      <c r="A4613" s="2"/>
    </row>
    <row r="4614" spans="1:1" x14ac:dyDescent="0.25">
      <c r="A4614" s="2"/>
    </row>
    <row r="4615" spans="1:1" x14ac:dyDescent="0.25">
      <c r="A4615" s="2"/>
    </row>
    <row r="4616" spans="1:1" x14ac:dyDescent="0.25">
      <c r="A4616" s="2"/>
    </row>
    <row r="4617" spans="1:1" x14ac:dyDescent="0.25">
      <c r="A4617" s="2"/>
    </row>
    <row r="4618" spans="1:1" x14ac:dyDescent="0.25">
      <c r="A4618" s="2"/>
    </row>
    <row r="4619" spans="1:1" x14ac:dyDescent="0.25">
      <c r="A4619" s="2"/>
    </row>
    <row r="4620" spans="1:1" x14ac:dyDescent="0.25">
      <c r="A4620" s="2"/>
    </row>
    <row r="4621" spans="1:1" x14ac:dyDescent="0.25">
      <c r="A4621" s="2"/>
    </row>
    <row r="4622" spans="1:1" x14ac:dyDescent="0.25">
      <c r="A4622" s="2"/>
    </row>
    <row r="4623" spans="1:1" x14ac:dyDescent="0.25">
      <c r="A4623" s="2"/>
    </row>
    <row r="4624" spans="1:1" x14ac:dyDescent="0.25">
      <c r="A4624" s="2"/>
    </row>
    <row r="4625" spans="1:1" x14ac:dyDescent="0.25">
      <c r="A4625" s="2"/>
    </row>
    <row r="4626" spans="1:1" x14ac:dyDescent="0.25">
      <c r="A4626" s="2"/>
    </row>
    <row r="4627" spans="1:1" x14ac:dyDescent="0.25">
      <c r="A4627" s="2"/>
    </row>
    <row r="4628" spans="1:1" x14ac:dyDescent="0.25">
      <c r="A4628" s="2"/>
    </row>
    <row r="4629" spans="1:1" x14ac:dyDescent="0.25">
      <c r="A4629" s="2"/>
    </row>
    <row r="4630" spans="1:1" x14ac:dyDescent="0.25">
      <c r="A4630" s="2"/>
    </row>
    <row r="4631" spans="1:1" x14ac:dyDescent="0.25">
      <c r="A4631" s="2"/>
    </row>
    <row r="4632" spans="1:1" x14ac:dyDescent="0.25">
      <c r="A4632" s="2"/>
    </row>
    <row r="4633" spans="1:1" x14ac:dyDescent="0.25">
      <c r="A4633" s="2"/>
    </row>
    <row r="4634" spans="1:1" x14ac:dyDescent="0.25">
      <c r="A4634" s="2"/>
    </row>
    <row r="4635" spans="1:1" x14ac:dyDescent="0.25">
      <c r="A4635" s="2"/>
    </row>
    <row r="4636" spans="1:1" x14ac:dyDescent="0.25">
      <c r="A4636" s="2"/>
    </row>
    <row r="4637" spans="1:1" x14ac:dyDescent="0.25">
      <c r="A4637" s="2"/>
    </row>
    <row r="4638" spans="1:1" x14ac:dyDescent="0.25">
      <c r="A4638" s="2"/>
    </row>
    <row r="4639" spans="1:1" x14ac:dyDescent="0.25">
      <c r="A4639" s="2"/>
    </row>
    <row r="4640" spans="1:1" x14ac:dyDescent="0.25">
      <c r="A4640" s="2"/>
    </row>
    <row r="4641" spans="1:1" x14ac:dyDescent="0.25">
      <c r="A4641" s="2"/>
    </row>
    <row r="4642" spans="1:1" x14ac:dyDescent="0.25">
      <c r="A4642" s="2"/>
    </row>
    <row r="4643" spans="1:1" x14ac:dyDescent="0.25">
      <c r="A4643" s="2"/>
    </row>
    <row r="4644" spans="1:1" x14ac:dyDescent="0.25">
      <c r="A4644" s="2"/>
    </row>
    <row r="4645" spans="1:1" x14ac:dyDescent="0.25">
      <c r="A4645" s="2"/>
    </row>
    <row r="4646" spans="1:1" x14ac:dyDescent="0.25">
      <c r="A4646" s="2"/>
    </row>
    <row r="4647" spans="1:1" x14ac:dyDescent="0.25">
      <c r="A4647" s="2"/>
    </row>
    <row r="4648" spans="1:1" x14ac:dyDescent="0.25">
      <c r="A4648" s="2"/>
    </row>
    <row r="4649" spans="1:1" x14ac:dyDescent="0.25">
      <c r="A4649" s="2"/>
    </row>
    <row r="4650" spans="1:1" x14ac:dyDescent="0.25">
      <c r="A4650" s="2"/>
    </row>
    <row r="4651" spans="1:1" x14ac:dyDescent="0.25">
      <c r="A4651" s="2"/>
    </row>
    <row r="4652" spans="1:1" x14ac:dyDescent="0.25">
      <c r="A4652" s="2"/>
    </row>
    <row r="4653" spans="1:1" x14ac:dyDescent="0.25">
      <c r="A4653" s="2"/>
    </row>
    <row r="4654" spans="1:1" x14ac:dyDescent="0.25">
      <c r="A4654" s="2"/>
    </row>
    <row r="4655" spans="1:1" x14ac:dyDescent="0.25">
      <c r="A4655" s="2"/>
    </row>
    <row r="4656" spans="1:1" x14ac:dyDescent="0.25">
      <c r="A4656" s="2"/>
    </row>
    <row r="4657" spans="1:1" x14ac:dyDescent="0.25">
      <c r="A4657" s="2"/>
    </row>
    <row r="4658" spans="1:1" x14ac:dyDescent="0.25">
      <c r="A4658" s="2"/>
    </row>
    <row r="4659" spans="1:1" x14ac:dyDescent="0.25">
      <c r="A4659" s="2"/>
    </row>
    <row r="4660" spans="1:1" x14ac:dyDescent="0.25">
      <c r="A4660" s="2"/>
    </row>
    <row r="4661" spans="1:1" x14ac:dyDescent="0.25">
      <c r="A4661" s="2"/>
    </row>
    <row r="4662" spans="1:1" x14ac:dyDescent="0.25">
      <c r="A4662" s="2"/>
    </row>
    <row r="4663" spans="1:1" x14ac:dyDescent="0.25">
      <c r="A4663" s="2"/>
    </row>
    <row r="4664" spans="1:1" x14ac:dyDescent="0.25">
      <c r="A4664" s="2"/>
    </row>
    <row r="4665" spans="1:1" x14ac:dyDescent="0.25">
      <c r="A4665" s="2"/>
    </row>
    <row r="4666" spans="1:1" x14ac:dyDescent="0.25">
      <c r="A4666" s="2"/>
    </row>
    <row r="4667" spans="1:1" x14ac:dyDescent="0.25">
      <c r="A4667" s="2"/>
    </row>
    <row r="4668" spans="1:1" x14ac:dyDescent="0.25">
      <c r="A4668" s="2"/>
    </row>
    <row r="4669" spans="1:1" x14ac:dyDescent="0.25">
      <c r="A4669" s="2"/>
    </row>
    <row r="4670" spans="1:1" x14ac:dyDescent="0.25">
      <c r="A4670" s="2"/>
    </row>
    <row r="4671" spans="1:1" x14ac:dyDescent="0.25">
      <c r="A4671" s="2"/>
    </row>
    <row r="4672" spans="1:1" x14ac:dyDescent="0.25">
      <c r="A4672" s="2"/>
    </row>
    <row r="4673" spans="1:1" x14ac:dyDescent="0.25">
      <c r="A4673" s="2"/>
    </row>
    <row r="4674" spans="1:1" x14ac:dyDescent="0.25">
      <c r="A4674" s="2"/>
    </row>
    <row r="4675" spans="1:1" x14ac:dyDescent="0.25">
      <c r="A4675" s="2"/>
    </row>
    <row r="4676" spans="1:1" x14ac:dyDescent="0.25">
      <c r="A4676" s="2"/>
    </row>
    <row r="4677" spans="1:1" x14ac:dyDescent="0.25">
      <c r="A4677" s="2"/>
    </row>
    <row r="4678" spans="1:1" x14ac:dyDescent="0.25">
      <c r="A4678" s="2"/>
    </row>
    <row r="4679" spans="1:1" x14ac:dyDescent="0.25">
      <c r="A4679" s="2"/>
    </row>
    <row r="4680" spans="1:1" x14ac:dyDescent="0.25">
      <c r="A4680" s="2"/>
    </row>
    <row r="4681" spans="1:1" x14ac:dyDescent="0.25">
      <c r="A4681" s="2"/>
    </row>
    <row r="4682" spans="1:1" x14ac:dyDescent="0.25">
      <c r="A4682" s="2"/>
    </row>
    <row r="4683" spans="1:1" x14ac:dyDescent="0.25">
      <c r="A4683" s="2"/>
    </row>
    <row r="4684" spans="1:1" x14ac:dyDescent="0.25">
      <c r="A4684" s="2"/>
    </row>
    <row r="4685" spans="1:1" x14ac:dyDescent="0.25">
      <c r="A4685" s="2"/>
    </row>
    <row r="4686" spans="1:1" x14ac:dyDescent="0.25">
      <c r="A4686" s="2"/>
    </row>
    <row r="4687" spans="1:1" x14ac:dyDescent="0.25">
      <c r="A4687" s="2"/>
    </row>
    <row r="4688" spans="1:1" x14ac:dyDescent="0.25">
      <c r="A4688" s="2"/>
    </row>
    <row r="4689" spans="1:1" x14ac:dyDescent="0.25">
      <c r="A4689" s="2"/>
    </row>
    <row r="4690" spans="1:1" x14ac:dyDescent="0.25">
      <c r="A4690" s="2"/>
    </row>
    <row r="4691" spans="1:1" x14ac:dyDescent="0.25">
      <c r="A4691" s="2"/>
    </row>
    <row r="4692" spans="1:1" x14ac:dyDescent="0.25">
      <c r="A4692" s="2"/>
    </row>
    <row r="4693" spans="1:1" x14ac:dyDescent="0.25">
      <c r="A4693" s="2"/>
    </row>
    <row r="4694" spans="1:1" x14ac:dyDescent="0.25">
      <c r="A4694" s="2"/>
    </row>
    <row r="4695" spans="1:1" x14ac:dyDescent="0.25">
      <c r="A4695" s="2"/>
    </row>
    <row r="4696" spans="1:1" x14ac:dyDescent="0.25">
      <c r="A4696" s="2"/>
    </row>
    <row r="4697" spans="1:1" x14ac:dyDescent="0.25">
      <c r="A4697" s="2"/>
    </row>
    <row r="4698" spans="1:1" x14ac:dyDescent="0.25">
      <c r="A4698" s="2"/>
    </row>
    <row r="4699" spans="1:1" x14ac:dyDescent="0.25">
      <c r="A4699" s="2"/>
    </row>
    <row r="4700" spans="1:1" x14ac:dyDescent="0.25">
      <c r="A4700" s="2"/>
    </row>
    <row r="4701" spans="1:1" x14ac:dyDescent="0.25">
      <c r="A4701" s="2"/>
    </row>
    <row r="4702" spans="1:1" x14ac:dyDescent="0.25">
      <c r="A4702" s="2"/>
    </row>
    <row r="4703" spans="1:1" x14ac:dyDescent="0.25">
      <c r="A4703" s="2"/>
    </row>
    <row r="4704" spans="1:1" x14ac:dyDescent="0.25">
      <c r="A4704" s="2"/>
    </row>
    <row r="4705" spans="1:1" x14ac:dyDescent="0.25">
      <c r="A4705" s="2"/>
    </row>
    <row r="4706" spans="1:1" x14ac:dyDescent="0.25">
      <c r="A4706" s="2"/>
    </row>
    <row r="4707" spans="1:1" x14ac:dyDescent="0.25">
      <c r="A4707" s="2"/>
    </row>
    <row r="4708" spans="1:1" x14ac:dyDescent="0.25">
      <c r="A4708" s="2"/>
    </row>
    <row r="4709" spans="1:1" x14ac:dyDescent="0.25">
      <c r="A4709" s="2"/>
    </row>
    <row r="4710" spans="1:1" x14ac:dyDescent="0.25">
      <c r="A4710" s="2"/>
    </row>
    <row r="4711" spans="1:1" x14ac:dyDescent="0.25">
      <c r="A4711" s="2"/>
    </row>
    <row r="4712" spans="1:1" x14ac:dyDescent="0.25">
      <c r="A4712" s="2"/>
    </row>
    <row r="4713" spans="1:1" x14ac:dyDescent="0.25">
      <c r="A4713" s="2"/>
    </row>
    <row r="4714" spans="1:1" x14ac:dyDescent="0.25">
      <c r="A4714" s="2"/>
    </row>
    <row r="4715" spans="1:1" x14ac:dyDescent="0.25">
      <c r="A4715" s="2"/>
    </row>
    <row r="4716" spans="1:1" x14ac:dyDescent="0.25">
      <c r="A4716" s="2"/>
    </row>
    <row r="4717" spans="1:1" x14ac:dyDescent="0.25">
      <c r="A4717" s="2"/>
    </row>
    <row r="4718" spans="1:1" x14ac:dyDescent="0.25">
      <c r="A4718" s="2"/>
    </row>
    <row r="4719" spans="1:1" x14ac:dyDescent="0.25">
      <c r="A4719" s="2"/>
    </row>
    <row r="4720" spans="1:1" x14ac:dyDescent="0.25">
      <c r="A4720" s="2"/>
    </row>
    <row r="4721" spans="1:1" x14ac:dyDescent="0.25">
      <c r="A4721" s="2"/>
    </row>
    <row r="4722" spans="1:1" x14ac:dyDescent="0.25">
      <c r="A4722" s="2"/>
    </row>
    <row r="4723" spans="1:1" x14ac:dyDescent="0.25">
      <c r="A4723" s="2"/>
    </row>
    <row r="4724" spans="1:1" x14ac:dyDescent="0.25">
      <c r="A4724" s="2"/>
    </row>
    <row r="4725" spans="1:1" x14ac:dyDescent="0.25">
      <c r="A4725" s="2"/>
    </row>
    <row r="4726" spans="1:1" x14ac:dyDescent="0.25">
      <c r="A4726" s="2"/>
    </row>
    <row r="4727" spans="1:1" x14ac:dyDescent="0.25">
      <c r="A4727" s="2"/>
    </row>
    <row r="4728" spans="1:1" x14ac:dyDescent="0.25">
      <c r="A4728" s="2"/>
    </row>
    <row r="4729" spans="1:1" x14ac:dyDescent="0.25">
      <c r="A4729" s="2"/>
    </row>
    <row r="4730" spans="1:1" x14ac:dyDescent="0.25">
      <c r="A4730" s="2"/>
    </row>
    <row r="4731" spans="1:1" x14ac:dyDescent="0.25">
      <c r="A4731" s="2"/>
    </row>
    <row r="4732" spans="1:1" x14ac:dyDescent="0.25">
      <c r="A4732" s="2"/>
    </row>
    <row r="4733" spans="1:1" x14ac:dyDescent="0.25">
      <c r="A4733" s="2"/>
    </row>
    <row r="4734" spans="1:1" x14ac:dyDescent="0.25">
      <c r="A4734" s="2"/>
    </row>
    <row r="4735" spans="1:1" x14ac:dyDescent="0.25">
      <c r="A4735" s="2"/>
    </row>
    <row r="4736" spans="1:1" x14ac:dyDescent="0.25">
      <c r="A4736" s="2"/>
    </row>
    <row r="4737" spans="1:1" x14ac:dyDescent="0.25">
      <c r="A4737" s="2"/>
    </row>
    <row r="4738" spans="1:1" x14ac:dyDescent="0.25">
      <c r="A4738" s="2"/>
    </row>
    <row r="4739" spans="1:1" x14ac:dyDescent="0.25">
      <c r="A4739" s="2"/>
    </row>
    <row r="4740" spans="1:1" x14ac:dyDescent="0.25">
      <c r="A4740" s="2"/>
    </row>
    <row r="4741" spans="1:1" x14ac:dyDescent="0.25">
      <c r="A4741" s="2"/>
    </row>
    <row r="4742" spans="1:1" x14ac:dyDescent="0.25">
      <c r="A4742" s="2"/>
    </row>
    <row r="4743" spans="1:1" x14ac:dyDescent="0.25">
      <c r="A4743" s="2"/>
    </row>
    <row r="4744" spans="1:1" x14ac:dyDescent="0.25">
      <c r="A4744" s="2"/>
    </row>
    <row r="4745" spans="1:1" x14ac:dyDescent="0.25">
      <c r="A4745" s="2"/>
    </row>
    <row r="4746" spans="1:1" x14ac:dyDescent="0.25">
      <c r="A4746" s="2"/>
    </row>
    <row r="4747" spans="1:1" x14ac:dyDescent="0.25">
      <c r="A4747" s="2"/>
    </row>
    <row r="4748" spans="1:1" x14ac:dyDescent="0.25">
      <c r="A4748" s="2"/>
    </row>
    <row r="4749" spans="1:1" x14ac:dyDescent="0.25">
      <c r="A4749" s="2"/>
    </row>
    <row r="4750" spans="1:1" x14ac:dyDescent="0.25">
      <c r="A4750" s="2"/>
    </row>
    <row r="4751" spans="1:1" x14ac:dyDescent="0.25">
      <c r="A4751" s="2"/>
    </row>
    <row r="4752" spans="1:1" x14ac:dyDescent="0.25">
      <c r="A4752" s="2"/>
    </row>
    <row r="4753" spans="1:1" x14ac:dyDescent="0.25">
      <c r="A4753" s="2"/>
    </row>
    <row r="4754" spans="1:1" x14ac:dyDescent="0.25">
      <c r="A4754" s="2"/>
    </row>
    <row r="4755" spans="1:1" x14ac:dyDescent="0.25">
      <c r="A4755" s="2"/>
    </row>
    <row r="4756" spans="1:1" x14ac:dyDescent="0.25">
      <c r="A4756" s="2"/>
    </row>
    <row r="4757" spans="1:1" x14ac:dyDescent="0.25">
      <c r="A4757" s="2"/>
    </row>
    <row r="4758" spans="1:1" x14ac:dyDescent="0.25">
      <c r="A4758" s="2"/>
    </row>
    <row r="4759" spans="1:1" x14ac:dyDescent="0.25">
      <c r="A4759" s="2"/>
    </row>
    <row r="4760" spans="1:1" x14ac:dyDescent="0.25">
      <c r="A4760" s="2"/>
    </row>
    <row r="4761" spans="1:1" x14ac:dyDescent="0.25">
      <c r="A4761" s="2"/>
    </row>
    <row r="4762" spans="1:1" x14ac:dyDescent="0.25">
      <c r="A4762" s="2"/>
    </row>
    <row r="4763" spans="1:1" x14ac:dyDescent="0.25">
      <c r="A4763" s="2"/>
    </row>
    <row r="4764" spans="1:1" x14ac:dyDescent="0.25">
      <c r="A4764" s="2"/>
    </row>
    <row r="4765" spans="1:1" x14ac:dyDescent="0.25">
      <c r="A4765" s="2"/>
    </row>
    <row r="4766" spans="1:1" x14ac:dyDescent="0.25">
      <c r="A4766" s="2"/>
    </row>
    <row r="4767" spans="1:1" x14ac:dyDescent="0.25">
      <c r="A4767" s="2"/>
    </row>
    <row r="4768" spans="1:1" x14ac:dyDescent="0.25">
      <c r="A4768" s="2"/>
    </row>
    <row r="4769" spans="1:1" x14ac:dyDescent="0.25">
      <c r="A4769" s="2"/>
    </row>
    <row r="4770" spans="1:1" x14ac:dyDescent="0.25">
      <c r="A4770" s="2"/>
    </row>
    <row r="4771" spans="1:1" x14ac:dyDescent="0.25">
      <c r="A4771" s="2"/>
    </row>
    <row r="4772" spans="1:1" x14ac:dyDescent="0.25">
      <c r="A4772" s="2"/>
    </row>
    <row r="4773" spans="1:1" x14ac:dyDescent="0.25">
      <c r="A4773" s="2"/>
    </row>
    <row r="4774" spans="1:1" x14ac:dyDescent="0.25">
      <c r="A4774" s="2"/>
    </row>
    <row r="4775" spans="1:1" x14ac:dyDescent="0.25">
      <c r="A4775" s="2"/>
    </row>
    <row r="4776" spans="1:1" x14ac:dyDescent="0.25">
      <c r="A4776" s="2"/>
    </row>
    <row r="4777" spans="1:1" x14ac:dyDescent="0.25">
      <c r="A4777" s="2"/>
    </row>
    <row r="4778" spans="1:1" x14ac:dyDescent="0.25">
      <c r="A4778" s="2"/>
    </row>
    <row r="4779" spans="1:1" x14ac:dyDescent="0.25">
      <c r="A4779" s="2"/>
    </row>
    <row r="4780" spans="1:1" x14ac:dyDescent="0.25">
      <c r="A4780" s="2"/>
    </row>
    <row r="4781" spans="1:1" x14ac:dyDescent="0.25">
      <c r="A4781" s="2"/>
    </row>
    <row r="4782" spans="1:1" x14ac:dyDescent="0.25">
      <c r="A4782" s="2"/>
    </row>
    <row r="4783" spans="1:1" x14ac:dyDescent="0.25">
      <c r="A4783" s="2"/>
    </row>
    <row r="4784" spans="1:1" x14ac:dyDescent="0.25">
      <c r="A4784" s="2"/>
    </row>
    <row r="4785" spans="1:1" x14ac:dyDescent="0.25">
      <c r="A4785" s="2"/>
    </row>
    <row r="4786" spans="1:1" x14ac:dyDescent="0.25">
      <c r="A4786" s="2"/>
    </row>
    <row r="4787" spans="1:1" x14ac:dyDescent="0.25">
      <c r="A4787" s="2"/>
    </row>
    <row r="4788" spans="1:1" x14ac:dyDescent="0.25">
      <c r="A4788" s="2"/>
    </row>
    <row r="4789" spans="1:1" x14ac:dyDescent="0.25">
      <c r="A4789" s="2"/>
    </row>
    <row r="4790" spans="1:1" x14ac:dyDescent="0.25">
      <c r="A4790" s="2"/>
    </row>
    <row r="4791" spans="1:1" x14ac:dyDescent="0.25">
      <c r="A4791" s="2"/>
    </row>
    <row r="4792" spans="1:1" x14ac:dyDescent="0.25">
      <c r="A4792" s="2"/>
    </row>
    <row r="4793" spans="1:1" x14ac:dyDescent="0.25">
      <c r="A4793" s="2"/>
    </row>
    <row r="4794" spans="1:1" x14ac:dyDescent="0.25">
      <c r="A4794" s="2"/>
    </row>
    <row r="4795" spans="1:1" x14ac:dyDescent="0.25">
      <c r="A4795" s="2"/>
    </row>
    <row r="4796" spans="1:1" x14ac:dyDescent="0.25">
      <c r="A4796" s="2"/>
    </row>
    <row r="4797" spans="1:1" x14ac:dyDescent="0.25">
      <c r="A4797" s="2"/>
    </row>
    <row r="4798" spans="1:1" x14ac:dyDescent="0.25">
      <c r="A4798" s="2"/>
    </row>
    <row r="4799" spans="1:1" x14ac:dyDescent="0.25">
      <c r="A4799" s="2"/>
    </row>
    <row r="4800" spans="1:1" x14ac:dyDescent="0.25">
      <c r="A4800" s="2"/>
    </row>
    <row r="4801" spans="1:1" x14ac:dyDescent="0.25">
      <c r="A4801" s="2"/>
    </row>
    <row r="4802" spans="1:1" x14ac:dyDescent="0.25">
      <c r="A4802" s="2"/>
    </row>
    <row r="4803" spans="1:1" x14ac:dyDescent="0.25">
      <c r="A4803" s="2"/>
    </row>
    <row r="4804" spans="1:1" x14ac:dyDescent="0.25">
      <c r="A4804" s="2"/>
    </row>
    <row r="4805" spans="1:1" x14ac:dyDescent="0.25">
      <c r="A4805" s="2"/>
    </row>
    <row r="4806" spans="1:1" x14ac:dyDescent="0.25">
      <c r="A4806" s="2"/>
    </row>
    <row r="4807" spans="1:1" x14ac:dyDescent="0.25">
      <c r="A4807" s="2"/>
    </row>
    <row r="4808" spans="1:1" x14ac:dyDescent="0.25">
      <c r="A4808" s="2"/>
    </row>
    <row r="4809" spans="1:1" x14ac:dyDescent="0.25">
      <c r="A4809" s="2"/>
    </row>
    <row r="4810" spans="1:1" x14ac:dyDescent="0.25">
      <c r="A4810" s="2"/>
    </row>
    <row r="4811" spans="1:1" x14ac:dyDescent="0.25">
      <c r="A4811" s="2"/>
    </row>
    <row r="4812" spans="1:1" x14ac:dyDescent="0.25">
      <c r="A4812" s="2"/>
    </row>
    <row r="4813" spans="1:1" x14ac:dyDescent="0.25">
      <c r="A4813" s="2"/>
    </row>
    <row r="4814" spans="1:1" x14ac:dyDescent="0.25">
      <c r="A4814" s="2"/>
    </row>
    <row r="4815" spans="1:1" x14ac:dyDescent="0.25">
      <c r="A4815" s="2"/>
    </row>
    <row r="4816" spans="1:1" x14ac:dyDescent="0.25">
      <c r="A4816" s="2"/>
    </row>
    <row r="4817" spans="1:1" x14ac:dyDescent="0.25">
      <c r="A4817" s="2"/>
    </row>
    <row r="4818" spans="1:1" x14ac:dyDescent="0.25">
      <c r="A4818" s="2"/>
    </row>
    <row r="4819" spans="1:1" x14ac:dyDescent="0.25">
      <c r="A4819" s="2"/>
    </row>
    <row r="4820" spans="1:1" x14ac:dyDescent="0.25">
      <c r="A4820" s="2"/>
    </row>
    <row r="4821" spans="1:1" x14ac:dyDescent="0.25">
      <c r="A4821" s="2"/>
    </row>
    <row r="4822" spans="1:1" x14ac:dyDescent="0.25">
      <c r="A4822" s="2"/>
    </row>
    <row r="4823" spans="1:1" x14ac:dyDescent="0.25">
      <c r="A4823" s="2"/>
    </row>
    <row r="4824" spans="1:1" x14ac:dyDescent="0.25">
      <c r="A4824" s="2"/>
    </row>
    <row r="4825" spans="1:1" x14ac:dyDescent="0.25">
      <c r="A4825" s="2"/>
    </row>
    <row r="4826" spans="1:1" x14ac:dyDescent="0.25">
      <c r="A4826" s="2"/>
    </row>
    <row r="4827" spans="1:1" x14ac:dyDescent="0.25">
      <c r="A4827" s="2"/>
    </row>
    <row r="4828" spans="1:1" x14ac:dyDescent="0.25">
      <c r="A4828" s="2"/>
    </row>
    <row r="4829" spans="1:1" x14ac:dyDescent="0.25">
      <c r="A4829" s="2"/>
    </row>
    <row r="4830" spans="1:1" x14ac:dyDescent="0.25">
      <c r="A4830" s="2"/>
    </row>
    <row r="4831" spans="1:1" x14ac:dyDescent="0.25">
      <c r="A4831" s="2"/>
    </row>
    <row r="4832" spans="1:1" x14ac:dyDescent="0.25">
      <c r="A4832" s="2"/>
    </row>
    <row r="4833" spans="1:1" x14ac:dyDescent="0.25">
      <c r="A4833" s="2"/>
    </row>
    <row r="4834" spans="1:1" x14ac:dyDescent="0.25">
      <c r="A4834" s="2"/>
    </row>
    <row r="4835" spans="1:1" x14ac:dyDescent="0.25">
      <c r="A4835" s="2"/>
    </row>
    <row r="4836" spans="1:1" x14ac:dyDescent="0.25">
      <c r="A4836" s="2"/>
    </row>
    <row r="4837" spans="1:1" x14ac:dyDescent="0.25">
      <c r="A4837" s="2"/>
    </row>
    <row r="4838" spans="1:1" x14ac:dyDescent="0.25">
      <c r="A4838" s="2"/>
    </row>
    <row r="4839" spans="1:1" x14ac:dyDescent="0.25">
      <c r="A4839" s="2"/>
    </row>
    <row r="4840" spans="1:1" x14ac:dyDescent="0.25">
      <c r="A4840" s="2"/>
    </row>
    <row r="4841" spans="1:1" x14ac:dyDescent="0.25">
      <c r="A4841" s="2"/>
    </row>
    <row r="4842" spans="1:1" x14ac:dyDescent="0.25">
      <c r="A4842" s="2"/>
    </row>
    <row r="4843" spans="1:1" x14ac:dyDescent="0.25">
      <c r="A4843" s="2"/>
    </row>
    <row r="4844" spans="1:1" x14ac:dyDescent="0.25">
      <c r="A4844" s="2"/>
    </row>
    <row r="4845" spans="1:1" x14ac:dyDescent="0.25">
      <c r="A4845" s="2"/>
    </row>
    <row r="4846" spans="1:1" x14ac:dyDescent="0.25">
      <c r="A4846" s="2"/>
    </row>
    <row r="4847" spans="1:1" x14ac:dyDescent="0.25">
      <c r="A4847" s="2"/>
    </row>
    <row r="4848" spans="1:1" x14ac:dyDescent="0.25">
      <c r="A4848" s="2"/>
    </row>
    <row r="4849" spans="1:1" x14ac:dyDescent="0.25">
      <c r="A4849" s="2"/>
    </row>
    <row r="4850" spans="1:1" x14ac:dyDescent="0.25">
      <c r="A4850" s="2"/>
    </row>
    <row r="4851" spans="1:1" x14ac:dyDescent="0.25">
      <c r="A4851" s="2"/>
    </row>
    <row r="4852" spans="1:1" x14ac:dyDescent="0.25">
      <c r="A4852" s="2"/>
    </row>
    <row r="4853" spans="1:1" x14ac:dyDescent="0.25">
      <c r="A4853" s="2"/>
    </row>
    <row r="4854" spans="1:1" x14ac:dyDescent="0.25">
      <c r="A4854" s="2"/>
    </row>
    <row r="4855" spans="1:1" x14ac:dyDescent="0.25">
      <c r="A4855" s="2"/>
    </row>
    <row r="4856" spans="1:1" x14ac:dyDescent="0.25">
      <c r="A4856" s="2"/>
    </row>
    <row r="4857" spans="1:1" x14ac:dyDescent="0.25">
      <c r="A4857" s="2"/>
    </row>
    <row r="4858" spans="1:1" x14ac:dyDescent="0.25">
      <c r="A4858" s="2"/>
    </row>
    <row r="4859" spans="1:1" x14ac:dyDescent="0.25">
      <c r="A4859" s="2"/>
    </row>
    <row r="4860" spans="1:1" x14ac:dyDescent="0.25">
      <c r="A4860" s="2"/>
    </row>
    <row r="4861" spans="1:1" x14ac:dyDescent="0.25">
      <c r="A4861" s="2"/>
    </row>
    <row r="4862" spans="1:1" x14ac:dyDescent="0.25">
      <c r="A4862" s="2"/>
    </row>
    <row r="4863" spans="1:1" x14ac:dyDescent="0.25">
      <c r="A4863" s="2"/>
    </row>
    <row r="4864" spans="1:1" x14ac:dyDescent="0.25">
      <c r="A4864" s="2"/>
    </row>
    <row r="4865" spans="1:1" x14ac:dyDescent="0.25">
      <c r="A4865" s="2"/>
    </row>
    <row r="4866" spans="1:1" x14ac:dyDescent="0.25">
      <c r="A4866" s="2"/>
    </row>
    <row r="4867" spans="1:1" x14ac:dyDescent="0.25">
      <c r="A4867" s="2"/>
    </row>
    <row r="4868" spans="1:1" x14ac:dyDescent="0.25">
      <c r="A4868" s="2"/>
    </row>
    <row r="4869" spans="1:1" x14ac:dyDescent="0.25">
      <c r="A4869" s="2"/>
    </row>
    <row r="4870" spans="1:1" x14ac:dyDescent="0.25">
      <c r="A4870" s="2"/>
    </row>
    <row r="4871" spans="1:1" x14ac:dyDescent="0.25">
      <c r="A4871" s="2"/>
    </row>
    <row r="4872" spans="1:1" x14ac:dyDescent="0.25">
      <c r="A4872" s="2"/>
    </row>
    <row r="4873" spans="1:1" x14ac:dyDescent="0.25">
      <c r="A4873" s="2"/>
    </row>
    <row r="4874" spans="1:1" x14ac:dyDescent="0.25">
      <c r="A4874" s="2"/>
    </row>
    <row r="4875" spans="1:1" x14ac:dyDescent="0.25">
      <c r="A4875" s="2"/>
    </row>
    <row r="4876" spans="1:1" x14ac:dyDescent="0.25">
      <c r="A4876" s="2"/>
    </row>
    <row r="4877" spans="1:1" x14ac:dyDescent="0.25">
      <c r="A4877" s="2"/>
    </row>
    <row r="4878" spans="1:1" x14ac:dyDescent="0.25">
      <c r="A4878" s="2"/>
    </row>
    <row r="4879" spans="1:1" x14ac:dyDescent="0.25">
      <c r="A4879" s="2"/>
    </row>
    <row r="4880" spans="1:1" x14ac:dyDescent="0.25">
      <c r="A4880" s="2"/>
    </row>
    <row r="4881" spans="1:1" x14ac:dyDescent="0.25">
      <c r="A4881" s="2"/>
    </row>
    <row r="4882" spans="1:1" x14ac:dyDescent="0.25">
      <c r="A4882" s="2"/>
    </row>
    <row r="4883" spans="1:1" x14ac:dyDescent="0.25">
      <c r="A4883" s="2"/>
    </row>
    <row r="4884" spans="1:1" x14ac:dyDescent="0.25">
      <c r="A4884" s="2"/>
    </row>
    <row r="4885" spans="1:1" x14ac:dyDescent="0.25">
      <c r="A4885" s="2"/>
    </row>
    <row r="4886" spans="1:1" x14ac:dyDescent="0.25">
      <c r="A4886" s="2"/>
    </row>
    <row r="4887" spans="1:1" x14ac:dyDescent="0.25">
      <c r="A4887" s="2"/>
    </row>
    <row r="4888" spans="1:1" x14ac:dyDescent="0.25">
      <c r="A4888" s="2"/>
    </row>
    <row r="4889" spans="1:1" x14ac:dyDescent="0.25">
      <c r="A4889" s="2"/>
    </row>
    <row r="4890" spans="1:1" x14ac:dyDescent="0.25">
      <c r="A4890" s="2"/>
    </row>
    <row r="4891" spans="1:1" x14ac:dyDescent="0.25">
      <c r="A4891" s="2"/>
    </row>
    <row r="4892" spans="1:1" x14ac:dyDescent="0.25">
      <c r="A4892" s="2"/>
    </row>
    <row r="4893" spans="1:1" x14ac:dyDescent="0.25">
      <c r="A4893" s="2"/>
    </row>
    <row r="4894" spans="1:1" x14ac:dyDescent="0.25">
      <c r="A4894" s="2"/>
    </row>
    <row r="4895" spans="1:1" x14ac:dyDescent="0.25">
      <c r="A4895" s="2"/>
    </row>
    <row r="4896" spans="1:1" x14ac:dyDescent="0.25">
      <c r="A4896" s="2"/>
    </row>
    <row r="4897" spans="1:1" x14ac:dyDescent="0.25">
      <c r="A4897" s="2"/>
    </row>
    <row r="4898" spans="1:1" x14ac:dyDescent="0.25">
      <c r="A4898" s="2"/>
    </row>
    <row r="4899" spans="1:1" x14ac:dyDescent="0.25">
      <c r="A4899" s="2"/>
    </row>
    <row r="4900" spans="1:1" x14ac:dyDescent="0.25">
      <c r="A4900" s="2"/>
    </row>
    <row r="4901" spans="1:1" x14ac:dyDescent="0.25">
      <c r="A4901" s="2"/>
    </row>
    <row r="4902" spans="1:1" x14ac:dyDescent="0.25">
      <c r="A4902" s="2"/>
    </row>
    <row r="4903" spans="1:1" x14ac:dyDescent="0.25">
      <c r="A4903" s="2"/>
    </row>
    <row r="4904" spans="1:1" x14ac:dyDescent="0.25">
      <c r="A4904" s="2"/>
    </row>
    <row r="4905" spans="1:1" x14ac:dyDescent="0.25">
      <c r="A4905" s="2"/>
    </row>
    <row r="4906" spans="1:1" x14ac:dyDescent="0.25">
      <c r="A4906" s="2"/>
    </row>
    <row r="4907" spans="1:1" x14ac:dyDescent="0.25">
      <c r="A4907" s="2"/>
    </row>
    <row r="4908" spans="1:1" x14ac:dyDescent="0.25">
      <c r="A4908" s="2"/>
    </row>
    <row r="4909" spans="1:1" x14ac:dyDescent="0.25">
      <c r="A4909" s="2"/>
    </row>
    <row r="4910" spans="1:1" x14ac:dyDescent="0.25">
      <c r="A4910" s="2"/>
    </row>
    <row r="4911" spans="1:1" x14ac:dyDescent="0.25">
      <c r="A4911" s="2"/>
    </row>
    <row r="4912" spans="1:1" x14ac:dyDescent="0.25">
      <c r="A4912" s="2"/>
    </row>
    <row r="4913" spans="1:1" x14ac:dyDescent="0.25">
      <c r="A4913" s="2"/>
    </row>
    <row r="4914" spans="1:1" x14ac:dyDescent="0.25">
      <c r="A4914" s="2"/>
    </row>
    <row r="4915" spans="1:1" x14ac:dyDescent="0.25">
      <c r="A4915" s="2"/>
    </row>
    <row r="4916" spans="1:1" x14ac:dyDescent="0.25">
      <c r="A4916" s="2"/>
    </row>
    <row r="4917" spans="1:1" x14ac:dyDescent="0.25">
      <c r="A4917" s="2"/>
    </row>
    <row r="4918" spans="1:1" x14ac:dyDescent="0.25">
      <c r="A4918" s="2"/>
    </row>
    <row r="4919" spans="1:1" x14ac:dyDescent="0.25">
      <c r="A4919" s="2"/>
    </row>
    <row r="4920" spans="1:1" x14ac:dyDescent="0.25">
      <c r="A4920" s="2"/>
    </row>
    <row r="4921" spans="1:1" x14ac:dyDescent="0.25">
      <c r="A4921" s="2"/>
    </row>
    <row r="4922" spans="1:1" x14ac:dyDescent="0.25">
      <c r="A4922" s="2"/>
    </row>
    <row r="4923" spans="1:1" x14ac:dyDescent="0.25">
      <c r="A4923" s="2"/>
    </row>
    <row r="4924" spans="1:1" x14ac:dyDescent="0.25">
      <c r="A4924" s="2"/>
    </row>
    <row r="4925" spans="1:1" x14ac:dyDescent="0.25">
      <c r="A4925" s="2"/>
    </row>
    <row r="4926" spans="1:1" x14ac:dyDescent="0.25">
      <c r="A4926" s="2"/>
    </row>
    <row r="4927" spans="1:1" x14ac:dyDescent="0.25">
      <c r="A4927" s="2"/>
    </row>
    <row r="4928" spans="1:1" x14ac:dyDescent="0.25">
      <c r="A4928" s="2"/>
    </row>
    <row r="4929" spans="1:1" x14ac:dyDescent="0.25">
      <c r="A4929" s="2"/>
    </row>
    <row r="4930" spans="1:1" x14ac:dyDescent="0.25">
      <c r="A4930" s="2"/>
    </row>
    <row r="4931" spans="1:1" x14ac:dyDescent="0.25">
      <c r="A4931" s="2"/>
    </row>
    <row r="4932" spans="1:1" x14ac:dyDescent="0.25">
      <c r="A4932" s="2"/>
    </row>
    <row r="4933" spans="1:1" x14ac:dyDescent="0.25">
      <c r="A4933" s="2"/>
    </row>
    <row r="4934" spans="1:1" x14ac:dyDescent="0.25">
      <c r="A4934" s="2"/>
    </row>
    <row r="4935" spans="1:1" x14ac:dyDescent="0.25">
      <c r="A4935" s="2"/>
    </row>
    <row r="4936" spans="1:1" x14ac:dyDescent="0.25">
      <c r="A4936" s="2"/>
    </row>
    <row r="4937" spans="1:1" x14ac:dyDescent="0.25">
      <c r="A4937" s="2"/>
    </row>
    <row r="4938" spans="1:1" x14ac:dyDescent="0.25">
      <c r="A4938" s="2"/>
    </row>
    <row r="4939" spans="1:1" x14ac:dyDescent="0.25">
      <c r="A4939" s="2"/>
    </row>
    <row r="4940" spans="1:1" x14ac:dyDescent="0.25">
      <c r="A4940" s="2"/>
    </row>
    <row r="4941" spans="1:1" x14ac:dyDescent="0.25">
      <c r="A4941" s="2"/>
    </row>
    <row r="4942" spans="1:1" x14ac:dyDescent="0.25">
      <c r="A4942" s="2"/>
    </row>
    <row r="4943" spans="1:1" x14ac:dyDescent="0.25">
      <c r="A4943" s="2"/>
    </row>
    <row r="4944" spans="1:1" x14ac:dyDescent="0.25">
      <c r="A4944" s="2"/>
    </row>
    <row r="4945" spans="1:1" x14ac:dyDescent="0.25">
      <c r="A4945" s="2"/>
    </row>
    <row r="4946" spans="1:1" x14ac:dyDescent="0.25">
      <c r="A4946" s="2"/>
    </row>
    <row r="4947" spans="1:1" x14ac:dyDescent="0.25">
      <c r="A4947" s="2"/>
    </row>
    <row r="4948" spans="1:1" x14ac:dyDescent="0.25">
      <c r="A4948" s="2"/>
    </row>
    <row r="4949" spans="1:1" x14ac:dyDescent="0.25">
      <c r="A4949" s="2"/>
    </row>
    <row r="4950" spans="1:1" x14ac:dyDescent="0.25">
      <c r="A4950" s="2"/>
    </row>
    <row r="4951" spans="1:1" x14ac:dyDescent="0.25">
      <c r="A4951" s="2"/>
    </row>
    <row r="4952" spans="1:1" x14ac:dyDescent="0.25">
      <c r="A4952" s="2"/>
    </row>
    <row r="4953" spans="1:1" x14ac:dyDescent="0.25">
      <c r="A4953" s="2"/>
    </row>
    <row r="4954" spans="1:1" x14ac:dyDescent="0.25">
      <c r="A4954" s="2"/>
    </row>
    <row r="4955" spans="1:1" x14ac:dyDescent="0.25">
      <c r="A4955" s="2"/>
    </row>
    <row r="4956" spans="1:1" x14ac:dyDescent="0.25">
      <c r="A4956" s="2"/>
    </row>
    <row r="4957" spans="1:1" x14ac:dyDescent="0.25">
      <c r="A4957" s="2"/>
    </row>
    <row r="4958" spans="1:1" x14ac:dyDescent="0.25">
      <c r="A4958" s="2"/>
    </row>
    <row r="4959" spans="1:1" x14ac:dyDescent="0.25">
      <c r="A4959" s="2"/>
    </row>
    <row r="4960" spans="1:1" x14ac:dyDescent="0.25">
      <c r="A4960" s="2"/>
    </row>
    <row r="4961" spans="1:1" x14ac:dyDescent="0.25">
      <c r="A4961" s="2"/>
    </row>
    <row r="4962" spans="1:1" x14ac:dyDescent="0.25">
      <c r="A4962" s="2"/>
    </row>
    <row r="4963" spans="1:1" x14ac:dyDescent="0.25">
      <c r="A4963" s="2"/>
    </row>
    <row r="4964" spans="1:1" x14ac:dyDescent="0.25">
      <c r="A4964" s="2"/>
    </row>
    <row r="4965" spans="1:1" x14ac:dyDescent="0.25">
      <c r="A4965" s="2"/>
    </row>
    <row r="4966" spans="1:1" x14ac:dyDescent="0.25">
      <c r="A4966" s="2"/>
    </row>
    <row r="4967" spans="1:1" x14ac:dyDescent="0.25">
      <c r="A4967" s="2"/>
    </row>
    <row r="4968" spans="1:1" x14ac:dyDescent="0.25">
      <c r="A4968" s="2"/>
    </row>
    <row r="4969" spans="1:1" x14ac:dyDescent="0.25">
      <c r="A4969" s="2"/>
    </row>
    <row r="4970" spans="1:1" x14ac:dyDescent="0.25">
      <c r="A4970" s="2"/>
    </row>
    <row r="4971" spans="1:1" x14ac:dyDescent="0.25">
      <c r="A4971" s="2"/>
    </row>
    <row r="4972" spans="1:1" x14ac:dyDescent="0.25">
      <c r="A4972" s="2"/>
    </row>
    <row r="4973" spans="1:1" x14ac:dyDescent="0.25">
      <c r="A4973" s="2"/>
    </row>
    <row r="4974" spans="1:1" x14ac:dyDescent="0.25">
      <c r="A4974" s="2"/>
    </row>
    <row r="4975" spans="1:1" x14ac:dyDescent="0.25">
      <c r="A4975" s="2"/>
    </row>
    <row r="4976" spans="1:1" x14ac:dyDescent="0.25">
      <c r="A4976" s="2"/>
    </row>
    <row r="4977" spans="1:1" x14ac:dyDescent="0.25">
      <c r="A4977" s="2"/>
    </row>
    <row r="4978" spans="1:1" x14ac:dyDescent="0.25">
      <c r="A4978" s="2"/>
    </row>
    <row r="4979" spans="1:1" x14ac:dyDescent="0.25">
      <c r="A4979" s="2"/>
    </row>
    <row r="4980" spans="1:1" x14ac:dyDescent="0.25">
      <c r="A4980" s="2"/>
    </row>
    <row r="4981" spans="1:1" x14ac:dyDescent="0.25">
      <c r="A4981" s="2"/>
    </row>
    <row r="4982" spans="1:1" x14ac:dyDescent="0.25">
      <c r="A4982" s="2"/>
    </row>
    <row r="4983" spans="1:1" x14ac:dyDescent="0.25">
      <c r="A4983" s="2"/>
    </row>
    <row r="4984" spans="1:1" x14ac:dyDescent="0.25">
      <c r="A4984" s="2"/>
    </row>
    <row r="4985" spans="1:1" x14ac:dyDescent="0.25">
      <c r="A4985" s="2"/>
    </row>
    <row r="4986" spans="1:1" x14ac:dyDescent="0.25">
      <c r="A4986" s="2"/>
    </row>
    <row r="4987" spans="1:1" x14ac:dyDescent="0.25">
      <c r="A4987" s="2"/>
    </row>
    <row r="4988" spans="1:1" x14ac:dyDescent="0.25">
      <c r="A4988" s="2"/>
    </row>
    <row r="4989" spans="1:1" x14ac:dyDescent="0.25">
      <c r="A4989" s="2"/>
    </row>
    <row r="4990" spans="1:1" x14ac:dyDescent="0.25">
      <c r="A4990" s="2"/>
    </row>
    <row r="4991" spans="1:1" x14ac:dyDescent="0.25">
      <c r="A4991" s="2"/>
    </row>
    <row r="4992" spans="1:1" x14ac:dyDescent="0.25">
      <c r="A4992" s="2"/>
    </row>
    <row r="4993" spans="1:1" x14ac:dyDescent="0.25">
      <c r="A4993" s="2"/>
    </row>
    <row r="4994" spans="1:1" x14ac:dyDescent="0.25">
      <c r="A4994" s="2"/>
    </row>
    <row r="4995" spans="1:1" x14ac:dyDescent="0.25">
      <c r="A4995" s="2"/>
    </row>
    <row r="4996" spans="1:1" x14ac:dyDescent="0.25">
      <c r="A4996" s="2"/>
    </row>
    <row r="4997" spans="1:1" x14ac:dyDescent="0.25">
      <c r="A4997" s="2"/>
    </row>
    <row r="4998" spans="1:1" x14ac:dyDescent="0.25">
      <c r="A4998" s="2"/>
    </row>
    <row r="4999" spans="1:1" x14ac:dyDescent="0.25">
      <c r="A4999" s="2"/>
    </row>
    <row r="5000" spans="1:1" x14ac:dyDescent="0.25">
      <c r="A5000" s="2"/>
    </row>
    <row r="5001" spans="1:1" x14ac:dyDescent="0.25">
      <c r="A5001" s="2"/>
    </row>
    <row r="5002" spans="1:1" x14ac:dyDescent="0.25">
      <c r="A5002" s="2"/>
    </row>
    <row r="5003" spans="1:1" x14ac:dyDescent="0.25">
      <c r="A5003" s="2"/>
    </row>
    <row r="5004" spans="1:1" x14ac:dyDescent="0.25">
      <c r="A5004" s="2"/>
    </row>
    <row r="5005" spans="1:1" x14ac:dyDescent="0.25">
      <c r="A5005" s="2"/>
    </row>
    <row r="5006" spans="1:1" x14ac:dyDescent="0.25">
      <c r="A5006" s="2"/>
    </row>
    <row r="5007" spans="1:1" x14ac:dyDescent="0.25">
      <c r="A5007" s="2"/>
    </row>
    <row r="5008" spans="1:1" x14ac:dyDescent="0.25">
      <c r="A5008" s="2"/>
    </row>
    <row r="5009" spans="1:1" x14ac:dyDescent="0.25">
      <c r="A5009" s="2"/>
    </row>
    <row r="5010" spans="1:1" x14ac:dyDescent="0.25">
      <c r="A5010" s="2"/>
    </row>
    <row r="5011" spans="1:1" x14ac:dyDescent="0.25">
      <c r="A5011" s="2"/>
    </row>
    <row r="5012" spans="1:1" x14ac:dyDescent="0.25">
      <c r="A5012" s="2"/>
    </row>
    <row r="5013" spans="1:1" x14ac:dyDescent="0.25">
      <c r="A5013" s="2"/>
    </row>
    <row r="5014" spans="1:1" x14ac:dyDescent="0.25">
      <c r="A5014" s="2"/>
    </row>
    <row r="5015" spans="1:1" x14ac:dyDescent="0.25">
      <c r="A5015" s="2"/>
    </row>
    <row r="5016" spans="1:1" x14ac:dyDescent="0.25">
      <c r="A5016" s="2"/>
    </row>
    <row r="5017" spans="1:1" x14ac:dyDescent="0.25">
      <c r="A5017" s="2"/>
    </row>
    <row r="5018" spans="1:1" x14ac:dyDescent="0.25">
      <c r="A5018" s="2"/>
    </row>
    <row r="5019" spans="1:1" x14ac:dyDescent="0.25">
      <c r="A5019" s="2"/>
    </row>
    <row r="5020" spans="1:1" x14ac:dyDescent="0.25">
      <c r="A5020" s="2"/>
    </row>
    <row r="5021" spans="1:1" x14ac:dyDescent="0.25">
      <c r="A5021" s="2"/>
    </row>
    <row r="5022" spans="1:1" x14ac:dyDescent="0.25">
      <c r="A5022" s="2"/>
    </row>
    <row r="5023" spans="1:1" x14ac:dyDescent="0.25">
      <c r="A5023" s="2"/>
    </row>
    <row r="5024" spans="1:1" x14ac:dyDescent="0.25">
      <c r="A5024" s="2"/>
    </row>
    <row r="5025" spans="1:1" x14ac:dyDescent="0.25">
      <c r="A5025" s="2"/>
    </row>
    <row r="5026" spans="1:1" x14ac:dyDescent="0.25">
      <c r="A5026" s="2"/>
    </row>
    <row r="5027" spans="1:1" x14ac:dyDescent="0.25">
      <c r="A5027" s="2"/>
    </row>
    <row r="5028" spans="1:1" x14ac:dyDescent="0.25">
      <c r="A5028" s="2"/>
    </row>
    <row r="5029" spans="1:1" x14ac:dyDescent="0.25">
      <c r="A5029" s="2"/>
    </row>
    <row r="5030" spans="1:1" x14ac:dyDescent="0.25">
      <c r="A5030" s="2"/>
    </row>
    <row r="5031" spans="1:1" x14ac:dyDescent="0.25">
      <c r="A5031" s="2"/>
    </row>
    <row r="5032" spans="1:1" x14ac:dyDescent="0.25">
      <c r="A5032" s="2"/>
    </row>
    <row r="5033" spans="1:1" x14ac:dyDescent="0.25">
      <c r="A5033" s="2"/>
    </row>
    <row r="5034" spans="1:1" x14ac:dyDescent="0.25">
      <c r="A5034" s="2"/>
    </row>
    <row r="5035" spans="1:1" x14ac:dyDescent="0.25">
      <c r="A5035" s="2"/>
    </row>
    <row r="5036" spans="1:1" x14ac:dyDescent="0.25">
      <c r="A5036" s="2"/>
    </row>
    <row r="5037" spans="1:1" x14ac:dyDescent="0.25">
      <c r="A5037" s="2"/>
    </row>
    <row r="5038" spans="1:1" x14ac:dyDescent="0.25">
      <c r="A5038" s="2"/>
    </row>
    <row r="5039" spans="1:1" x14ac:dyDescent="0.25">
      <c r="A5039" s="2"/>
    </row>
    <row r="5040" spans="1:1" x14ac:dyDescent="0.25">
      <c r="A5040" s="2"/>
    </row>
    <row r="5041" spans="1:1" x14ac:dyDescent="0.25">
      <c r="A5041" s="2"/>
    </row>
    <row r="5042" spans="1:1" x14ac:dyDescent="0.25">
      <c r="A5042" s="2"/>
    </row>
    <row r="5043" spans="1:1" x14ac:dyDescent="0.25">
      <c r="A5043" s="2"/>
    </row>
    <row r="5044" spans="1:1" x14ac:dyDescent="0.25">
      <c r="A5044" s="2"/>
    </row>
    <row r="5045" spans="1:1" x14ac:dyDescent="0.25">
      <c r="A5045" s="2"/>
    </row>
    <row r="5046" spans="1:1" x14ac:dyDescent="0.25">
      <c r="A5046" s="2"/>
    </row>
    <row r="5047" spans="1:1" x14ac:dyDescent="0.25">
      <c r="A5047" s="2"/>
    </row>
    <row r="5048" spans="1:1" x14ac:dyDescent="0.25">
      <c r="A5048" s="2"/>
    </row>
    <row r="5049" spans="1:1" x14ac:dyDescent="0.25">
      <c r="A5049" s="2"/>
    </row>
    <row r="5050" spans="1:1" x14ac:dyDescent="0.25">
      <c r="A5050" s="2"/>
    </row>
    <row r="5051" spans="1:1" x14ac:dyDescent="0.25">
      <c r="A5051" s="2"/>
    </row>
    <row r="5052" spans="1:1" x14ac:dyDescent="0.25">
      <c r="A5052" s="2"/>
    </row>
    <row r="5053" spans="1:1" x14ac:dyDescent="0.25">
      <c r="A5053" s="2"/>
    </row>
    <row r="5054" spans="1:1" x14ac:dyDescent="0.25">
      <c r="A5054" s="2"/>
    </row>
    <row r="5055" spans="1:1" x14ac:dyDescent="0.25">
      <c r="A5055" s="2"/>
    </row>
    <row r="5056" spans="1:1" x14ac:dyDescent="0.25">
      <c r="A5056" s="2"/>
    </row>
    <row r="5057" spans="1:1" x14ac:dyDescent="0.25">
      <c r="A5057" s="2"/>
    </row>
    <row r="5058" spans="1:1" x14ac:dyDescent="0.25">
      <c r="A5058" s="2"/>
    </row>
    <row r="5059" spans="1:1" x14ac:dyDescent="0.25">
      <c r="A5059" s="2"/>
    </row>
    <row r="5060" spans="1:1" x14ac:dyDescent="0.25">
      <c r="A5060" s="2"/>
    </row>
    <row r="5061" spans="1:1" x14ac:dyDescent="0.25">
      <c r="A5061" s="2"/>
    </row>
    <row r="5062" spans="1:1" x14ac:dyDescent="0.25">
      <c r="A5062" s="2"/>
    </row>
    <row r="5063" spans="1:1" x14ac:dyDescent="0.25">
      <c r="A5063" s="2"/>
    </row>
    <row r="5064" spans="1:1" x14ac:dyDescent="0.25">
      <c r="A5064" s="2"/>
    </row>
    <row r="5065" spans="1:1" x14ac:dyDescent="0.25">
      <c r="A5065" s="2"/>
    </row>
    <row r="5066" spans="1:1" x14ac:dyDescent="0.25">
      <c r="A5066" s="2"/>
    </row>
    <row r="5067" spans="1:1" x14ac:dyDescent="0.25">
      <c r="A5067" s="2"/>
    </row>
    <row r="5068" spans="1:1" x14ac:dyDescent="0.25">
      <c r="A5068" s="2"/>
    </row>
    <row r="5069" spans="1:1" x14ac:dyDescent="0.25">
      <c r="A5069" s="2"/>
    </row>
    <row r="5070" spans="1:1" x14ac:dyDescent="0.25">
      <c r="A5070" s="2"/>
    </row>
    <row r="5071" spans="1:1" x14ac:dyDescent="0.25">
      <c r="A5071" s="2"/>
    </row>
    <row r="5072" spans="1:1" x14ac:dyDescent="0.25">
      <c r="A5072" s="2"/>
    </row>
    <row r="5073" spans="1:1" x14ac:dyDescent="0.25">
      <c r="A5073" s="2"/>
    </row>
    <row r="5074" spans="1:1" x14ac:dyDescent="0.25">
      <c r="A5074" s="2"/>
    </row>
    <row r="5075" spans="1:1" x14ac:dyDescent="0.25">
      <c r="A5075" s="2"/>
    </row>
    <row r="5076" spans="1:1" x14ac:dyDescent="0.25">
      <c r="A5076" s="2"/>
    </row>
    <row r="5077" spans="1:1" x14ac:dyDescent="0.25">
      <c r="A5077" s="2"/>
    </row>
    <row r="5078" spans="1:1" x14ac:dyDescent="0.25">
      <c r="A5078" s="2"/>
    </row>
    <row r="5079" spans="1:1" x14ac:dyDescent="0.25">
      <c r="A5079" s="2"/>
    </row>
    <row r="5080" spans="1:1" x14ac:dyDescent="0.25">
      <c r="A5080" s="2"/>
    </row>
    <row r="5081" spans="1:1" x14ac:dyDescent="0.25">
      <c r="A5081" s="2"/>
    </row>
    <row r="5082" spans="1:1" x14ac:dyDescent="0.25">
      <c r="A5082" s="2"/>
    </row>
    <row r="5083" spans="1:1" x14ac:dyDescent="0.25">
      <c r="A5083" s="2"/>
    </row>
    <row r="5084" spans="1:1" x14ac:dyDescent="0.25">
      <c r="A5084" s="2"/>
    </row>
    <row r="5085" spans="1:1" x14ac:dyDescent="0.25">
      <c r="A5085" s="2"/>
    </row>
    <row r="5086" spans="1:1" x14ac:dyDescent="0.25">
      <c r="A5086" s="2"/>
    </row>
    <row r="5087" spans="1:1" x14ac:dyDescent="0.25">
      <c r="A5087" s="2"/>
    </row>
    <row r="5088" spans="1:1" x14ac:dyDescent="0.25">
      <c r="A5088" s="2"/>
    </row>
    <row r="5089" spans="1:1" x14ac:dyDescent="0.25">
      <c r="A5089" s="2"/>
    </row>
    <row r="5090" spans="1:1" x14ac:dyDescent="0.25">
      <c r="A5090" s="2"/>
    </row>
    <row r="5091" spans="1:1" x14ac:dyDescent="0.25">
      <c r="A5091" s="2"/>
    </row>
    <row r="5092" spans="1:1" x14ac:dyDescent="0.25">
      <c r="A5092" s="2"/>
    </row>
    <row r="5093" spans="1:1" x14ac:dyDescent="0.25">
      <c r="A5093" s="2"/>
    </row>
    <row r="5094" spans="1:1" x14ac:dyDescent="0.25">
      <c r="A5094" s="2"/>
    </row>
    <row r="5095" spans="1:1" x14ac:dyDescent="0.25">
      <c r="A5095" s="2"/>
    </row>
    <row r="5096" spans="1:1" x14ac:dyDescent="0.25">
      <c r="A5096" s="2"/>
    </row>
    <row r="5097" spans="1:1" x14ac:dyDescent="0.25">
      <c r="A5097" s="2"/>
    </row>
    <row r="5098" spans="1:1" x14ac:dyDescent="0.25">
      <c r="A5098" s="2"/>
    </row>
    <row r="5099" spans="1:1" x14ac:dyDescent="0.25">
      <c r="A5099" s="2"/>
    </row>
    <row r="5100" spans="1:1" x14ac:dyDescent="0.25">
      <c r="A5100" s="2"/>
    </row>
    <row r="5101" spans="1:1" x14ac:dyDescent="0.25">
      <c r="A5101" s="2"/>
    </row>
    <row r="5102" spans="1:1" x14ac:dyDescent="0.25">
      <c r="A5102" s="2"/>
    </row>
    <row r="5103" spans="1:1" x14ac:dyDescent="0.25">
      <c r="A5103" s="2"/>
    </row>
    <row r="5104" spans="1:1" x14ac:dyDescent="0.25">
      <c r="A5104" s="2"/>
    </row>
    <row r="5105" spans="1:1" x14ac:dyDescent="0.25">
      <c r="A5105" s="2"/>
    </row>
    <row r="5106" spans="1:1" x14ac:dyDescent="0.25">
      <c r="A5106" s="2"/>
    </row>
    <row r="5107" spans="1:1" x14ac:dyDescent="0.25">
      <c r="A5107" s="2"/>
    </row>
    <row r="5108" spans="1:1" x14ac:dyDescent="0.25">
      <c r="A5108" s="2"/>
    </row>
    <row r="5109" spans="1:1" x14ac:dyDescent="0.25">
      <c r="A5109" s="2"/>
    </row>
    <row r="5110" spans="1:1" x14ac:dyDescent="0.25">
      <c r="A5110" s="2"/>
    </row>
    <row r="5111" spans="1:1" x14ac:dyDescent="0.25">
      <c r="A5111" s="2"/>
    </row>
    <row r="5112" spans="1:1" x14ac:dyDescent="0.25">
      <c r="A5112" s="2"/>
    </row>
    <row r="5113" spans="1:1" x14ac:dyDescent="0.25">
      <c r="A5113" s="2"/>
    </row>
    <row r="5114" spans="1:1" x14ac:dyDescent="0.25">
      <c r="A5114" s="2"/>
    </row>
    <row r="5115" spans="1:1" x14ac:dyDescent="0.25">
      <c r="A5115" s="2"/>
    </row>
    <row r="5116" spans="1:1" x14ac:dyDescent="0.25">
      <c r="A5116" s="2"/>
    </row>
    <row r="5117" spans="1:1" x14ac:dyDescent="0.25">
      <c r="A5117" s="2"/>
    </row>
    <row r="5118" spans="1:1" x14ac:dyDescent="0.25">
      <c r="A5118" s="2"/>
    </row>
    <row r="5119" spans="1:1" x14ac:dyDescent="0.25">
      <c r="A5119" s="2"/>
    </row>
    <row r="5120" spans="1:1" x14ac:dyDescent="0.25">
      <c r="A5120" s="2"/>
    </row>
    <row r="5121" spans="1:1" x14ac:dyDescent="0.25">
      <c r="A5121" s="2"/>
    </row>
    <row r="5122" spans="1:1" x14ac:dyDescent="0.25">
      <c r="A5122" s="2"/>
    </row>
    <row r="5123" spans="1:1" x14ac:dyDescent="0.25">
      <c r="A5123" s="2"/>
    </row>
    <row r="5124" spans="1:1" x14ac:dyDescent="0.25">
      <c r="A5124" s="2"/>
    </row>
    <row r="5125" spans="1:1" x14ac:dyDescent="0.25">
      <c r="A5125" s="2"/>
    </row>
    <row r="5126" spans="1:1" x14ac:dyDescent="0.25">
      <c r="A5126" s="2"/>
    </row>
    <row r="5127" spans="1:1" x14ac:dyDescent="0.25">
      <c r="A5127" s="2"/>
    </row>
    <row r="5128" spans="1:1" x14ac:dyDescent="0.25">
      <c r="A5128" s="2"/>
    </row>
    <row r="5129" spans="1:1" x14ac:dyDescent="0.25">
      <c r="A5129" s="2"/>
    </row>
    <row r="5130" spans="1:1" x14ac:dyDescent="0.25">
      <c r="A5130" s="2"/>
    </row>
    <row r="5131" spans="1:1" x14ac:dyDescent="0.25">
      <c r="A5131" s="2"/>
    </row>
    <row r="5132" spans="1:1" x14ac:dyDescent="0.25">
      <c r="A5132" s="2"/>
    </row>
    <row r="5133" spans="1:1" x14ac:dyDescent="0.25">
      <c r="A5133" s="2"/>
    </row>
    <row r="5134" spans="1:1" x14ac:dyDescent="0.25">
      <c r="A5134" s="2"/>
    </row>
    <row r="5135" spans="1:1" x14ac:dyDescent="0.25">
      <c r="A5135" s="2"/>
    </row>
    <row r="5136" spans="1:1" x14ac:dyDescent="0.25">
      <c r="A5136" s="2"/>
    </row>
    <row r="5137" spans="1:1" x14ac:dyDescent="0.25">
      <c r="A5137" s="2"/>
    </row>
    <row r="5138" spans="1:1" x14ac:dyDescent="0.25">
      <c r="A5138" s="2"/>
    </row>
    <row r="5139" spans="1:1" x14ac:dyDescent="0.25">
      <c r="A5139" s="2"/>
    </row>
    <row r="5140" spans="1:1" x14ac:dyDescent="0.25">
      <c r="A5140" s="2"/>
    </row>
    <row r="5141" spans="1:1" x14ac:dyDescent="0.25">
      <c r="A5141" s="2"/>
    </row>
    <row r="5142" spans="1:1" x14ac:dyDescent="0.25">
      <c r="A5142" s="2"/>
    </row>
    <row r="5143" spans="1:1" x14ac:dyDescent="0.25">
      <c r="A5143" s="2"/>
    </row>
    <row r="5144" spans="1:1" x14ac:dyDescent="0.25">
      <c r="A5144" s="2"/>
    </row>
    <row r="5145" spans="1:1" x14ac:dyDescent="0.25">
      <c r="A5145" s="2"/>
    </row>
    <row r="5146" spans="1:1" x14ac:dyDescent="0.25">
      <c r="A5146" s="2"/>
    </row>
    <row r="5147" spans="1:1" x14ac:dyDescent="0.25">
      <c r="A5147" s="2"/>
    </row>
    <row r="5148" spans="1:1" x14ac:dyDescent="0.25">
      <c r="A5148" s="2"/>
    </row>
    <row r="5149" spans="1:1" x14ac:dyDescent="0.25">
      <c r="A5149" s="2"/>
    </row>
    <row r="5150" spans="1:1" x14ac:dyDescent="0.25">
      <c r="A5150" s="2"/>
    </row>
    <row r="5151" spans="1:1" x14ac:dyDescent="0.25">
      <c r="A5151" s="2"/>
    </row>
    <row r="5152" spans="1:1" x14ac:dyDescent="0.25">
      <c r="A5152" s="2"/>
    </row>
    <row r="5153" spans="1:1" x14ac:dyDescent="0.25">
      <c r="A5153" s="2"/>
    </row>
    <row r="5154" spans="1:1" x14ac:dyDescent="0.25">
      <c r="A5154" s="2"/>
    </row>
    <row r="5155" spans="1:1" x14ac:dyDescent="0.25">
      <c r="A5155" s="2"/>
    </row>
    <row r="5156" spans="1:1" x14ac:dyDescent="0.25">
      <c r="A5156" s="2"/>
    </row>
    <row r="5157" spans="1:1" x14ac:dyDescent="0.25">
      <c r="A5157" s="2"/>
    </row>
    <row r="5158" spans="1:1" x14ac:dyDescent="0.25">
      <c r="A5158" s="2"/>
    </row>
    <row r="5159" spans="1:1" x14ac:dyDescent="0.25">
      <c r="A5159" s="2"/>
    </row>
    <row r="5160" spans="1:1" x14ac:dyDescent="0.25">
      <c r="A5160" s="2"/>
    </row>
    <row r="5161" spans="1:1" x14ac:dyDescent="0.25">
      <c r="A5161" s="2"/>
    </row>
    <row r="5162" spans="1:1" x14ac:dyDescent="0.25">
      <c r="A5162" s="2"/>
    </row>
    <row r="5163" spans="1:1" x14ac:dyDescent="0.25">
      <c r="A5163" s="2"/>
    </row>
    <row r="5164" spans="1:1" x14ac:dyDescent="0.25">
      <c r="A5164" s="2"/>
    </row>
    <row r="5165" spans="1:1" x14ac:dyDescent="0.25">
      <c r="A5165" s="2"/>
    </row>
    <row r="5166" spans="1:1" x14ac:dyDescent="0.25">
      <c r="A5166" s="2"/>
    </row>
    <row r="5167" spans="1:1" x14ac:dyDescent="0.25">
      <c r="A5167" s="2"/>
    </row>
    <row r="5168" spans="1:1" x14ac:dyDescent="0.25">
      <c r="A5168" s="2"/>
    </row>
    <row r="5169" spans="1:1" x14ac:dyDescent="0.25">
      <c r="A5169" s="2"/>
    </row>
    <row r="5170" spans="1:1" x14ac:dyDescent="0.25">
      <c r="A5170" s="2"/>
    </row>
    <row r="5171" spans="1:1" x14ac:dyDescent="0.25">
      <c r="A5171" s="2"/>
    </row>
    <row r="5172" spans="1:1" x14ac:dyDescent="0.25">
      <c r="A5172" s="2"/>
    </row>
    <row r="5173" spans="1:1" x14ac:dyDescent="0.25">
      <c r="A5173" s="2"/>
    </row>
    <row r="5174" spans="1:1" x14ac:dyDescent="0.25">
      <c r="A5174" s="2"/>
    </row>
    <row r="5175" spans="1:1" x14ac:dyDescent="0.25">
      <c r="A5175" s="2"/>
    </row>
    <row r="5176" spans="1:1" x14ac:dyDescent="0.25">
      <c r="A5176" s="2"/>
    </row>
    <row r="5177" spans="1:1" x14ac:dyDescent="0.25">
      <c r="A5177" s="2"/>
    </row>
    <row r="5178" spans="1:1" x14ac:dyDescent="0.25">
      <c r="A5178" s="2"/>
    </row>
    <row r="5179" spans="1:1" x14ac:dyDescent="0.25">
      <c r="A5179" s="2"/>
    </row>
    <row r="5180" spans="1:1" x14ac:dyDescent="0.25">
      <c r="A5180" s="2"/>
    </row>
    <row r="5181" spans="1:1" x14ac:dyDescent="0.25">
      <c r="A5181" s="2"/>
    </row>
    <row r="5182" spans="1:1" x14ac:dyDescent="0.25">
      <c r="A5182" s="2"/>
    </row>
    <row r="5183" spans="1:1" x14ac:dyDescent="0.25">
      <c r="A5183" s="2"/>
    </row>
    <row r="5184" spans="1:1" x14ac:dyDescent="0.25">
      <c r="A5184" s="2"/>
    </row>
    <row r="5185" spans="1:1" x14ac:dyDescent="0.25">
      <c r="A5185" s="2"/>
    </row>
    <row r="5186" spans="1:1" x14ac:dyDescent="0.25">
      <c r="A5186" s="2"/>
    </row>
    <row r="5187" spans="1:1" x14ac:dyDescent="0.25">
      <c r="A5187" s="2"/>
    </row>
    <row r="5188" spans="1:1" x14ac:dyDescent="0.25">
      <c r="A5188" s="2"/>
    </row>
    <row r="5189" spans="1:1" x14ac:dyDescent="0.25">
      <c r="A5189" s="2"/>
    </row>
    <row r="5190" spans="1:1" x14ac:dyDescent="0.25">
      <c r="A5190" s="2"/>
    </row>
    <row r="5191" spans="1:1" x14ac:dyDescent="0.25">
      <c r="A5191" s="2"/>
    </row>
    <row r="5192" spans="1:1" x14ac:dyDescent="0.25">
      <c r="A5192" s="2"/>
    </row>
    <row r="5193" spans="1:1" x14ac:dyDescent="0.25">
      <c r="A5193" s="2"/>
    </row>
    <row r="5194" spans="1:1" x14ac:dyDescent="0.25">
      <c r="A5194" s="2"/>
    </row>
    <row r="5195" spans="1:1" x14ac:dyDescent="0.25">
      <c r="A5195" s="2"/>
    </row>
    <row r="5196" spans="1:1" x14ac:dyDescent="0.25">
      <c r="A5196" s="2"/>
    </row>
    <row r="5197" spans="1:1" x14ac:dyDescent="0.25">
      <c r="A5197" s="2"/>
    </row>
    <row r="5198" spans="1:1" x14ac:dyDescent="0.25">
      <c r="A5198" s="2"/>
    </row>
    <row r="5199" spans="1:1" x14ac:dyDescent="0.25">
      <c r="A5199" s="2"/>
    </row>
    <row r="5200" spans="1:1" x14ac:dyDescent="0.25">
      <c r="A5200" s="2"/>
    </row>
    <row r="5201" spans="1:1" x14ac:dyDescent="0.25">
      <c r="A5201" s="2"/>
    </row>
    <row r="5202" spans="1:1" x14ac:dyDescent="0.25">
      <c r="A5202" s="2"/>
    </row>
    <row r="5203" spans="1:1" x14ac:dyDescent="0.25">
      <c r="A5203" s="2"/>
    </row>
    <row r="5204" spans="1:1" x14ac:dyDescent="0.25">
      <c r="A5204" s="2"/>
    </row>
    <row r="5205" spans="1:1" x14ac:dyDescent="0.25">
      <c r="A5205" s="2"/>
    </row>
    <row r="5206" spans="1:1" x14ac:dyDescent="0.25">
      <c r="A5206" s="2"/>
    </row>
    <row r="5207" spans="1:1" x14ac:dyDescent="0.25">
      <c r="A5207" s="2"/>
    </row>
    <row r="5208" spans="1:1" x14ac:dyDescent="0.25">
      <c r="A5208" s="2"/>
    </row>
    <row r="5209" spans="1:1" x14ac:dyDescent="0.25">
      <c r="A5209" s="2"/>
    </row>
    <row r="5210" spans="1:1" x14ac:dyDescent="0.25">
      <c r="A5210" s="2"/>
    </row>
    <row r="5211" spans="1:1" x14ac:dyDescent="0.25">
      <c r="A5211" s="2"/>
    </row>
    <row r="5212" spans="1:1" x14ac:dyDescent="0.25">
      <c r="A5212" s="2"/>
    </row>
    <row r="5213" spans="1:1" x14ac:dyDescent="0.25">
      <c r="A5213" s="2"/>
    </row>
    <row r="5214" spans="1:1" x14ac:dyDescent="0.25">
      <c r="A5214" s="2"/>
    </row>
    <row r="5215" spans="1:1" x14ac:dyDescent="0.25">
      <c r="A5215" s="2"/>
    </row>
    <row r="5216" spans="1:1" x14ac:dyDescent="0.25">
      <c r="A5216" s="2"/>
    </row>
    <row r="5217" spans="1:1" x14ac:dyDescent="0.25">
      <c r="A5217" s="2"/>
    </row>
    <row r="5218" spans="1:1" x14ac:dyDescent="0.25">
      <c r="A5218" s="2"/>
    </row>
    <row r="5219" spans="1:1" x14ac:dyDescent="0.25">
      <c r="A5219" s="2"/>
    </row>
    <row r="5220" spans="1:1" x14ac:dyDescent="0.25">
      <c r="A5220" s="2"/>
    </row>
    <row r="5221" spans="1:1" x14ac:dyDescent="0.25">
      <c r="A5221" s="2"/>
    </row>
    <row r="5222" spans="1:1" x14ac:dyDescent="0.25">
      <c r="A5222" s="2"/>
    </row>
    <row r="5223" spans="1:1" x14ac:dyDescent="0.25">
      <c r="A5223" s="2"/>
    </row>
    <row r="5224" spans="1:1" x14ac:dyDescent="0.25">
      <c r="A5224" s="2"/>
    </row>
    <row r="5225" spans="1:1" x14ac:dyDescent="0.25">
      <c r="A5225" s="2"/>
    </row>
    <row r="5226" spans="1:1" x14ac:dyDescent="0.25">
      <c r="A5226" s="2"/>
    </row>
    <row r="5227" spans="1:1" x14ac:dyDescent="0.25">
      <c r="A5227" s="2"/>
    </row>
    <row r="5228" spans="1:1" x14ac:dyDescent="0.25">
      <c r="A5228" s="2"/>
    </row>
    <row r="5229" spans="1:1" x14ac:dyDescent="0.25">
      <c r="A5229" s="2"/>
    </row>
    <row r="5230" spans="1:1" x14ac:dyDescent="0.25">
      <c r="A5230" s="2"/>
    </row>
    <row r="5231" spans="1:1" x14ac:dyDescent="0.25">
      <c r="A5231" s="2"/>
    </row>
    <row r="5232" spans="1:1" x14ac:dyDescent="0.25">
      <c r="A5232" s="2"/>
    </row>
    <row r="5233" spans="1:1" x14ac:dyDescent="0.25">
      <c r="A5233" s="2"/>
    </row>
    <row r="5234" spans="1:1" x14ac:dyDescent="0.25">
      <c r="A5234" s="2"/>
    </row>
    <row r="5235" spans="1:1" x14ac:dyDescent="0.25">
      <c r="A5235" s="2"/>
    </row>
    <row r="5236" spans="1:1" x14ac:dyDescent="0.25">
      <c r="A5236" s="2"/>
    </row>
    <row r="5237" spans="1:1" x14ac:dyDescent="0.25">
      <c r="A5237" s="2"/>
    </row>
    <row r="5238" spans="1:1" x14ac:dyDescent="0.25">
      <c r="A5238" s="2"/>
    </row>
    <row r="5239" spans="1:1" x14ac:dyDescent="0.25">
      <c r="A5239" s="2"/>
    </row>
    <row r="5240" spans="1:1" x14ac:dyDescent="0.25">
      <c r="A5240" s="2"/>
    </row>
    <row r="5241" spans="1:1" x14ac:dyDescent="0.25">
      <c r="A5241" s="2"/>
    </row>
    <row r="5242" spans="1:1" x14ac:dyDescent="0.25">
      <c r="A5242" s="2"/>
    </row>
    <row r="5243" spans="1:1" x14ac:dyDescent="0.25">
      <c r="A5243" s="2"/>
    </row>
    <row r="5244" spans="1:1" x14ac:dyDescent="0.25">
      <c r="A5244" s="2"/>
    </row>
    <row r="5245" spans="1:1" x14ac:dyDescent="0.25">
      <c r="A5245" s="2"/>
    </row>
    <row r="5246" spans="1:1" x14ac:dyDescent="0.25">
      <c r="A5246" s="2"/>
    </row>
    <row r="5247" spans="1:1" x14ac:dyDescent="0.25">
      <c r="A5247" s="2"/>
    </row>
    <row r="5248" spans="1:1" x14ac:dyDescent="0.25">
      <c r="A5248" s="2"/>
    </row>
    <row r="5249" spans="1:1" x14ac:dyDescent="0.25">
      <c r="A5249" s="2"/>
    </row>
    <row r="5250" spans="1:1" x14ac:dyDescent="0.25">
      <c r="A5250" s="2"/>
    </row>
    <row r="5251" spans="1:1" x14ac:dyDescent="0.25">
      <c r="A5251" s="2"/>
    </row>
    <row r="5252" spans="1:1" x14ac:dyDescent="0.25">
      <c r="A5252" s="2"/>
    </row>
    <row r="5253" spans="1:1" x14ac:dyDescent="0.25">
      <c r="A5253" s="2"/>
    </row>
    <row r="5254" spans="1:1" x14ac:dyDescent="0.25">
      <c r="A5254" s="2"/>
    </row>
    <row r="5255" spans="1:1" x14ac:dyDescent="0.25">
      <c r="A5255" s="2"/>
    </row>
    <row r="5256" spans="1:1" x14ac:dyDescent="0.25">
      <c r="A5256" s="2"/>
    </row>
    <row r="5257" spans="1:1" x14ac:dyDescent="0.25">
      <c r="A5257" s="2"/>
    </row>
    <row r="5258" spans="1:1" x14ac:dyDescent="0.25">
      <c r="A5258" s="2"/>
    </row>
    <row r="5259" spans="1:1" x14ac:dyDescent="0.25">
      <c r="A5259" s="2"/>
    </row>
    <row r="5260" spans="1:1" x14ac:dyDescent="0.25">
      <c r="A5260" s="2"/>
    </row>
    <row r="5261" spans="1:1" x14ac:dyDescent="0.25">
      <c r="A5261" s="2"/>
    </row>
    <row r="5262" spans="1:1" x14ac:dyDescent="0.25">
      <c r="A5262" s="2"/>
    </row>
    <row r="5263" spans="1:1" x14ac:dyDescent="0.25">
      <c r="A5263" s="2"/>
    </row>
    <row r="5264" spans="1:1" x14ac:dyDescent="0.25">
      <c r="A5264" s="2"/>
    </row>
    <row r="5265" spans="1:1" x14ac:dyDescent="0.25">
      <c r="A5265" s="2"/>
    </row>
    <row r="5266" spans="1:1" x14ac:dyDescent="0.25">
      <c r="A5266" s="2"/>
    </row>
    <row r="5267" spans="1:1" x14ac:dyDescent="0.25">
      <c r="A5267" s="2"/>
    </row>
    <row r="5268" spans="1:1" x14ac:dyDescent="0.25">
      <c r="A5268" s="2"/>
    </row>
    <row r="5269" spans="1:1" x14ac:dyDescent="0.25">
      <c r="A5269" s="2"/>
    </row>
    <row r="5270" spans="1:1" x14ac:dyDescent="0.25">
      <c r="A5270" s="2"/>
    </row>
    <row r="5271" spans="1:1" x14ac:dyDescent="0.25">
      <c r="A5271" s="2"/>
    </row>
    <row r="5272" spans="1:1" x14ac:dyDescent="0.25">
      <c r="A5272" s="2"/>
    </row>
    <row r="5273" spans="1:1" x14ac:dyDescent="0.25">
      <c r="A5273" s="2"/>
    </row>
    <row r="5274" spans="1:1" x14ac:dyDescent="0.25">
      <c r="A5274" s="2"/>
    </row>
    <row r="5275" spans="1:1" x14ac:dyDescent="0.25">
      <c r="A5275" s="2"/>
    </row>
    <row r="5276" spans="1:1" x14ac:dyDescent="0.25">
      <c r="A5276" s="2"/>
    </row>
    <row r="5277" spans="1:1" x14ac:dyDescent="0.25">
      <c r="A5277" s="2"/>
    </row>
    <row r="5278" spans="1:1" x14ac:dyDescent="0.25">
      <c r="A5278" s="2"/>
    </row>
    <row r="5279" spans="1:1" x14ac:dyDescent="0.25">
      <c r="A5279" s="2"/>
    </row>
    <row r="5280" spans="1:1" x14ac:dyDescent="0.25">
      <c r="A5280" s="2"/>
    </row>
    <row r="5281" spans="1:1" x14ac:dyDescent="0.25">
      <c r="A5281" s="2"/>
    </row>
    <row r="5282" spans="1:1" x14ac:dyDescent="0.25">
      <c r="A5282" s="2"/>
    </row>
    <row r="5283" spans="1:1" x14ac:dyDescent="0.25">
      <c r="A5283" s="2"/>
    </row>
    <row r="5284" spans="1:1" x14ac:dyDescent="0.25">
      <c r="A5284" s="2"/>
    </row>
    <row r="5285" spans="1:1" x14ac:dyDescent="0.25">
      <c r="A5285" s="2"/>
    </row>
    <row r="5286" spans="1:1" x14ac:dyDescent="0.25">
      <c r="A5286" s="2"/>
    </row>
    <row r="5287" spans="1:1" x14ac:dyDescent="0.25">
      <c r="A5287" s="2"/>
    </row>
    <row r="5288" spans="1:1" x14ac:dyDescent="0.25">
      <c r="A5288" s="2"/>
    </row>
    <row r="5289" spans="1:1" x14ac:dyDescent="0.25">
      <c r="A5289" s="2"/>
    </row>
    <row r="5290" spans="1:1" x14ac:dyDescent="0.25">
      <c r="A5290" s="2"/>
    </row>
    <row r="5291" spans="1:1" x14ac:dyDescent="0.25">
      <c r="A5291" s="2"/>
    </row>
    <row r="5292" spans="1:1" x14ac:dyDescent="0.25">
      <c r="A5292" s="2"/>
    </row>
    <row r="5293" spans="1:1" x14ac:dyDescent="0.25">
      <c r="A5293" s="2"/>
    </row>
    <row r="5294" spans="1:1" x14ac:dyDescent="0.25">
      <c r="A5294" s="2"/>
    </row>
    <row r="5295" spans="1:1" x14ac:dyDescent="0.25">
      <c r="A5295" s="2"/>
    </row>
    <row r="5296" spans="1:1" x14ac:dyDescent="0.25">
      <c r="A5296" s="2"/>
    </row>
    <row r="5297" spans="1:1" x14ac:dyDescent="0.25">
      <c r="A5297" s="2"/>
    </row>
    <row r="5298" spans="1:1" x14ac:dyDescent="0.25">
      <c r="A5298" s="2"/>
    </row>
    <row r="5299" spans="1:1" x14ac:dyDescent="0.25">
      <c r="A5299" s="2"/>
    </row>
    <row r="5300" spans="1:1" x14ac:dyDescent="0.25">
      <c r="A5300" s="2"/>
    </row>
    <row r="5301" spans="1:1" x14ac:dyDescent="0.25">
      <c r="A5301" s="2"/>
    </row>
    <row r="5302" spans="1:1" x14ac:dyDescent="0.25">
      <c r="A5302" s="2"/>
    </row>
    <row r="5303" spans="1:1" x14ac:dyDescent="0.25">
      <c r="A5303" s="2"/>
    </row>
    <row r="5304" spans="1:1" x14ac:dyDescent="0.25">
      <c r="A5304" s="2"/>
    </row>
    <row r="5305" spans="1:1" x14ac:dyDescent="0.25">
      <c r="A5305" s="2"/>
    </row>
    <row r="5306" spans="1:1" x14ac:dyDescent="0.25">
      <c r="A5306" s="2"/>
    </row>
    <row r="5307" spans="1:1" x14ac:dyDescent="0.25">
      <c r="A5307" s="2"/>
    </row>
    <row r="5308" spans="1:1" x14ac:dyDescent="0.25">
      <c r="A5308" s="2"/>
    </row>
    <row r="5309" spans="1:1" x14ac:dyDescent="0.25">
      <c r="A5309" s="2"/>
    </row>
    <row r="5310" spans="1:1" x14ac:dyDescent="0.25">
      <c r="A5310" s="2"/>
    </row>
    <row r="5311" spans="1:1" x14ac:dyDescent="0.25">
      <c r="A5311" s="2"/>
    </row>
    <row r="5312" spans="1:1" x14ac:dyDescent="0.25">
      <c r="A5312" s="2"/>
    </row>
    <row r="5313" spans="1:1" x14ac:dyDescent="0.25">
      <c r="A5313" s="2"/>
    </row>
    <row r="5314" spans="1:1" x14ac:dyDescent="0.25">
      <c r="A5314" s="2"/>
    </row>
    <row r="5315" spans="1:1" x14ac:dyDescent="0.25">
      <c r="A5315" s="2"/>
    </row>
    <row r="5316" spans="1:1" x14ac:dyDescent="0.25">
      <c r="A5316" s="2"/>
    </row>
    <row r="5317" spans="1:1" x14ac:dyDescent="0.25">
      <c r="A5317" s="2"/>
    </row>
    <row r="5318" spans="1:1" x14ac:dyDescent="0.25">
      <c r="A5318" s="2"/>
    </row>
    <row r="5319" spans="1:1" x14ac:dyDescent="0.25">
      <c r="A5319" s="2"/>
    </row>
    <row r="5320" spans="1:1" x14ac:dyDescent="0.25">
      <c r="A5320" s="2"/>
    </row>
    <row r="5321" spans="1:1" x14ac:dyDescent="0.25">
      <c r="A5321" s="2"/>
    </row>
    <row r="5322" spans="1:1" x14ac:dyDescent="0.25">
      <c r="A5322" s="2"/>
    </row>
    <row r="5323" spans="1:1" x14ac:dyDescent="0.25">
      <c r="A5323" s="2"/>
    </row>
    <row r="5324" spans="1:1" x14ac:dyDescent="0.25">
      <c r="A5324" s="2"/>
    </row>
    <row r="5325" spans="1:1" x14ac:dyDescent="0.25">
      <c r="A5325" s="2"/>
    </row>
    <row r="5326" spans="1:1" x14ac:dyDescent="0.25">
      <c r="A5326" s="2"/>
    </row>
    <row r="5327" spans="1:1" x14ac:dyDescent="0.25">
      <c r="A5327" s="2"/>
    </row>
    <row r="5328" spans="1:1" x14ac:dyDescent="0.25">
      <c r="A5328" s="2"/>
    </row>
    <row r="5329" spans="1:1" x14ac:dyDescent="0.25">
      <c r="A5329" s="2"/>
    </row>
    <row r="5330" spans="1:1" x14ac:dyDescent="0.25">
      <c r="A5330" s="2"/>
    </row>
    <row r="5331" spans="1:1" x14ac:dyDescent="0.25">
      <c r="A5331" s="2"/>
    </row>
    <row r="5332" spans="1:1" x14ac:dyDescent="0.25">
      <c r="A5332" s="2"/>
    </row>
    <row r="5333" spans="1:1" x14ac:dyDescent="0.25">
      <c r="A5333" s="2"/>
    </row>
    <row r="5334" spans="1:1" x14ac:dyDescent="0.25">
      <c r="A5334" s="2"/>
    </row>
    <row r="5335" spans="1:1" x14ac:dyDescent="0.25">
      <c r="A5335" s="2"/>
    </row>
    <row r="5336" spans="1:1" x14ac:dyDescent="0.25">
      <c r="A5336" s="2"/>
    </row>
    <row r="5337" spans="1:1" x14ac:dyDescent="0.25">
      <c r="A5337" s="2"/>
    </row>
    <row r="5338" spans="1:1" x14ac:dyDescent="0.25">
      <c r="A5338" s="2"/>
    </row>
    <row r="5339" spans="1:1" x14ac:dyDescent="0.25">
      <c r="A5339" s="2"/>
    </row>
    <row r="5340" spans="1:1" x14ac:dyDescent="0.25">
      <c r="A5340" s="2"/>
    </row>
    <row r="5341" spans="1:1" x14ac:dyDescent="0.25">
      <c r="A5341" s="2"/>
    </row>
    <row r="5342" spans="1:1" x14ac:dyDescent="0.25">
      <c r="A5342" s="2"/>
    </row>
    <row r="5343" spans="1:1" x14ac:dyDescent="0.25">
      <c r="A5343" s="2"/>
    </row>
    <row r="5344" spans="1:1" x14ac:dyDescent="0.25">
      <c r="A5344" s="2"/>
    </row>
    <row r="5345" spans="1:1" x14ac:dyDescent="0.25">
      <c r="A5345" s="2"/>
    </row>
    <row r="5346" spans="1:1" x14ac:dyDescent="0.25">
      <c r="A5346" s="2"/>
    </row>
    <row r="5347" spans="1:1" x14ac:dyDescent="0.25">
      <c r="A5347" s="2"/>
    </row>
    <row r="5348" spans="1:1" x14ac:dyDescent="0.25">
      <c r="A5348" s="2"/>
    </row>
    <row r="5349" spans="1:1" x14ac:dyDescent="0.25">
      <c r="A5349" s="2"/>
    </row>
    <row r="5350" spans="1:1" x14ac:dyDescent="0.25">
      <c r="A5350" s="2"/>
    </row>
    <row r="5351" spans="1:1" x14ac:dyDescent="0.25">
      <c r="A5351" s="2"/>
    </row>
    <row r="5352" spans="1:1" x14ac:dyDescent="0.25">
      <c r="A5352" s="2"/>
    </row>
    <row r="5353" spans="1:1" x14ac:dyDescent="0.25">
      <c r="A5353" s="2"/>
    </row>
    <row r="5354" spans="1:1" x14ac:dyDescent="0.25">
      <c r="A5354" s="2"/>
    </row>
    <row r="5355" spans="1:1" x14ac:dyDescent="0.25">
      <c r="A5355" s="2"/>
    </row>
    <row r="5356" spans="1:1" x14ac:dyDescent="0.25">
      <c r="A5356" s="2"/>
    </row>
    <row r="5357" spans="1:1" x14ac:dyDescent="0.25">
      <c r="A5357" s="2"/>
    </row>
    <row r="5358" spans="1:1" x14ac:dyDescent="0.25">
      <c r="A5358" s="2"/>
    </row>
    <row r="5359" spans="1:1" x14ac:dyDescent="0.25">
      <c r="A5359" s="2"/>
    </row>
    <row r="5360" spans="1:1" x14ac:dyDescent="0.25">
      <c r="A5360" s="2"/>
    </row>
    <row r="5361" spans="1:1" x14ac:dyDescent="0.25">
      <c r="A5361" s="2"/>
    </row>
    <row r="5362" spans="1:1" x14ac:dyDescent="0.25">
      <c r="A5362" s="2"/>
    </row>
    <row r="5363" spans="1:1" x14ac:dyDescent="0.25">
      <c r="A5363" s="2"/>
    </row>
    <row r="5364" spans="1:1" x14ac:dyDescent="0.25">
      <c r="A5364" s="2"/>
    </row>
    <row r="5365" spans="1:1" x14ac:dyDescent="0.25">
      <c r="A5365" s="2"/>
    </row>
    <row r="5366" spans="1:1" x14ac:dyDescent="0.25">
      <c r="A5366" s="2"/>
    </row>
    <row r="5367" spans="1:1" x14ac:dyDescent="0.25">
      <c r="A5367" s="2"/>
    </row>
    <row r="5368" spans="1:1" x14ac:dyDescent="0.25">
      <c r="A5368" s="2"/>
    </row>
    <row r="5369" spans="1:1" x14ac:dyDescent="0.25">
      <c r="A5369" s="2"/>
    </row>
    <row r="5370" spans="1:1" x14ac:dyDescent="0.25">
      <c r="A5370" s="2"/>
    </row>
    <row r="5371" spans="1:1" x14ac:dyDescent="0.25">
      <c r="A5371" s="2"/>
    </row>
    <row r="5372" spans="1:1" x14ac:dyDescent="0.25">
      <c r="A5372" s="2"/>
    </row>
    <row r="5373" spans="1:1" x14ac:dyDescent="0.25">
      <c r="A5373" s="2"/>
    </row>
    <row r="5374" spans="1:1" x14ac:dyDescent="0.25">
      <c r="A5374" s="2"/>
    </row>
    <row r="5375" spans="1:1" x14ac:dyDescent="0.25">
      <c r="A5375" s="2"/>
    </row>
    <row r="5376" spans="1:1" x14ac:dyDescent="0.25">
      <c r="A5376" s="2"/>
    </row>
    <row r="5377" spans="1:1" x14ac:dyDescent="0.25">
      <c r="A5377" s="2"/>
    </row>
    <row r="5378" spans="1:1" x14ac:dyDescent="0.25">
      <c r="A5378" s="2"/>
    </row>
    <row r="5379" spans="1:1" x14ac:dyDescent="0.25">
      <c r="A5379" s="2"/>
    </row>
    <row r="5380" spans="1:1" x14ac:dyDescent="0.25">
      <c r="A5380" s="2"/>
    </row>
    <row r="5381" spans="1:1" x14ac:dyDescent="0.25">
      <c r="A5381" s="2"/>
    </row>
    <row r="5382" spans="1:1" x14ac:dyDescent="0.25">
      <c r="A5382" s="2"/>
    </row>
    <row r="5383" spans="1:1" x14ac:dyDescent="0.25">
      <c r="A5383" s="2"/>
    </row>
    <row r="5384" spans="1:1" x14ac:dyDescent="0.25">
      <c r="A5384" s="2"/>
    </row>
    <row r="5385" spans="1:1" x14ac:dyDescent="0.25">
      <c r="A5385" s="2"/>
    </row>
    <row r="5386" spans="1:1" x14ac:dyDescent="0.25">
      <c r="A5386" s="2"/>
    </row>
    <row r="5387" spans="1:1" x14ac:dyDescent="0.25">
      <c r="A5387" s="2"/>
    </row>
    <row r="5388" spans="1:1" x14ac:dyDescent="0.25">
      <c r="A5388" s="2"/>
    </row>
    <row r="5389" spans="1:1" x14ac:dyDescent="0.25">
      <c r="A5389" s="2"/>
    </row>
    <row r="5390" spans="1:1" x14ac:dyDescent="0.25">
      <c r="A5390" s="2"/>
    </row>
    <row r="5391" spans="1:1" x14ac:dyDescent="0.25">
      <c r="A5391" s="2"/>
    </row>
    <row r="5392" spans="1:1" x14ac:dyDescent="0.25">
      <c r="A5392" s="2"/>
    </row>
    <row r="5393" spans="1:1" x14ac:dyDescent="0.25">
      <c r="A5393" s="2"/>
    </row>
    <row r="5394" spans="1:1" x14ac:dyDescent="0.25">
      <c r="A5394" s="2"/>
    </row>
    <row r="5395" spans="1:1" x14ac:dyDescent="0.25">
      <c r="A5395" s="2"/>
    </row>
    <row r="5396" spans="1:1" x14ac:dyDescent="0.25">
      <c r="A5396" s="2"/>
    </row>
    <row r="5397" spans="1:1" x14ac:dyDescent="0.25">
      <c r="A5397" s="2"/>
    </row>
    <row r="5398" spans="1:1" x14ac:dyDescent="0.25">
      <c r="A5398" s="2"/>
    </row>
    <row r="5399" spans="1:1" x14ac:dyDescent="0.25">
      <c r="A5399" s="2"/>
    </row>
    <row r="5400" spans="1:1" x14ac:dyDescent="0.25">
      <c r="A5400" s="2"/>
    </row>
    <row r="5401" spans="1:1" x14ac:dyDescent="0.25">
      <c r="A5401" s="2"/>
    </row>
    <row r="5402" spans="1:1" x14ac:dyDescent="0.25">
      <c r="A5402" s="2"/>
    </row>
    <row r="5403" spans="1:1" x14ac:dyDescent="0.25">
      <c r="A5403" s="2"/>
    </row>
    <row r="5404" spans="1:1" x14ac:dyDescent="0.25">
      <c r="A5404" s="2"/>
    </row>
    <row r="5405" spans="1:1" x14ac:dyDescent="0.25">
      <c r="A5405" s="2"/>
    </row>
    <row r="5406" spans="1:1" x14ac:dyDescent="0.25">
      <c r="A5406" s="2"/>
    </row>
    <row r="5407" spans="1:1" x14ac:dyDescent="0.25">
      <c r="A5407" s="2"/>
    </row>
    <row r="5408" spans="1:1" x14ac:dyDescent="0.25">
      <c r="A5408" s="2"/>
    </row>
    <row r="5409" spans="1:1" x14ac:dyDescent="0.25">
      <c r="A5409" s="2"/>
    </row>
    <row r="5410" spans="1:1" x14ac:dyDescent="0.25">
      <c r="A5410" s="2"/>
    </row>
    <row r="5411" spans="1:1" x14ac:dyDescent="0.25">
      <c r="A5411" s="2"/>
    </row>
    <row r="5412" spans="1:1" x14ac:dyDescent="0.25">
      <c r="A5412" s="2"/>
    </row>
    <row r="5413" spans="1:1" x14ac:dyDescent="0.25">
      <c r="A5413" s="2"/>
    </row>
    <row r="5414" spans="1:1" x14ac:dyDescent="0.25">
      <c r="A5414" s="2"/>
    </row>
    <row r="5415" spans="1:1" x14ac:dyDescent="0.25">
      <c r="A5415" s="2"/>
    </row>
    <row r="5416" spans="1:1" x14ac:dyDescent="0.25">
      <c r="A5416" s="2"/>
    </row>
    <row r="5417" spans="1:1" x14ac:dyDescent="0.25">
      <c r="A5417" s="2"/>
    </row>
    <row r="5418" spans="1:1" x14ac:dyDescent="0.25">
      <c r="A5418" s="2"/>
    </row>
    <row r="5419" spans="1:1" x14ac:dyDescent="0.25">
      <c r="A5419" s="2"/>
    </row>
    <row r="5420" spans="1:1" x14ac:dyDescent="0.25">
      <c r="A5420" s="2"/>
    </row>
    <row r="5421" spans="1:1" x14ac:dyDescent="0.25">
      <c r="A5421" s="2"/>
    </row>
    <row r="5422" spans="1:1" x14ac:dyDescent="0.25">
      <c r="A5422" s="2"/>
    </row>
    <row r="5423" spans="1:1" x14ac:dyDescent="0.25">
      <c r="A5423" s="2"/>
    </row>
    <row r="5424" spans="1:1" x14ac:dyDescent="0.25">
      <c r="A5424" s="2"/>
    </row>
    <row r="5425" spans="1:1" x14ac:dyDescent="0.25">
      <c r="A5425" s="2"/>
    </row>
    <row r="5426" spans="1:1" x14ac:dyDescent="0.25">
      <c r="A5426" s="2"/>
    </row>
    <row r="5427" spans="1:1" x14ac:dyDescent="0.25">
      <c r="A5427" s="2"/>
    </row>
    <row r="5428" spans="1:1" x14ac:dyDescent="0.25">
      <c r="A5428" s="2"/>
    </row>
    <row r="5429" spans="1:1" x14ac:dyDescent="0.25">
      <c r="A5429" s="2"/>
    </row>
    <row r="5430" spans="1:1" x14ac:dyDescent="0.25">
      <c r="A5430" s="2"/>
    </row>
    <row r="5431" spans="1:1" x14ac:dyDescent="0.25">
      <c r="A5431" s="2"/>
    </row>
    <row r="5432" spans="1:1" x14ac:dyDescent="0.25">
      <c r="A5432" s="2"/>
    </row>
    <row r="5433" spans="1:1" x14ac:dyDescent="0.25">
      <c r="A5433" s="2"/>
    </row>
    <row r="5434" spans="1:1" x14ac:dyDescent="0.25">
      <c r="A5434" s="2"/>
    </row>
    <row r="5435" spans="1:1" x14ac:dyDescent="0.25">
      <c r="A5435" s="2"/>
    </row>
    <row r="5436" spans="1:1" x14ac:dyDescent="0.25">
      <c r="A5436" s="2"/>
    </row>
    <row r="5437" spans="1:1" x14ac:dyDescent="0.25">
      <c r="A5437" s="2"/>
    </row>
    <row r="5438" spans="1:1" x14ac:dyDescent="0.25">
      <c r="A5438" s="2"/>
    </row>
    <row r="5439" spans="1:1" x14ac:dyDescent="0.25">
      <c r="A5439" s="2"/>
    </row>
    <row r="5440" spans="1:1" x14ac:dyDescent="0.25">
      <c r="A5440" s="2"/>
    </row>
    <row r="5441" spans="1:1" x14ac:dyDescent="0.25">
      <c r="A5441" s="2"/>
    </row>
    <row r="5442" spans="1:1" x14ac:dyDescent="0.25">
      <c r="A5442" s="2"/>
    </row>
    <row r="5443" spans="1:1" x14ac:dyDescent="0.25">
      <c r="A5443" s="2"/>
    </row>
    <row r="5444" spans="1:1" x14ac:dyDescent="0.25">
      <c r="A5444" s="2"/>
    </row>
    <row r="5445" spans="1:1" x14ac:dyDescent="0.25">
      <c r="A5445" s="2"/>
    </row>
    <row r="5446" spans="1:1" x14ac:dyDescent="0.25">
      <c r="A5446" s="2"/>
    </row>
    <row r="5447" spans="1:1" x14ac:dyDescent="0.25">
      <c r="A5447" s="2"/>
    </row>
    <row r="5448" spans="1:1" x14ac:dyDescent="0.25">
      <c r="A5448" s="2"/>
    </row>
    <row r="5449" spans="1:1" x14ac:dyDescent="0.25">
      <c r="A5449" s="2"/>
    </row>
    <row r="5450" spans="1:1" x14ac:dyDescent="0.25">
      <c r="A5450" s="2"/>
    </row>
    <row r="5451" spans="1:1" x14ac:dyDescent="0.25">
      <c r="A5451" s="2"/>
    </row>
    <row r="5452" spans="1:1" x14ac:dyDescent="0.25">
      <c r="A5452" s="2"/>
    </row>
    <row r="5453" spans="1:1" x14ac:dyDescent="0.25">
      <c r="A5453" s="2"/>
    </row>
    <row r="5454" spans="1:1" x14ac:dyDescent="0.25">
      <c r="A5454" s="2"/>
    </row>
    <row r="5455" spans="1:1" x14ac:dyDescent="0.25">
      <c r="A5455" s="2"/>
    </row>
    <row r="5456" spans="1:1" x14ac:dyDescent="0.25">
      <c r="A5456" s="2"/>
    </row>
    <row r="5457" spans="1:1" x14ac:dyDescent="0.25">
      <c r="A5457" s="2"/>
    </row>
    <row r="5458" spans="1:1" x14ac:dyDescent="0.25">
      <c r="A5458" s="2"/>
    </row>
    <row r="5459" spans="1:1" x14ac:dyDescent="0.25">
      <c r="A5459" s="2"/>
    </row>
    <row r="5460" spans="1:1" x14ac:dyDescent="0.25">
      <c r="A5460" s="2"/>
    </row>
    <row r="5461" spans="1:1" x14ac:dyDescent="0.25">
      <c r="A5461" s="2"/>
    </row>
    <row r="5462" spans="1:1" x14ac:dyDescent="0.25">
      <c r="A5462" s="2"/>
    </row>
    <row r="5463" spans="1:1" x14ac:dyDescent="0.25">
      <c r="A5463" s="2"/>
    </row>
    <row r="5464" spans="1:1" x14ac:dyDescent="0.25">
      <c r="A5464" s="2"/>
    </row>
    <row r="5465" spans="1:1" x14ac:dyDescent="0.25">
      <c r="A5465" s="2"/>
    </row>
    <row r="5466" spans="1:1" x14ac:dyDescent="0.25">
      <c r="A5466" s="2"/>
    </row>
    <row r="5467" spans="1:1" x14ac:dyDescent="0.25">
      <c r="A5467" s="2"/>
    </row>
    <row r="5468" spans="1:1" x14ac:dyDescent="0.25">
      <c r="A5468" s="2"/>
    </row>
    <row r="5469" spans="1:1" x14ac:dyDescent="0.25">
      <c r="A5469" s="2"/>
    </row>
    <row r="5470" spans="1:1" x14ac:dyDescent="0.25">
      <c r="A5470" s="2"/>
    </row>
    <row r="5471" spans="1:1" x14ac:dyDescent="0.25">
      <c r="A5471" s="2"/>
    </row>
    <row r="5472" spans="1:1" x14ac:dyDescent="0.25">
      <c r="A5472" s="2"/>
    </row>
    <row r="5473" spans="1:1" x14ac:dyDescent="0.25">
      <c r="A5473" s="2"/>
    </row>
    <row r="5474" spans="1:1" x14ac:dyDescent="0.25">
      <c r="A5474" s="2"/>
    </row>
    <row r="5475" spans="1:1" x14ac:dyDescent="0.25">
      <c r="A5475" s="2"/>
    </row>
    <row r="5476" spans="1:1" x14ac:dyDescent="0.25">
      <c r="A5476" s="2"/>
    </row>
    <row r="5477" spans="1:1" x14ac:dyDescent="0.25">
      <c r="A5477" s="2"/>
    </row>
    <row r="5478" spans="1:1" x14ac:dyDescent="0.25">
      <c r="A5478" s="2"/>
    </row>
    <row r="5479" spans="1:1" x14ac:dyDescent="0.25">
      <c r="A5479" s="2"/>
    </row>
    <row r="5480" spans="1:1" x14ac:dyDescent="0.25">
      <c r="A5480" s="2"/>
    </row>
    <row r="5481" spans="1:1" x14ac:dyDescent="0.25">
      <c r="A5481" s="2"/>
    </row>
    <row r="5482" spans="1:1" x14ac:dyDescent="0.25">
      <c r="A5482" s="2"/>
    </row>
    <row r="5483" spans="1:1" x14ac:dyDescent="0.25">
      <c r="A5483" s="2"/>
    </row>
    <row r="5484" spans="1:1" x14ac:dyDescent="0.25">
      <c r="A5484" s="2"/>
    </row>
    <row r="5485" spans="1:1" x14ac:dyDescent="0.25">
      <c r="A5485" s="2"/>
    </row>
    <row r="5486" spans="1:1" x14ac:dyDescent="0.25">
      <c r="A5486" s="2"/>
    </row>
    <row r="5487" spans="1:1" x14ac:dyDescent="0.25">
      <c r="A5487" s="2"/>
    </row>
    <row r="5488" spans="1:1" x14ac:dyDescent="0.25">
      <c r="A5488" s="2"/>
    </row>
    <row r="5489" spans="1:1" x14ac:dyDescent="0.25">
      <c r="A5489" s="2"/>
    </row>
    <row r="5490" spans="1:1" x14ac:dyDescent="0.25">
      <c r="A5490" s="2"/>
    </row>
    <row r="5491" spans="1:1" x14ac:dyDescent="0.25">
      <c r="A5491" s="2"/>
    </row>
    <row r="5492" spans="1:1" x14ac:dyDescent="0.25">
      <c r="A5492" s="2"/>
    </row>
    <row r="5493" spans="1:1" x14ac:dyDescent="0.25">
      <c r="A5493" s="2"/>
    </row>
    <row r="5494" spans="1:1" x14ac:dyDescent="0.25">
      <c r="A5494" s="2"/>
    </row>
    <row r="5495" spans="1:1" x14ac:dyDescent="0.25">
      <c r="A5495" s="2"/>
    </row>
    <row r="5496" spans="1:1" x14ac:dyDescent="0.25">
      <c r="A5496" s="2"/>
    </row>
    <row r="5497" spans="1:1" x14ac:dyDescent="0.25">
      <c r="A5497" s="2"/>
    </row>
    <row r="5498" spans="1:1" x14ac:dyDescent="0.25">
      <c r="A5498" s="2"/>
    </row>
    <row r="5499" spans="1:1" x14ac:dyDescent="0.25">
      <c r="A5499" s="2"/>
    </row>
    <row r="5500" spans="1:1" x14ac:dyDescent="0.25">
      <c r="A5500" s="2"/>
    </row>
    <row r="5501" spans="1:1" x14ac:dyDescent="0.25">
      <c r="A5501" s="2"/>
    </row>
    <row r="5502" spans="1:1" x14ac:dyDescent="0.25">
      <c r="A5502" s="2"/>
    </row>
    <row r="5503" spans="1:1" x14ac:dyDescent="0.25">
      <c r="A5503" s="2"/>
    </row>
    <row r="5504" spans="1:1" x14ac:dyDescent="0.25">
      <c r="A5504" s="2"/>
    </row>
    <row r="5505" spans="1:1" x14ac:dyDescent="0.25">
      <c r="A5505" s="2"/>
    </row>
    <row r="5506" spans="1:1" x14ac:dyDescent="0.25">
      <c r="A5506" s="2"/>
    </row>
    <row r="5507" spans="1:1" x14ac:dyDescent="0.25">
      <c r="A5507" s="2"/>
    </row>
    <row r="5508" spans="1:1" x14ac:dyDescent="0.25">
      <c r="A5508" s="2"/>
    </row>
    <row r="5509" spans="1:1" x14ac:dyDescent="0.25">
      <c r="A5509" s="2"/>
    </row>
    <row r="5510" spans="1:1" x14ac:dyDescent="0.25">
      <c r="A5510" s="2"/>
    </row>
    <row r="5511" spans="1:1" x14ac:dyDescent="0.25">
      <c r="A5511" s="2"/>
    </row>
    <row r="5512" spans="1:1" x14ac:dyDescent="0.25">
      <c r="A5512" s="2"/>
    </row>
    <row r="5513" spans="1:1" x14ac:dyDescent="0.25">
      <c r="A5513" s="2"/>
    </row>
    <row r="5514" spans="1:1" x14ac:dyDescent="0.25">
      <c r="A5514" s="2"/>
    </row>
    <row r="5515" spans="1:1" x14ac:dyDescent="0.25">
      <c r="A5515" s="2"/>
    </row>
    <row r="5516" spans="1:1" x14ac:dyDescent="0.25">
      <c r="A5516" s="2"/>
    </row>
    <row r="5517" spans="1:1" x14ac:dyDescent="0.25">
      <c r="A5517" s="2"/>
    </row>
    <row r="5518" spans="1:1" x14ac:dyDescent="0.25">
      <c r="A5518" s="2"/>
    </row>
    <row r="5519" spans="1:1" x14ac:dyDescent="0.25">
      <c r="A5519" s="2"/>
    </row>
    <row r="5520" spans="1:1" x14ac:dyDescent="0.25">
      <c r="A5520" s="2"/>
    </row>
    <row r="5521" spans="1:1" x14ac:dyDescent="0.25">
      <c r="A5521" s="2"/>
    </row>
    <row r="5522" spans="1:1" x14ac:dyDescent="0.25">
      <c r="A5522" s="2"/>
    </row>
    <row r="5523" spans="1:1" x14ac:dyDescent="0.25">
      <c r="A5523" s="2"/>
    </row>
    <row r="5524" spans="1:1" x14ac:dyDescent="0.25">
      <c r="A5524" s="2"/>
    </row>
    <row r="5525" spans="1:1" x14ac:dyDescent="0.25">
      <c r="A5525" s="2"/>
    </row>
    <row r="5526" spans="1:1" x14ac:dyDescent="0.25">
      <c r="A5526" s="2"/>
    </row>
    <row r="5527" spans="1:1" x14ac:dyDescent="0.25">
      <c r="A5527" s="2"/>
    </row>
    <row r="5528" spans="1:1" x14ac:dyDescent="0.25">
      <c r="A5528" s="2"/>
    </row>
    <row r="5529" spans="1:1" x14ac:dyDescent="0.25">
      <c r="A5529" s="2"/>
    </row>
    <row r="5530" spans="1:1" x14ac:dyDescent="0.25">
      <c r="A5530" s="2"/>
    </row>
    <row r="5531" spans="1:1" x14ac:dyDescent="0.25">
      <c r="A5531" s="2"/>
    </row>
    <row r="5532" spans="1:1" x14ac:dyDescent="0.25">
      <c r="A5532" s="2"/>
    </row>
    <row r="5533" spans="1:1" x14ac:dyDescent="0.25">
      <c r="A5533" s="2"/>
    </row>
    <row r="5534" spans="1:1" x14ac:dyDescent="0.25">
      <c r="A5534" s="2"/>
    </row>
    <row r="5535" spans="1:1" x14ac:dyDescent="0.25">
      <c r="A5535" s="2"/>
    </row>
    <row r="5536" spans="1:1" x14ac:dyDescent="0.25">
      <c r="A5536" s="2"/>
    </row>
    <row r="5537" spans="1:1" x14ac:dyDescent="0.25">
      <c r="A5537" s="2"/>
    </row>
    <row r="5538" spans="1:1" x14ac:dyDescent="0.25">
      <c r="A5538" s="2"/>
    </row>
    <row r="5539" spans="1:1" x14ac:dyDescent="0.25">
      <c r="A5539" s="2"/>
    </row>
    <row r="5540" spans="1:1" x14ac:dyDescent="0.25">
      <c r="A5540" s="2"/>
    </row>
    <row r="5541" spans="1:1" x14ac:dyDescent="0.25">
      <c r="A5541" s="2"/>
    </row>
    <row r="5542" spans="1:1" x14ac:dyDescent="0.25">
      <c r="A5542" s="2"/>
    </row>
    <row r="5543" spans="1:1" x14ac:dyDescent="0.25">
      <c r="A5543" s="2"/>
    </row>
    <row r="5544" spans="1:1" x14ac:dyDescent="0.25">
      <c r="A5544" s="2"/>
    </row>
    <row r="5545" spans="1:1" x14ac:dyDescent="0.25">
      <c r="A5545" s="2"/>
    </row>
    <row r="5546" spans="1:1" x14ac:dyDescent="0.25">
      <c r="A5546" s="2"/>
    </row>
    <row r="5547" spans="1:1" x14ac:dyDescent="0.25">
      <c r="A5547" s="2"/>
    </row>
    <row r="5548" spans="1:1" x14ac:dyDescent="0.25">
      <c r="A5548" s="2"/>
    </row>
    <row r="5549" spans="1:1" x14ac:dyDescent="0.25">
      <c r="A5549" s="2"/>
    </row>
    <row r="5550" spans="1:1" x14ac:dyDescent="0.25">
      <c r="A5550" s="2"/>
    </row>
    <row r="5551" spans="1:1" x14ac:dyDescent="0.25">
      <c r="A5551" s="2"/>
    </row>
    <row r="5552" spans="1:1" x14ac:dyDescent="0.25">
      <c r="A5552" s="2"/>
    </row>
    <row r="5553" spans="1:1" x14ac:dyDescent="0.25">
      <c r="A5553" s="2"/>
    </row>
    <row r="5554" spans="1:1" x14ac:dyDescent="0.25">
      <c r="A5554" s="2"/>
    </row>
    <row r="5555" spans="1:1" x14ac:dyDescent="0.25">
      <c r="A5555" s="2"/>
    </row>
    <row r="5556" spans="1:1" x14ac:dyDescent="0.25">
      <c r="A5556" s="2"/>
    </row>
    <row r="5557" spans="1:1" x14ac:dyDescent="0.25">
      <c r="A5557" s="2"/>
    </row>
    <row r="5558" spans="1:1" x14ac:dyDescent="0.25">
      <c r="A5558" s="2"/>
    </row>
    <row r="5559" spans="1:1" x14ac:dyDescent="0.25">
      <c r="A5559" s="2"/>
    </row>
    <row r="5560" spans="1:1" x14ac:dyDescent="0.25">
      <c r="A5560" s="2"/>
    </row>
    <row r="5561" spans="1:1" x14ac:dyDescent="0.25">
      <c r="A5561" s="2"/>
    </row>
    <row r="5562" spans="1:1" x14ac:dyDescent="0.25">
      <c r="A5562" s="2"/>
    </row>
    <row r="5563" spans="1:1" x14ac:dyDescent="0.25">
      <c r="A5563" s="2"/>
    </row>
    <row r="5564" spans="1:1" x14ac:dyDescent="0.25">
      <c r="A5564" s="2"/>
    </row>
    <row r="5565" spans="1:1" x14ac:dyDescent="0.25">
      <c r="A5565" s="2"/>
    </row>
    <row r="5566" spans="1:1" x14ac:dyDescent="0.25">
      <c r="A5566" s="2"/>
    </row>
    <row r="5567" spans="1:1" x14ac:dyDescent="0.25">
      <c r="A5567" s="2"/>
    </row>
    <row r="5568" spans="1:1" x14ac:dyDescent="0.25">
      <c r="A5568" s="2"/>
    </row>
    <row r="5569" spans="1:1" x14ac:dyDescent="0.25">
      <c r="A5569" s="2"/>
    </row>
    <row r="5570" spans="1:1" x14ac:dyDescent="0.25">
      <c r="A5570" s="2"/>
    </row>
    <row r="5571" spans="1:1" x14ac:dyDescent="0.25">
      <c r="A5571" s="2"/>
    </row>
    <row r="5572" spans="1:1" x14ac:dyDescent="0.25">
      <c r="A5572" s="2"/>
    </row>
    <row r="5573" spans="1:1" x14ac:dyDescent="0.25">
      <c r="A5573" s="2"/>
    </row>
    <row r="5574" spans="1:1" x14ac:dyDescent="0.25">
      <c r="A5574" s="2"/>
    </row>
    <row r="5575" spans="1:1" x14ac:dyDescent="0.25">
      <c r="A5575" s="2"/>
    </row>
    <row r="5576" spans="1:1" x14ac:dyDescent="0.25">
      <c r="A5576" s="2"/>
    </row>
    <row r="5577" spans="1:1" x14ac:dyDescent="0.25">
      <c r="A5577" s="2"/>
    </row>
    <row r="5578" spans="1:1" x14ac:dyDescent="0.25">
      <c r="A5578" s="2"/>
    </row>
    <row r="5579" spans="1:1" x14ac:dyDescent="0.25">
      <c r="A5579" s="2"/>
    </row>
    <row r="5580" spans="1:1" x14ac:dyDescent="0.25">
      <c r="A5580" s="2"/>
    </row>
    <row r="5581" spans="1:1" x14ac:dyDescent="0.25">
      <c r="A5581" s="2"/>
    </row>
    <row r="5582" spans="1:1" x14ac:dyDescent="0.25">
      <c r="A5582" s="2"/>
    </row>
    <row r="5583" spans="1:1" x14ac:dyDescent="0.25">
      <c r="A5583" s="2"/>
    </row>
    <row r="5584" spans="1:1" x14ac:dyDescent="0.25">
      <c r="A5584" s="2"/>
    </row>
    <row r="5585" spans="1:1" x14ac:dyDescent="0.25">
      <c r="A5585" s="2"/>
    </row>
    <row r="5586" spans="1:1" x14ac:dyDescent="0.25">
      <c r="A5586" s="2"/>
    </row>
    <row r="5587" spans="1:1" x14ac:dyDescent="0.25">
      <c r="A5587" s="2"/>
    </row>
    <row r="5588" spans="1:1" x14ac:dyDescent="0.25">
      <c r="A5588" s="2"/>
    </row>
    <row r="5589" spans="1:1" x14ac:dyDescent="0.25">
      <c r="A5589" s="2"/>
    </row>
    <row r="5590" spans="1:1" x14ac:dyDescent="0.25">
      <c r="A5590" s="2"/>
    </row>
    <row r="5591" spans="1:1" x14ac:dyDescent="0.25">
      <c r="A5591" s="2"/>
    </row>
    <row r="5592" spans="1:1" x14ac:dyDescent="0.25">
      <c r="A5592" s="2"/>
    </row>
    <row r="5593" spans="1:1" x14ac:dyDescent="0.25">
      <c r="A5593" s="2"/>
    </row>
    <row r="5594" spans="1:1" x14ac:dyDescent="0.25">
      <c r="A5594" s="2"/>
    </row>
    <row r="5595" spans="1:1" x14ac:dyDescent="0.25">
      <c r="A5595" s="2"/>
    </row>
    <row r="5596" spans="1:1" x14ac:dyDescent="0.25">
      <c r="A5596" s="2"/>
    </row>
    <row r="5597" spans="1:1" x14ac:dyDescent="0.25">
      <c r="A5597" s="2"/>
    </row>
    <row r="5598" spans="1:1" x14ac:dyDescent="0.25">
      <c r="A5598" s="2"/>
    </row>
    <row r="5599" spans="1:1" x14ac:dyDescent="0.25">
      <c r="A5599" s="2"/>
    </row>
    <row r="5600" spans="1:1" x14ac:dyDescent="0.25">
      <c r="A5600" s="2"/>
    </row>
    <row r="5601" spans="1:1" x14ac:dyDescent="0.25">
      <c r="A5601" s="2"/>
    </row>
    <row r="5602" spans="1:1" x14ac:dyDescent="0.25">
      <c r="A5602" s="2"/>
    </row>
    <row r="5603" spans="1:1" x14ac:dyDescent="0.25">
      <c r="A5603" s="2"/>
    </row>
    <row r="5604" spans="1:1" x14ac:dyDescent="0.25">
      <c r="A5604" s="2"/>
    </row>
    <row r="5605" spans="1:1" x14ac:dyDescent="0.25">
      <c r="A5605" s="2"/>
    </row>
    <row r="5606" spans="1:1" x14ac:dyDescent="0.25">
      <c r="A5606" s="2"/>
    </row>
    <row r="5607" spans="1:1" x14ac:dyDescent="0.25">
      <c r="A5607" s="2"/>
    </row>
    <row r="5608" spans="1:1" x14ac:dyDescent="0.25">
      <c r="A5608" s="2"/>
    </row>
    <row r="5609" spans="1:1" x14ac:dyDescent="0.25">
      <c r="A5609" s="2"/>
    </row>
    <row r="5610" spans="1:1" x14ac:dyDescent="0.25">
      <c r="A5610" s="2"/>
    </row>
    <row r="5611" spans="1:1" x14ac:dyDescent="0.25">
      <c r="A5611" s="2"/>
    </row>
    <row r="5612" spans="1:1" x14ac:dyDescent="0.25">
      <c r="A5612" s="2"/>
    </row>
    <row r="5613" spans="1:1" x14ac:dyDescent="0.25">
      <c r="A5613" s="2"/>
    </row>
    <row r="5614" spans="1:1" x14ac:dyDescent="0.25">
      <c r="A5614" s="2"/>
    </row>
    <row r="5615" spans="1:1" x14ac:dyDescent="0.25">
      <c r="A5615" s="2"/>
    </row>
    <row r="5616" spans="1:1" x14ac:dyDescent="0.25">
      <c r="A5616" s="2"/>
    </row>
    <row r="5617" spans="1:1" x14ac:dyDescent="0.25">
      <c r="A5617" s="2"/>
    </row>
    <row r="5618" spans="1:1" x14ac:dyDescent="0.25">
      <c r="A5618" s="2"/>
    </row>
    <row r="5619" spans="1:1" x14ac:dyDescent="0.25">
      <c r="A5619" s="2"/>
    </row>
    <row r="5620" spans="1:1" x14ac:dyDescent="0.25">
      <c r="A5620" s="2"/>
    </row>
    <row r="5621" spans="1:1" x14ac:dyDescent="0.25">
      <c r="A5621" s="2"/>
    </row>
    <row r="5622" spans="1:1" x14ac:dyDescent="0.25">
      <c r="A5622" s="2"/>
    </row>
    <row r="5623" spans="1:1" x14ac:dyDescent="0.25">
      <c r="A5623" s="2"/>
    </row>
    <row r="5624" spans="1:1" x14ac:dyDescent="0.25">
      <c r="A5624" s="2"/>
    </row>
    <row r="5625" spans="1:1" x14ac:dyDescent="0.25">
      <c r="A5625" s="2"/>
    </row>
    <row r="5626" spans="1:1" x14ac:dyDescent="0.25">
      <c r="A5626" s="2"/>
    </row>
    <row r="5627" spans="1:1" x14ac:dyDescent="0.25">
      <c r="A5627" s="2"/>
    </row>
    <row r="5628" spans="1:1" x14ac:dyDescent="0.25">
      <c r="A5628" s="2"/>
    </row>
    <row r="5629" spans="1:1" x14ac:dyDescent="0.25">
      <c r="A5629" s="2"/>
    </row>
    <row r="5630" spans="1:1" x14ac:dyDescent="0.25">
      <c r="A5630" s="2"/>
    </row>
    <row r="5631" spans="1:1" x14ac:dyDescent="0.25">
      <c r="A5631" s="2"/>
    </row>
    <row r="5632" spans="1:1" x14ac:dyDescent="0.25">
      <c r="A5632" s="2"/>
    </row>
    <row r="5633" spans="1:1" x14ac:dyDescent="0.25">
      <c r="A5633" s="2"/>
    </row>
    <row r="5634" spans="1:1" x14ac:dyDescent="0.25">
      <c r="A5634" s="2"/>
    </row>
    <row r="5635" spans="1:1" x14ac:dyDescent="0.25">
      <c r="A5635" s="2"/>
    </row>
    <row r="5636" spans="1:1" x14ac:dyDescent="0.25">
      <c r="A5636" s="2"/>
    </row>
    <row r="5637" spans="1:1" x14ac:dyDescent="0.25">
      <c r="A5637" s="2"/>
    </row>
    <row r="5638" spans="1:1" x14ac:dyDescent="0.25">
      <c r="A5638" s="2"/>
    </row>
    <row r="5639" spans="1:1" x14ac:dyDescent="0.25">
      <c r="A5639" s="2"/>
    </row>
    <row r="5640" spans="1:1" x14ac:dyDescent="0.25">
      <c r="A5640" s="2"/>
    </row>
    <row r="5641" spans="1:1" x14ac:dyDescent="0.25">
      <c r="A5641" s="2"/>
    </row>
    <row r="5642" spans="1:1" x14ac:dyDescent="0.25">
      <c r="A5642" s="2"/>
    </row>
    <row r="5643" spans="1:1" x14ac:dyDescent="0.25">
      <c r="A5643" s="2"/>
    </row>
    <row r="5644" spans="1:1" x14ac:dyDescent="0.25">
      <c r="A5644" s="2"/>
    </row>
    <row r="5645" spans="1:1" x14ac:dyDescent="0.25">
      <c r="A5645" s="2"/>
    </row>
    <row r="5646" spans="1:1" x14ac:dyDescent="0.25">
      <c r="A5646" s="2"/>
    </row>
    <row r="5647" spans="1:1" x14ac:dyDescent="0.25">
      <c r="A5647" s="2"/>
    </row>
    <row r="5648" spans="1:1" x14ac:dyDescent="0.25">
      <c r="A5648" s="2"/>
    </row>
    <row r="5649" spans="1:1" x14ac:dyDescent="0.25">
      <c r="A5649" s="2"/>
    </row>
    <row r="5650" spans="1:1" x14ac:dyDescent="0.25">
      <c r="A5650" s="2"/>
    </row>
    <row r="5651" spans="1:1" x14ac:dyDescent="0.25">
      <c r="A5651" s="2"/>
    </row>
    <row r="5652" spans="1:1" x14ac:dyDescent="0.25">
      <c r="A5652" s="2"/>
    </row>
    <row r="5653" spans="1:1" x14ac:dyDescent="0.25">
      <c r="A5653" s="2"/>
    </row>
    <row r="5654" spans="1:1" x14ac:dyDescent="0.25">
      <c r="A5654" s="2"/>
    </row>
    <row r="5655" spans="1:1" x14ac:dyDescent="0.25">
      <c r="A5655" s="2"/>
    </row>
    <row r="5656" spans="1:1" x14ac:dyDescent="0.25">
      <c r="A5656" s="2"/>
    </row>
    <row r="5657" spans="1:1" x14ac:dyDescent="0.25">
      <c r="A5657" s="2"/>
    </row>
    <row r="5658" spans="1:1" x14ac:dyDescent="0.25">
      <c r="A5658" s="2"/>
    </row>
    <row r="5659" spans="1:1" x14ac:dyDescent="0.25">
      <c r="A5659" s="2"/>
    </row>
    <row r="5660" spans="1:1" x14ac:dyDescent="0.25">
      <c r="A5660" s="2"/>
    </row>
    <row r="5661" spans="1:1" x14ac:dyDescent="0.25">
      <c r="A5661" s="2"/>
    </row>
    <row r="5662" spans="1:1" x14ac:dyDescent="0.25">
      <c r="A5662" s="2"/>
    </row>
    <row r="5663" spans="1:1" x14ac:dyDescent="0.25">
      <c r="A5663" s="2"/>
    </row>
    <row r="5664" spans="1:1" x14ac:dyDescent="0.25">
      <c r="A5664" s="2"/>
    </row>
    <row r="5665" spans="1:1" x14ac:dyDescent="0.25">
      <c r="A5665" s="2"/>
    </row>
    <row r="5666" spans="1:1" x14ac:dyDescent="0.25">
      <c r="A5666" s="2"/>
    </row>
    <row r="5667" spans="1:1" x14ac:dyDescent="0.25">
      <c r="A5667" s="2"/>
    </row>
    <row r="5668" spans="1:1" x14ac:dyDescent="0.25">
      <c r="A5668" s="2"/>
    </row>
    <row r="5669" spans="1:1" x14ac:dyDescent="0.25">
      <c r="A5669" s="2"/>
    </row>
    <row r="5670" spans="1:1" x14ac:dyDescent="0.25">
      <c r="A5670" s="2"/>
    </row>
    <row r="5671" spans="1:1" x14ac:dyDescent="0.25">
      <c r="A5671" s="2"/>
    </row>
    <row r="5672" spans="1:1" x14ac:dyDescent="0.25">
      <c r="A5672" s="2"/>
    </row>
    <row r="5673" spans="1:1" x14ac:dyDescent="0.25">
      <c r="A5673" s="2"/>
    </row>
    <row r="5674" spans="1:1" x14ac:dyDescent="0.25">
      <c r="A5674" s="2"/>
    </row>
    <row r="5675" spans="1:1" x14ac:dyDescent="0.25">
      <c r="A5675" s="2"/>
    </row>
    <row r="5676" spans="1:1" x14ac:dyDescent="0.25">
      <c r="A5676" s="2"/>
    </row>
    <row r="5677" spans="1:1" x14ac:dyDescent="0.25">
      <c r="A5677" s="2"/>
    </row>
    <row r="5678" spans="1:1" x14ac:dyDescent="0.25">
      <c r="A5678" s="2"/>
    </row>
    <row r="5679" spans="1:1" x14ac:dyDescent="0.25">
      <c r="A5679" s="2"/>
    </row>
    <row r="5680" spans="1:1" x14ac:dyDescent="0.25">
      <c r="A5680" s="2"/>
    </row>
    <row r="5681" spans="1:1" x14ac:dyDescent="0.25">
      <c r="A5681" s="2"/>
    </row>
    <row r="5682" spans="1:1" x14ac:dyDescent="0.25">
      <c r="A5682" s="2"/>
    </row>
    <row r="5683" spans="1:1" x14ac:dyDescent="0.25">
      <c r="A5683" s="2"/>
    </row>
    <row r="5684" spans="1:1" x14ac:dyDescent="0.25">
      <c r="A5684" s="2"/>
    </row>
    <row r="5685" spans="1:1" x14ac:dyDescent="0.25">
      <c r="A5685" s="2"/>
    </row>
    <row r="5686" spans="1:1" x14ac:dyDescent="0.25">
      <c r="A5686" s="2"/>
    </row>
    <row r="5687" spans="1:1" x14ac:dyDescent="0.25">
      <c r="A5687" s="2"/>
    </row>
    <row r="5688" spans="1:1" x14ac:dyDescent="0.25">
      <c r="A5688" s="2"/>
    </row>
    <row r="5689" spans="1:1" x14ac:dyDescent="0.25">
      <c r="A5689" s="2"/>
    </row>
    <row r="5690" spans="1:1" x14ac:dyDescent="0.25">
      <c r="A5690" s="2"/>
    </row>
    <row r="5691" spans="1:1" x14ac:dyDescent="0.25">
      <c r="A5691" s="2"/>
    </row>
    <row r="5692" spans="1:1" x14ac:dyDescent="0.25">
      <c r="A5692" s="2"/>
    </row>
    <row r="5693" spans="1:1" x14ac:dyDescent="0.25">
      <c r="A5693" s="2"/>
    </row>
    <row r="5694" spans="1:1" x14ac:dyDescent="0.25">
      <c r="A5694" s="2"/>
    </row>
    <row r="5695" spans="1:1" x14ac:dyDescent="0.25">
      <c r="A5695" s="2"/>
    </row>
    <row r="5696" spans="1:1" x14ac:dyDescent="0.25">
      <c r="A5696" s="2"/>
    </row>
    <row r="5697" spans="1:1" x14ac:dyDescent="0.25">
      <c r="A5697" s="2"/>
    </row>
    <row r="5698" spans="1:1" x14ac:dyDescent="0.25">
      <c r="A5698" s="2"/>
    </row>
    <row r="5699" spans="1:1" x14ac:dyDescent="0.25">
      <c r="A5699" s="2"/>
    </row>
    <row r="5700" spans="1:1" x14ac:dyDescent="0.25">
      <c r="A5700" s="2"/>
    </row>
    <row r="5701" spans="1:1" x14ac:dyDescent="0.25">
      <c r="A5701" s="2"/>
    </row>
    <row r="5702" spans="1:1" x14ac:dyDescent="0.25">
      <c r="A5702" s="2"/>
    </row>
    <row r="5703" spans="1:1" x14ac:dyDescent="0.25">
      <c r="A5703" s="2"/>
    </row>
    <row r="5704" spans="1:1" x14ac:dyDescent="0.25">
      <c r="A5704" s="2"/>
    </row>
    <row r="5705" spans="1:1" x14ac:dyDescent="0.25">
      <c r="A5705" s="2"/>
    </row>
    <row r="5706" spans="1:1" x14ac:dyDescent="0.25">
      <c r="A5706" s="2"/>
    </row>
    <row r="5707" spans="1:1" x14ac:dyDescent="0.25">
      <c r="A5707" s="2"/>
    </row>
    <row r="5708" spans="1:1" x14ac:dyDescent="0.25">
      <c r="A5708" s="2"/>
    </row>
    <row r="5709" spans="1:1" x14ac:dyDescent="0.25">
      <c r="A5709" s="2"/>
    </row>
    <row r="5710" spans="1:1" x14ac:dyDescent="0.25">
      <c r="A5710" s="2"/>
    </row>
    <row r="5711" spans="1:1" x14ac:dyDescent="0.25">
      <c r="A5711" s="2"/>
    </row>
    <row r="5712" spans="1:1" x14ac:dyDescent="0.25">
      <c r="A5712" s="2"/>
    </row>
    <row r="5713" spans="1:1" x14ac:dyDescent="0.25">
      <c r="A5713" s="2"/>
    </row>
    <row r="5714" spans="1:1" x14ac:dyDescent="0.25">
      <c r="A5714" s="2"/>
    </row>
    <row r="5715" spans="1:1" x14ac:dyDescent="0.25">
      <c r="A5715" s="2"/>
    </row>
    <row r="5716" spans="1:1" x14ac:dyDescent="0.25">
      <c r="A5716" s="2"/>
    </row>
    <row r="5717" spans="1:1" x14ac:dyDescent="0.25">
      <c r="A5717" s="2"/>
    </row>
    <row r="5718" spans="1:1" x14ac:dyDescent="0.25">
      <c r="A5718" s="2"/>
    </row>
    <row r="5719" spans="1:1" x14ac:dyDescent="0.25">
      <c r="A5719" s="2"/>
    </row>
    <row r="5720" spans="1:1" x14ac:dyDescent="0.25">
      <c r="A5720" s="2"/>
    </row>
    <row r="5721" spans="1:1" x14ac:dyDescent="0.25">
      <c r="A5721" s="2"/>
    </row>
    <row r="5722" spans="1:1" x14ac:dyDescent="0.25">
      <c r="A5722" s="2"/>
    </row>
    <row r="5723" spans="1:1" x14ac:dyDescent="0.25">
      <c r="A5723" s="2"/>
    </row>
    <row r="5724" spans="1:1" x14ac:dyDescent="0.25">
      <c r="A5724" s="2"/>
    </row>
    <row r="5725" spans="1:1" x14ac:dyDescent="0.25">
      <c r="A5725" s="2"/>
    </row>
    <row r="5726" spans="1:1" x14ac:dyDescent="0.25">
      <c r="A5726" s="2"/>
    </row>
    <row r="5727" spans="1:1" x14ac:dyDescent="0.25">
      <c r="A5727" s="2"/>
    </row>
    <row r="5728" spans="1:1" x14ac:dyDescent="0.25">
      <c r="A5728" s="2"/>
    </row>
    <row r="5729" spans="1:1" x14ac:dyDescent="0.25">
      <c r="A5729" s="2"/>
    </row>
    <row r="5730" spans="1:1" x14ac:dyDescent="0.25">
      <c r="A5730" s="2"/>
    </row>
    <row r="5731" spans="1:1" x14ac:dyDescent="0.25">
      <c r="A5731" s="2"/>
    </row>
    <row r="5732" spans="1:1" x14ac:dyDescent="0.25">
      <c r="A5732" s="2"/>
    </row>
    <row r="5733" spans="1:1" x14ac:dyDescent="0.25">
      <c r="A5733" s="2"/>
    </row>
    <row r="5734" spans="1:1" x14ac:dyDescent="0.25">
      <c r="A5734" s="2"/>
    </row>
    <row r="5735" spans="1:1" x14ac:dyDescent="0.25">
      <c r="A5735" s="2"/>
    </row>
    <row r="5736" spans="1:1" x14ac:dyDescent="0.25">
      <c r="A5736" s="2"/>
    </row>
    <row r="5737" spans="1:1" x14ac:dyDescent="0.25">
      <c r="A5737" s="2"/>
    </row>
    <row r="5738" spans="1:1" x14ac:dyDescent="0.25">
      <c r="A5738" s="2"/>
    </row>
    <row r="5739" spans="1:1" x14ac:dyDescent="0.25">
      <c r="A5739" s="2"/>
    </row>
    <row r="5740" spans="1:1" x14ac:dyDescent="0.25">
      <c r="A5740" s="2"/>
    </row>
    <row r="5741" spans="1:1" x14ac:dyDescent="0.25">
      <c r="A5741" s="2"/>
    </row>
    <row r="5742" spans="1:1" x14ac:dyDescent="0.25">
      <c r="A5742" s="2"/>
    </row>
    <row r="5743" spans="1:1" x14ac:dyDescent="0.25">
      <c r="A5743" s="2"/>
    </row>
    <row r="5744" spans="1:1" x14ac:dyDescent="0.25">
      <c r="A5744" s="2"/>
    </row>
    <row r="5745" spans="1:1" x14ac:dyDescent="0.25">
      <c r="A5745" s="2"/>
    </row>
    <row r="5746" spans="1:1" x14ac:dyDescent="0.25">
      <c r="A5746" s="2"/>
    </row>
    <row r="5747" spans="1:1" x14ac:dyDescent="0.25">
      <c r="A5747" s="2"/>
    </row>
    <row r="5748" spans="1:1" x14ac:dyDescent="0.25">
      <c r="A5748" s="2"/>
    </row>
    <row r="5749" spans="1:1" x14ac:dyDescent="0.25">
      <c r="A5749" s="2"/>
    </row>
    <row r="5750" spans="1:1" x14ac:dyDescent="0.25">
      <c r="A5750" s="2"/>
    </row>
    <row r="5751" spans="1:1" x14ac:dyDescent="0.25">
      <c r="A5751" s="2"/>
    </row>
    <row r="5752" spans="1:1" x14ac:dyDescent="0.25">
      <c r="A5752" s="2"/>
    </row>
    <row r="5753" spans="1:1" x14ac:dyDescent="0.25">
      <c r="A5753" s="2"/>
    </row>
    <row r="5754" spans="1:1" x14ac:dyDescent="0.25">
      <c r="A5754" s="2"/>
    </row>
    <row r="5755" spans="1:1" x14ac:dyDescent="0.25">
      <c r="A5755" s="2"/>
    </row>
    <row r="5756" spans="1:1" x14ac:dyDescent="0.25">
      <c r="A5756" s="2"/>
    </row>
    <row r="5757" spans="1:1" x14ac:dyDescent="0.25">
      <c r="A5757" s="2"/>
    </row>
    <row r="5758" spans="1:1" x14ac:dyDescent="0.25">
      <c r="A5758" s="2"/>
    </row>
    <row r="5759" spans="1:1" x14ac:dyDescent="0.25">
      <c r="A5759" s="2"/>
    </row>
    <row r="5760" spans="1:1" x14ac:dyDescent="0.25">
      <c r="A5760" s="2"/>
    </row>
    <row r="5761" spans="1:1" x14ac:dyDescent="0.25">
      <c r="A5761" s="2"/>
    </row>
    <row r="5762" spans="1:1" x14ac:dyDescent="0.25">
      <c r="A5762" s="2"/>
    </row>
    <row r="5763" spans="1:1" x14ac:dyDescent="0.25">
      <c r="A5763" s="2"/>
    </row>
    <row r="5764" spans="1:1" x14ac:dyDescent="0.25">
      <c r="A5764" s="2"/>
    </row>
    <row r="5765" spans="1:1" x14ac:dyDescent="0.25">
      <c r="A5765" s="2"/>
    </row>
    <row r="5766" spans="1:1" x14ac:dyDescent="0.25">
      <c r="A5766" s="2"/>
    </row>
    <row r="5767" spans="1:1" x14ac:dyDescent="0.25">
      <c r="A5767" s="2"/>
    </row>
    <row r="5768" spans="1:1" x14ac:dyDescent="0.25">
      <c r="A5768" s="2"/>
    </row>
    <row r="5769" spans="1:1" x14ac:dyDescent="0.25">
      <c r="A5769" s="2"/>
    </row>
    <row r="5770" spans="1:1" x14ac:dyDescent="0.25">
      <c r="A5770" s="2"/>
    </row>
    <row r="5771" spans="1:1" x14ac:dyDescent="0.25">
      <c r="A5771" s="2"/>
    </row>
    <row r="5772" spans="1:1" x14ac:dyDescent="0.25">
      <c r="A5772" s="2"/>
    </row>
    <row r="5773" spans="1:1" x14ac:dyDescent="0.25">
      <c r="A5773" s="2"/>
    </row>
    <row r="5774" spans="1:1" x14ac:dyDescent="0.25">
      <c r="A5774" s="2"/>
    </row>
    <row r="5775" spans="1:1" x14ac:dyDescent="0.25">
      <c r="A5775" s="2"/>
    </row>
    <row r="5776" spans="1:1" x14ac:dyDescent="0.25">
      <c r="A5776" s="2"/>
    </row>
    <row r="5777" spans="1:1" x14ac:dyDescent="0.25">
      <c r="A5777" s="2"/>
    </row>
    <row r="5778" spans="1:1" x14ac:dyDescent="0.25">
      <c r="A5778" s="2"/>
    </row>
    <row r="5779" spans="1:1" x14ac:dyDescent="0.25">
      <c r="A5779" s="2"/>
    </row>
    <row r="5780" spans="1:1" x14ac:dyDescent="0.25">
      <c r="A5780" s="2"/>
    </row>
    <row r="5781" spans="1:1" x14ac:dyDescent="0.25">
      <c r="A5781" s="2"/>
    </row>
    <row r="5782" spans="1:1" x14ac:dyDescent="0.25">
      <c r="A5782" s="2"/>
    </row>
    <row r="5783" spans="1:1" x14ac:dyDescent="0.25">
      <c r="A5783" s="2"/>
    </row>
    <row r="5784" spans="1:1" x14ac:dyDescent="0.25">
      <c r="A5784" s="2"/>
    </row>
    <row r="5785" spans="1:1" x14ac:dyDescent="0.25">
      <c r="A5785" s="2"/>
    </row>
    <row r="5786" spans="1:1" x14ac:dyDescent="0.25">
      <c r="A5786" s="2"/>
    </row>
    <row r="5787" spans="1:1" x14ac:dyDescent="0.25">
      <c r="A5787" s="2"/>
    </row>
    <row r="5788" spans="1:1" x14ac:dyDescent="0.25">
      <c r="A5788" s="2"/>
    </row>
    <row r="5789" spans="1:1" x14ac:dyDescent="0.25">
      <c r="A5789" s="2"/>
    </row>
    <row r="5790" spans="1:1" x14ac:dyDescent="0.25">
      <c r="A5790" s="2"/>
    </row>
    <row r="5791" spans="1:1" x14ac:dyDescent="0.25">
      <c r="A5791" s="2"/>
    </row>
    <row r="5792" spans="1:1" x14ac:dyDescent="0.25">
      <c r="A5792" s="2"/>
    </row>
    <row r="5793" spans="1:1" x14ac:dyDescent="0.25">
      <c r="A5793" s="2"/>
    </row>
    <row r="5794" spans="1:1" x14ac:dyDescent="0.25">
      <c r="A5794" s="2"/>
    </row>
    <row r="5795" spans="1:1" x14ac:dyDescent="0.25">
      <c r="A5795" s="2"/>
    </row>
    <row r="5796" spans="1:1" x14ac:dyDescent="0.25">
      <c r="A5796" s="2"/>
    </row>
    <row r="5797" spans="1:1" x14ac:dyDescent="0.25">
      <c r="A5797" s="2"/>
    </row>
    <row r="5798" spans="1:1" x14ac:dyDescent="0.25">
      <c r="A5798" s="2"/>
    </row>
    <row r="5799" spans="1:1" x14ac:dyDescent="0.25">
      <c r="A5799" s="2"/>
    </row>
    <row r="5800" spans="1:1" x14ac:dyDescent="0.25">
      <c r="A5800" s="2"/>
    </row>
    <row r="5801" spans="1:1" x14ac:dyDescent="0.25">
      <c r="A5801" s="2"/>
    </row>
    <row r="5802" spans="1:1" x14ac:dyDescent="0.25">
      <c r="A5802" s="2"/>
    </row>
    <row r="5803" spans="1:1" x14ac:dyDescent="0.25">
      <c r="A5803" s="2"/>
    </row>
    <row r="5804" spans="1:1" x14ac:dyDescent="0.25">
      <c r="A5804" s="2"/>
    </row>
    <row r="5805" spans="1:1" x14ac:dyDescent="0.25">
      <c r="A5805" s="2"/>
    </row>
    <row r="5806" spans="1:1" x14ac:dyDescent="0.25">
      <c r="A5806" s="2"/>
    </row>
    <row r="5807" spans="1:1" x14ac:dyDescent="0.25">
      <c r="A5807" s="2"/>
    </row>
    <row r="5808" spans="1:1" x14ac:dyDescent="0.25">
      <c r="A5808" s="2"/>
    </row>
    <row r="5809" spans="1:1" x14ac:dyDescent="0.25">
      <c r="A5809" s="2"/>
    </row>
    <row r="5810" spans="1:1" x14ac:dyDescent="0.25">
      <c r="A5810" s="2"/>
    </row>
    <row r="5811" spans="1:1" x14ac:dyDescent="0.25">
      <c r="A5811" s="2"/>
    </row>
    <row r="5812" spans="1:1" x14ac:dyDescent="0.25">
      <c r="A5812" s="2"/>
    </row>
    <row r="5813" spans="1:1" x14ac:dyDescent="0.25">
      <c r="A5813" s="2"/>
    </row>
    <row r="5814" spans="1:1" x14ac:dyDescent="0.25">
      <c r="A5814" s="2"/>
    </row>
    <row r="5815" spans="1:1" x14ac:dyDescent="0.25">
      <c r="A5815" s="2"/>
    </row>
    <row r="5816" spans="1:1" x14ac:dyDescent="0.25">
      <c r="A5816" s="2"/>
    </row>
    <row r="5817" spans="1:1" x14ac:dyDescent="0.25">
      <c r="A5817" s="2"/>
    </row>
    <row r="5818" spans="1:1" x14ac:dyDescent="0.25">
      <c r="A5818" s="2"/>
    </row>
    <row r="5819" spans="1:1" x14ac:dyDescent="0.25">
      <c r="A5819" s="2"/>
    </row>
    <row r="5820" spans="1:1" x14ac:dyDescent="0.25">
      <c r="A5820" s="2"/>
    </row>
    <row r="5821" spans="1:1" x14ac:dyDescent="0.25">
      <c r="A5821" s="2"/>
    </row>
    <row r="5822" spans="1:1" x14ac:dyDescent="0.25">
      <c r="A5822" s="2"/>
    </row>
    <row r="5823" spans="1:1" x14ac:dyDescent="0.25">
      <c r="A5823" s="2"/>
    </row>
    <row r="5824" spans="1:1" x14ac:dyDescent="0.25">
      <c r="A5824" s="2"/>
    </row>
    <row r="5825" spans="1:1" x14ac:dyDescent="0.25">
      <c r="A5825" s="2"/>
    </row>
    <row r="5826" spans="1:1" x14ac:dyDescent="0.25">
      <c r="A5826" s="2"/>
    </row>
    <row r="5827" spans="1:1" x14ac:dyDescent="0.25">
      <c r="A5827" s="2"/>
    </row>
    <row r="5828" spans="1:1" x14ac:dyDescent="0.25">
      <c r="A5828" s="2"/>
    </row>
    <row r="5829" spans="1:1" x14ac:dyDescent="0.25">
      <c r="A5829" s="2"/>
    </row>
    <row r="5830" spans="1:1" x14ac:dyDescent="0.25">
      <c r="A5830" s="2"/>
    </row>
    <row r="5831" spans="1:1" x14ac:dyDescent="0.25">
      <c r="A5831" s="2"/>
    </row>
    <row r="5832" spans="1:1" x14ac:dyDescent="0.25">
      <c r="A5832" s="2"/>
    </row>
    <row r="5833" spans="1:1" x14ac:dyDescent="0.25">
      <c r="A5833" s="2"/>
    </row>
    <row r="5834" spans="1:1" x14ac:dyDescent="0.25">
      <c r="A5834" s="2"/>
    </row>
    <row r="5835" spans="1:1" x14ac:dyDescent="0.25">
      <c r="A5835" s="2"/>
    </row>
    <row r="5836" spans="1:1" x14ac:dyDescent="0.25">
      <c r="A5836" s="2"/>
    </row>
    <row r="5837" spans="1:1" x14ac:dyDescent="0.25">
      <c r="A5837" s="2"/>
    </row>
    <row r="5838" spans="1:1" x14ac:dyDescent="0.25">
      <c r="A5838" s="2"/>
    </row>
    <row r="5839" spans="1:1" x14ac:dyDescent="0.25">
      <c r="A5839" s="2"/>
    </row>
    <row r="5840" spans="1:1" x14ac:dyDescent="0.25">
      <c r="A5840" s="2"/>
    </row>
    <row r="5841" spans="1:1" x14ac:dyDescent="0.25">
      <c r="A5841" s="2"/>
    </row>
    <row r="5842" spans="1:1" x14ac:dyDescent="0.25">
      <c r="A5842" s="2"/>
    </row>
    <row r="5843" spans="1:1" x14ac:dyDescent="0.25">
      <c r="A5843" s="2"/>
    </row>
    <row r="5844" spans="1:1" x14ac:dyDescent="0.25">
      <c r="A5844" s="2"/>
    </row>
    <row r="5845" spans="1:1" x14ac:dyDescent="0.25">
      <c r="A5845" s="2"/>
    </row>
    <row r="5846" spans="1:1" x14ac:dyDescent="0.25">
      <c r="A5846" s="2"/>
    </row>
    <row r="5847" spans="1:1" x14ac:dyDescent="0.25">
      <c r="A5847" s="2"/>
    </row>
    <row r="5848" spans="1:1" x14ac:dyDescent="0.25">
      <c r="A5848" s="2"/>
    </row>
    <row r="5849" spans="1:1" x14ac:dyDescent="0.25">
      <c r="A5849" s="2"/>
    </row>
    <row r="5850" spans="1:1" x14ac:dyDescent="0.25">
      <c r="A5850" s="2"/>
    </row>
    <row r="5851" spans="1:1" x14ac:dyDescent="0.25">
      <c r="A5851" s="2"/>
    </row>
    <row r="5852" spans="1:1" x14ac:dyDescent="0.25">
      <c r="A5852" s="2"/>
    </row>
    <row r="5853" spans="1:1" x14ac:dyDescent="0.25">
      <c r="A5853" s="2"/>
    </row>
    <row r="5854" spans="1:1" x14ac:dyDescent="0.25">
      <c r="A5854" s="2"/>
    </row>
    <row r="5855" spans="1:1" x14ac:dyDescent="0.25">
      <c r="A5855" s="2"/>
    </row>
    <row r="5856" spans="1:1" x14ac:dyDescent="0.25">
      <c r="A5856" s="2"/>
    </row>
    <row r="5857" spans="1:1" x14ac:dyDescent="0.25">
      <c r="A5857" s="2"/>
    </row>
    <row r="5858" spans="1:1" x14ac:dyDescent="0.25">
      <c r="A5858" s="2"/>
    </row>
    <row r="5859" spans="1:1" x14ac:dyDescent="0.25">
      <c r="A5859" s="2"/>
    </row>
    <row r="5860" spans="1:1" x14ac:dyDescent="0.25">
      <c r="A5860" s="2"/>
    </row>
    <row r="5861" spans="1:1" x14ac:dyDescent="0.25">
      <c r="A5861" s="2"/>
    </row>
    <row r="5862" spans="1:1" x14ac:dyDescent="0.25">
      <c r="A5862" s="2"/>
    </row>
    <row r="5863" spans="1:1" x14ac:dyDescent="0.25">
      <c r="A5863" s="2"/>
    </row>
    <row r="5864" spans="1:1" x14ac:dyDescent="0.25">
      <c r="A5864" s="2"/>
    </row>
    <row r="5865" spans="1:1" x14ac:dyDescent="0.25">
      <c r="A5865" s="2"/>
    </row>
    <row r="5866" spans="1:1" x14ac:dyDescent="0.25">
      <c r="A5866" s="2"/>
    </row>
    <row r="5867" spans="1:1" x14ac:dyDescent="0.25">
      <c r="A5867" s="2"/>
    </row>
    <row r="5868" spans="1:1" x14ac:dyDescent="0.25">
      <c r="A5868" s="2"/>
    </row>
    <row r="5869" spans="1:1" x14ac:dyDescent="0.25">
      <c r="A5869" s="2"/>
    </row>
    <row r="5870" spans="1:1" x14ac:dyDescent="0.25">
      <c r="A5870" s="2"/>
    </row>
    <row r="5871" spans="1:1" x14ac:dyDescent="0.25">
      <c r="A5871" s="2"/>
    </row>
    <row r="5872" spans="1:1" x14ac:dyDescent="0.25">
      <c r="A5872" s="2"/>
    </row>
    <row r="5873" spans="1:1" x14ac:dyDescent="0.25">
      <c r="A5873" s="2"/>
    </row>
    <row r="5874" spans="1:1" x14ac:dyDescent="0.25">
      <c r="A5874" s="2"/>
    </row>
    <row r="5875" spans="1:1" x14ac:dyDescent="0.25">
      <c r="A5875" s="2"/>
    </row>
    <row r="5876" spans="1:1" x14ac:dyDescent="0.25">
      <c r="A5876" s="2"/>
    </row>
    <row r="5877" spans="1:1" x14ac:dyDescent="0.25">
      <c r="A5877" s="2"/>
    </row>
    <row r="5878" spans="1:1" x14ac:dyDescent="0.25">
      <c r="A5878" s="2"/>
    </row>
    <row r="5879" spans="1:1" x14ac:dyDescent="0.25">
      <c r="A5879" s="2"/>
    </row>
    <row r="5880" spans="1:1" x14ac:dyDescent="0.25">
      <c r="A5880" s="2"/>
    </row>
    <row r="5881" spans="1:1" x14ac:dyDescent="0.25">
      <c r="A5881" s="2"/>
    </row>
    <row r="5882" spans="1:1" x14ac:dyDescent="0.25">
      <c r="A5882" s="2"/>
    </row>
    <row r="5883" spans="1:1" x14ac:dyDescent="0.25">
      <c r="A5883" s="2"/>
    </row>
    <row r="5884" spans="1:1" x14ac:dyDescent="0.25">
      <c r="A5884" s="2"/>
    </row>
    <row r="5885" spans="1:1" x14ac:dyDescent="0.25">
      <c r="A5885" s="2"/>
    </row>
    <row r="5886" spans="1:1" x14ac:dyDescent="0.25">
      <c r="A5886" s="2"/>
    </row>
    <row r="5887" spans="1:1" x14ac:dyDescent="0.25">
      <c r="A5887" s="2"/>
    </row>
    <row r="5888" spans="1:1" x14ac:dyDescent="0.25">
      <c r="A5888" s="2"/>
    </row>
    <row r="5889" spans="1:1" x14ac:dyDescent="0.25">
      <c r="A5889" s="2"/>
    </row>
    <row r="5890" spans="1:1" x14ac:dyDescent="0.25">
      <c r="A5890" s="2"/>
    </row>
    <row r="5891" spans="1:1" x14ac:dyDescent="0.25">
      <c r="A5891" s="2"/>
    </row>
    <row r="5892" spans="1:1" x14ac:dyDescent="0.25">
      <c r="A5892" s="2"/>
    </row>
    <row r="5893" spans="1:1" x14ac:dyDescent="0.25">
      <c r="A5893" s="2"/>
    </row>
    <row r="5894" spans="1:1" x14ac:dyDescent="0.25">
      <c r="A5894" s="2"/>
    </row>
    <row r="5895" spans="1:1" x14ac:dyDescent="0.25">
      <c r="A5895" s="2"/>
    </row>
    <row r="5896" spans="1:1" x14ac:dyDescent="0.25">
      <c r="A5896" s="2"/>
    </row>
    <row r="5897" spans="1:1" x14ac:dyDescent="0.25">
      <c r="A5897" s="2"/>
    </row>
    <row r="5898" spans="1:1" x14ac:dyDescent="0.25">
      <c r="A5898" s="2"/>
    </row>
    <row r="5899" spans="1:1" x14ac:dyDescent="0.25">
      <c r="A5899" s="2"/>
    </row>
    <row r="5900" spans="1:1" x14ac:dyDescent="0.25">
      <c r="A5900" s="2"/>
    </row>
    <row r="5901" spans="1:1" x14ac:dyDescent="0.25">
      <c r="A5901" s="2"/>
    </row>
    <row r="5902" spans="1:1" x14ac:dyDescent="0.25">
      <c r="A5902" s="2"/>
    </row>
    <row r="5903" spans="1:1" x14ac:dyDescent="0.25">
      <c r="A5903" s="2"/>
    </row>
    <row r="5904" spans="1:1" x14ac:dyDescent="0.25">
      <c r="A5904" s="2"/>
    </row>
    <row r="5905" spans="1:1" x14ac:dyDescent="0.25">
      <c r="A5905" s="2"/>
    </row>
    <row r="5906" spans="1:1" x14ac:dyDescent="0.25">
      <c r="A5906" s="2"/>
    </row>
    <row r="5907" spans="1:1" x14ac:dyDescent="0.25">
      <c r="A5907" s="2"/>
    </row>
    <row r="5908" spans="1:1" x14ac:dyDescent="0.25">
      <c r="A5908" s="2"/>
    </row>
    <row r="5909" spans="1:1" x14ac:dyDescent="0.25">
      <c r="A5909" s="2"/>
    </row>
    <row r="5910" spans="1:1" x14ac:dyDescent="0.25">
      <c r="A5910" s="2"/>
    </row>
    <row r="5911" spans="1:1" x14ac:dyDescent="0.25">
      <c r="A5911" s="2"/>
    </row>
    <row r="5912" spans="1:1" x14ac:dyDescent="0.25">
      <c r="A5912" s="2"/>
    </row>
    <row r="5913" spans="1:1" x14ac:dyDescent="0.25">
      <c r="A5913" s="2"/>
    </row>
    <row r="5914" spans="1:1" x14ac:dyDescent="0.25">
      <c r="A5914" s="2"/>
    </row>
    <row r="5915" spans="1:1" x14ac:dyDescent="0.25">
      <c r="A5915" s="2"/>
    </row>
    <row r="5916" spans="1:1" x14ac:dyDescent="0.25">
      <c r="A5916" s="2"/>
    </row>
    <row r="5917" spans="1:1" x14ac:dyDescent="0.25">
      <c r="A5917" s="2"/>
    </row>
    <row r="5918" spans="1:1" x14ac:dyDescent="0.25">
      <c r="A5918" s="2"/>
    </row>
    <row r="5919" spans="1:1" x14ac:dyDescent="0.25">
      <c r="A5919" s="2"/>
    </row>
    <row r="5920" spans="1:1" x14ac:dyDescent="0.25">
      <c r="A5920" s="2"/>
    </row>
    <row r="5921" spans="1:1" x14ac:dyDescent="0.25">
      <c r="A5921" s="2"/>
    </row>
    <row r="5922" spans="1:1" x14ac:dyDescent="0.25">
      <c r="A5922" s="2"/>
    </row>
    <row r="5923" spans="1:1" x14ac:dyDescent="0.25">
      <c r="A5923" s="2"/>
    </row>
    <row r="5924" spans="1:1" x14ac:dyDescent="0.25">
      <c r="A5924" s="2"/>
    </row>
    <row r="5925" spans="1:1" x14ac:dyDescent="0.25">
      <c r="A5925" s="2"/>
    </row>
    <row r="5926" spans="1:1" x14ac:dyDescent="0.25">
      <c r="A5926" s="2"/>
    </row>
    <row r="5927" spans="1:1" x14ac:dyDescent="0.25">
      <c r="A5927" s="2"/>
    </row>
    <row r="5928" spans="1:1" x14ac:dyDescent="0.25">
      <c r="A5928" s="2"/>
    </row>
    <row r="5929" spans="1:1" x14ac:dyDescent="0.25">
      <c r="A5929" s="2"/>
    </row>
    <row r="5930" spans="1:1" x14ac:dyDescent="0.25">
      <c r="A5930" s="2"/>
    </row>
    <row r="5931" spans="1:1" x14ac:dyDescent="0.25">
      <c r="A5931" s="2"/>
    </row>
    <row r="5932" spans="1:1" x14ac:dyDescent="0.25">
      <c r="A5932" s="2"/>
    </row>
    <row r="5933" spans="1:1" x14ac:dyDescent="0.25">
      <c r="A5933" s="2"/>
    </row>
    <row r="5934" spans="1:1" x14ac:dyDescent="0.25">
      <c r="A5934" s="2"/>
    </row>
    <row r="5935" spans="1:1" x14ac:dyDescent="0.25">
      <c r="A5935" s="2"/>
    </row>
    <row r="5936" spans="1:1" x14ac:dyDescent="0.25">
      <c r="A5936" s="2"/>
    </row>
    <row r="5937" spans="1:1" x14ac:dyDescent="0.25">
      <c r="A5937" s="2"/>
    </row>
    <row r="5938" spans="1:1" x14ac:dyDescent="0.25">
      <c r="A5938" s="2"/>
    </row>
    <row r="5939" spans="1:1" x14ac:dyDescent="0.25">
      <c r="A5939" s="2"/>
    </row>
    <row r="5940" spans="1:1" x14ac:dyDescent="0.25">
      <c r="A5940" s="2"/>
    </row>
    <row r="5941" spans="1:1" x14ac:dyDescent="0.25">
      <c r="A5941" s="2"/>
    </row>
    <row r="5942" spans="1:1" x14ac:dyDescent="0.25">
      <c r="A5942" s="2"/>
    </row>
    <row r="5943" spans="1:1" x14ac:dyDescent="0.25">
      <c r="A5943" s="2"/>
    </row>
    <row r="5944" spans="1:1" x14ac:dyDescent="0.25">
      <c r="A5944" s="2"/>
    </row>
    <row r="5945" spans="1:1" x14ac:dyDescent="0.25">
      <c r="A5945" s="2"/>
    </row>
    <row r="5946" spans="1:1" x14ac:dyDescent="0.25">
      <c r="A5946" s="2"/>
    </row>
    <row r="5947" spans="1:1" x14ac:dyDescent="0.25">
      <c r="A5947" s="2"/>
    </row>
    <row r="5948" spans="1:1" x14ac:dyDescent="0.25">
      <c r="A5948" s="2"/>
    </row>
    <row r="5949" spans="1:1" x14ac:dyDescent="0.25">
      <c r="A5949" s="2"/>
    </row>
    <row r="5950" spans="1:1" x14ac:dyDescent="0.25">
      <c r="A5950" s="2"/>
    </row>
    <row r="5951" spans="1:1" x14ac:dyDescent="0.25">
      <c r="A5951" s="2"/>
    </row>
    <row r="5952" spans="1:1" x14ac:dyDescent="0.25">
      <c r="A5952" s="2"/>
    </row>
    <row r="5953" spans="1:1" x14ac:dyDescent="0.25">
      <c r="A5953" s="2"/>
    </row>
    <row r="5954" spans="1:1" x14ac:dyDescent="0.25">
      <c r="A5954" s="2"/>
    </row>
    <row r="5955" spans="1:1" x14ac:dyDescent="0.25">
      <c r="A5955" s="2"/>
    </row>
    <row r="5956" spans="1:1" x14ac:dyDescent="0.25">
      <c r="A5956" s="2"/>
    </row>
    <row r="5957" spans="1:1" x14ac:dyDescent="0.25">
      <c r="A5957" s="2"/>
    </row>
    <row r="5958" spans="1:1" x14ac:dyDescent="0.25">
      <c r="A5958" s="2"/>
    </row>
    <row r="5959" spans="1:1" x14ac:dyDescent="0.25">
      <c r="A5959" s="2"/>
    </row>
    <row r="5960" spans="1:1" x14ac:dyDescent="0.25">
      <c r="A5960" s="2"/>
    </row>
    <row r="5961" spans="1:1" x14ac:dyDescent="0.25">
      <c r="A5961" s="2"/>
    </row>
    <row r="5962" spans="1:1" x14ac:dyDescent="0.25">
      <c r="A5962" s="2"/>
    </row>
    <row r="5963" spans="1:1" x14ac:dyDescent="0.25">
      <c r="A5963" s="2"/>
    </row>
    <row r="5964" spans="1:1" x14ac:dyDescent="0.25">
      <c r="A5964" s="2"/>
    </row>
    <row r="5965" spans="1:1" x14ac:dyDescent="0.25">
      <c r="A5965" s="2"/>
    </row>
    <row r="5966" spans="1:1" x14ac:dyDescent="0.25">
      <c r="A5966" s="2"/>
    </row>
    <row r="5967" spans="1:1" x14ac:dyDescent="0.25">
      <c r="A5967" s="2"/>
    </row>
    <row r="5968" spans="1:1" x14ac:dyDescent="0.25">
      <c r="A5968" s="2"/>
    </row>
    <row r="5969" spans="1:1" x14ac:dyDescent="0.25">
      <c r="A5969" s="2"/>
    </row>
    <row r="5970" spans="1:1" x14ac:dyDescent="0.25">
      <c r="A5970" s="2"/>
    </row>
    <row r="5971" spans="1:1" x14ac:dyDescent="0.25">
      <c r="A5971" s="2"/>
    </row>
    <row r="5972" spans="1:1" x14ac:dyDescent="0.25">
      <c r="A5972" s="2"/>
    </row>
    <row r="5973" spans="1:1" x14ac:dyDescent="0.25">
      <c r="A5973" s="2"/>
    </row>
    <row r="5974" spans="1:1" x14ac:dyDescent="0.25">
      <c r="A5974" s="2"/>
    </row>
    <row r="5975" spans="1:1" x14ac:dyDescent="0.25">
      <c r="A5975" s="2"/>
    </row>
    <row r="5976" spans="1:1" x14ac:dyDescent="0.25">
      <c r="A5976" s="2"/>
    </row>
    <row r="5977" spans="1:1" x14ac:dyDescent="0.25">
      <c r="A5977" s="2"/>
    </row>
    <row r="5978" spans="1:1" x14ac:dyDescent="0.25">
      <c r="A5978" s="2"/>
    </row>
    <row r="5979" spans="1:1" x14ac:dyDescent="0.25">
      <c r="A5979" s="2"/>
    </row>
    <row r="5980" spans="1:1" x14ac:dyDescent="0.25">
      <c r="A5980" s="2"/>
    </row>
    <row r="5981" spans="1:1" x14ac:dyDescent="0.25">
      <c r="A5981" s="2"/>
    </row>
    <row r="5982" spans="1:1" x14ac:dyDescent="0.25">
      <c r="A5982" s="2"/>
    </row>
    <row r="5983" spans="1:1" x14ac:dyDescent="0.25">
      <c r="A5983" s="2"/>
    </row>
    <row r="5984" spans="1:1" x14ac:dyDescent="0.25">
      <c r="A5984" s="2"/>
    </row>
    <row r="5985" spans="1:1" x14ac:dyDescent="0.25">
      <c r="A5985" s="2"/>
    </row>
    <row r="5986" spans="1:1" x14ac:dyDescent="0.25">
      <c r="A5986" s="2"/>
    </row>
    <row r="5987" spans="1:1" x14ac:dyDescent="0.25">
      <c r="A5987" s="2"/>
    </row>
    <row r="5988" spans="1:1" x14ac:dyDescent="0.25">
      <c r="A5988" s="2"/>
    </row>
    <row r="5989" spans="1:1" x14ac:dyDescent="0.25">
      <c r="A5989" s="2"/>
    </row>
    <row r="5990" spans="1:1" x14ac:dyDescent="0.25">
      <c r="A5990" s="2"/>
    </row>
    <row r="5991" spans="1:1" x14ac:dyDescent="0.25">
      <c r="A5991" s="2"/>
    </row>
    <row r="5992" spans="1:1" x14ac:dyDescent="0.25">
      <c r="A5992" s="2"/>
    </row>
    <row r="5993" spans="1:1" x14ac:dyDescent="0.25">
      <c r="A5993" s="2"/>
    </row>
    <row r="5994" spans="1:1" x14ac:dyDescent="0.25">
      <c r="A5994" s="2"/>
    </row>
    <row r="5995" spans="1:1" x14ac:dyDescent="0.25">
      <c r="A5995" s="2"/>
    </row>
    <row r="5996" spans="1:1" x14ac:dyDescent="0.25">
      <c r="A5996" s="2"/>
    </row>
    <row r="5997" spans="1:1" x14ac:dyDescent="0.25">
      <c r="A5997" s="2"/>
    </row>
    <row r="5998" spans="1:1" x14ac:dyDescent="0.25">
      <c r="A5998" s="2"/>
    </row>
    <row r="5999" spans="1:1" x14ac:dyDescent="0.25">
      <c r="A5999" s="2"/>
    </row>
    <row r="6000" spans="1:1" x14ac:dyDescent="0.25">
      <c r="A6000" s="2"/>
    </row>
    <row r="6001" spans="1:1" x14ac:dyDescent="0.25">
      <c r="A6001" s="2"/>
    </row>
    <row r="6002" spans="1:1" x14ac:dyDescent="0.25">
      <c r="A6002" s="2"/>
    </row>
    <row r="6003" spans="1:1" x14ac:dyDescent="0.25">
      <c r="A6003" s="2"/>
    </row>
    <row r="6004" spans="1:1" x14ac:dyDescent="0.25">
      <c r="A6004" s="2"/>
    </row>
    <row r="6005" spans="1:1" x14ac:dyDescent="0.25">
      <c r="A6005" s="2"/>
    </row>
    <row r="6006" spans="1:1" x14ac:dyDescent="0.25">
      <c r="A6006" s="2"/>
    </row>
    <row r="6007" spans="1:1" x14ac:dyDescent="0.25">
      <c r="A6007" s="2"/>
    </row>
    <row r="6008" spans="1:1" x14ac:dyDescent="0.25">
      <c r="A6008" s="2"/>
    </row>
    <row r="6009" spans="1:1" x14ac:dyDescent="0.25">
      <c r="A6009" s="2"/>
    </row>
    <row r="6010" spans="1:1" x14ac:dyDescent="0.25">
      <c r="A6010" s="2"/>
    </row>
    <row r="6011" spans="1:1" x14ac:dyDescent="0.25">
      <c r="A6011" s="2"/>
    </row>
    <row r="6012" spans="1:1" x14ac:dyDescent="0.25">
      <c r="A6012" s="2"/>
    </row>
    <row r="6013" spans="1:1" x14ac:dyDescent="0.25">
      <c r="A6013" s="2"/>
    </row>
    <row r="6014" spans="1:1" x14ac:dyDescent="0.25">
      <c r="A6014" s="2"/>
    </row>
    <row r="6015" spans="1:1" x14ac:dyDescent="0.25">
      <c r="A6015" s="2"/>
    </row>
    <row r="6016" spans="1:1" x14ac:dyDescent="0.25">
      <c r="A6016" s="2"/>
    </row>
    <row r="6017" spans="1:1" x14ac:dyDescent="0.25">
      <c r="A6017" s="2"/>
    </row>
    <row r="6018" spans="1:1" x14ac:dyDescent="0.25">
      <c r="A6018" s="2"/>
    </row>
    <row r="6019" spans="1:1" x14ac:dyDescent="0.25">
      <c r="A6019" s="2"/>
    </row>
    <row r="6020" spans="1:1" x14ac:dyDescent="0.25">
      <c r="A6020" s="2"/>
    </row>
    <row r="6021" spans="1:1" x14ac:dyDescent="0.25">
      <c r="A6021" s="2"/>
    </row>
    <row r="6022" spans="1:1" x14ac:dyDescent="0.25">
      <c r="A6022" s="2"/>
    </row>
    <row r="6023" spans="1:1" x14ac:dyDescent="0.25">
      <c r="A6023" s="2"/>
    </row>
    <row r="6024" spans="1:1" x14ac:dyDescent="0.25">
      <c r="A6024" s="2"/>
    </row>
    <row r="6025" spans="1:1" x14ac:dyDescent="0.25">
      <c r="A6025" s="2"/>
    </row>
    <row r="6026" spans="1:1" x14ac:dyDescent="0.25">
      <c r="A6026" s="2"/>
    </row>
    <row r="6027" spans="1:1" x14ac:dyDescent="0.25">
      <c r="A6027" s="2"/>
    </row>
    <row r="6028" spans="1:1" x14ac:dyDescent="0.25">
      <c r="A6028" s="2"/>
    </row>
    <row r="6029" spans="1:1" x14ac:dyDescent="0.25">
      <c r="A6029" s="2"/>
    </row>
    <row r="6030" spans="1:1" x14ac:dyDescent="0.25">
      <c r="A6030" s="2"/>
    </row>
    <row r="6031" spans="1:1" x14ac:dyDescent="0.25">
      <c r="A6031" s="2"/>
    </row>
    <row r="6032" spans="1:1" x14ac:dyDescent="0.25">
      <c r="A6032" s="2"/>
    </row>
    <row r="6033" spans="1:1" x14ac:dyDescent="0.25">
      <c r="A6033" s="2"/>
    </row>
    <row r="6034" spans="1:1" x14ac:dyDescent="0.25">
      <c r="A6034" s="2"/>
    </row>
    <row r="6035" spans="1:1" x14ac:dyDescent="0.25">
      <c r="A6035" s="2"/>
    </row>
    <row r="6036" spans="1:1" x14ac:dyDescent="0.25">
      <c r="A6036" s="2"/>
    </row>
    <row r="6037" spans="1:1" x14ac:dyDescent="0.25">
      <c r="A6037" s="2"/>
    </row>
    <row r="6038" spans="1:1" x14ac:dyDescent="0.25">
      <c r="A6038" s="2"/>
    </row>
    <row r="6039" spans="1:1" x14ac:dyDescent="0.25">
      <c r="A6039" s="2"/>
    </row>
    <row r="6040" spans="1:1" x14ac:dyDescent="0.25">
      <c r="A6040" s="2"/>
    </row>
    <row r="6041" spans="1:1" x14ac:dyDescent="0.25">
      <c r="A6041" s="2"/>
    </row>
    <row r="6042" spans="1:1" x14ac:dyDescent="0.25">
      <c r="A6042" s="2"/>
    </row>
    <row r="6043" spans="1:1" x14ac:dyDescent="0.25">
      <c r="A6043" s="2"/>
    </row>
    <row r="6044" spans="1:1" x14ac:dyDescent="0.25">
      <c r="A6044" s="2"/>
    </row>
    <row r="6045" spans="1:1" x14ac:dyDescent="0.25">
      <c r="A6045" s="2"/>
    </row>
    <row r="6046" spans="1:1" x14ac:dyDescent="0.25">
      <c r="A6046" s="2"/>
    </row>
    <row r="6047" spans="1:1" x14ac:dyDescent="0.25">
      <c r="A6047" s="2"/>
    </row>
    <row r="6048" spans="1:1" x14ac:dyDescent="0.25">
      <c r="A6048" s="2"/>
    </row>
    <row r="6049" spans="1:1" x14ac:dyDescent="0.25">
      <c r="A6049" s="2"/>
    </row>
    <row r="6050" spans="1:1" x14ac:dyDescent="0.25">
      <c r="A6050" s="2"/>
    </row>
    <row r="6051" spans="1:1" x14ac:dyDescent="0.25">
      <c r="A6051" s="2"/>
    </row>
    <row r="6052" spans="1:1" x14ac:dyDescent="0.25">
      <c r="A6052" s="2"/>
    </row>
    <row r="6053" spans="1:1" x14ac:dyDescent="0.25">
      <c r="A6053" s="2"/>
    </row>
    <row r="6054" spans="1:1" x14ac:dyDescent="0.25">
      <c r="A6054" s="2"/>
    </row>
    <row r="6055" spans="1:1" x14ac:dyDescent="0.25">
      <c r="A6055" s="2"/>
    </row>
    <row r="6056" spans="1:1" x14ac:dyDescent="0.25">
      <c r="A6056" s="2"/>
    </row>
    <row r="6057" spans="1:1" x14ac:dyDescent="0.25">
      <c r="A6057" s="2"/>
    </row>
    <row r="6058" spans="1:1" x14ac:dyDescent="0.25">
      <c r="A6058" s="2"/>
    </row>
    <row r="6059" spans="1:1" x14ac:dyDescent="0.25">
      <c r="A6059" s="2"/>
    </row>
    <row r="6060" spans="1:1" x14ac:dyDescent="0.25">
      <c r="A6060" s="2"/>
    </row>
    <row r="6061" spans="1:1" x14ac:dyDescent="0.25">
      <c r="A6061" s="2"/>
    </row>
    <row r="6062" spans="1:1" x14ac:dyDescent="0.25">
      <c r="A6062" s="2"/>
    </row>
    <row r="6063" spans="1:1" x14ac:dyDescent="0.25">
      <c r="A6063" s="2"/>
    </row>
    <row r="6064" spans="1:1" x14ac:dyDescent="0.25">
      <c r="A6064" s="2"/>
    </row>
    <row r="6065" spans="1:1" x14ac:dyDescent="0.25">
      <c r="A6065" s="2"/>
    </row>
    <row r="6066" spans="1:1" x14ac:dyDescent="0.25">
      <c r="A6066" s="2"/>
    </row>
    <row r="6067" spans="1:1" x14ac:dyDescent="0.25">
      <c r="A6067" s="2"/>
    </row>
    <row r="6068" spans="1:1" x14ac:dyDescent="0.25">
      <c r="A6068" s="2"/>
    </row>
    <row r="6069" spans="1:1" x14ac:dyDescent="0.25">
      <c r="A6069" s="2"/>
    </row>
    <row r="6070" spans="1:1" x14ac:dyDescent="0.25">
      <c r="A6070" s="2"/>
    </row>
    <row r="6071" spans="1:1" x14ac:dyDescent="0.25">
      <c r="A6071" s="2"/>
    </row>
    <row r="6072" spans="1:1" x14ac:dyDescent="0.25">
      <c r="A6072" s="2"/>
    </row>
    <row r="6073" spans="1:1" x14ac:dyDescent="0.25">
      <c r="A6073" s="2"/>
    </row>
    <row r="6074" spans="1:1" x14ac:dyDescent="0.25">
      <c r="A6074" s="2"/>
    </row>
    <row r="6075" spans="1:1" x14ac:dyDescent="0.25">
      <c r="A6075" s="2"/>
    </row>
    <row r="6076" spans="1:1" x14ac:dyDescent="0.25">
      <c r="A6076" s="2"/>
    </row>
    <row r="6077" spans="1:1" x14ac:dyDescent="0.25">
      <c r="A6077" s="2"/>
    </row>
    <row r="6078" spans="1:1" x14ac:dyDescent="0.25">
      <c r="A6078" s="2"/>
    </row>
    <row r="6079" spans="1:1" x14ac:dyDescent="0.25">
      <c r="A6079" s="2"/>
    </row>
    <row r="6080" spans="1:1" x14ac:dyDescent="0.25">
      <c r="A6080" s="2"/>
    </row>
    <row r="6081" spans="1:1" x14ac:dyDescent="0.25">
      <c r="A6081" s="2"/>
    </row>
    <row r="6082" spans="1:1" x14ac:dyDescent="0.25">
      <c r="A6082" s="2"/>
    </row>
    <row r="6083" spans="1:1" x14ac:dyDescent="0.25">
      <c r="A6083" s="2"/>
    </row>
    <row r="6084" spans="1:1" x14ac:dyDescent="0.25">
      <c r="A6084" s="2"/>
    </row>
    <row r="6085" spans="1:1" x14ac:dyDescent="0.25">
      <c r="A6085" s="2"/>
    </row>
    <row r="6086" spans="1:1" x14ac:dyDescent="0.25">
      <c r="A6086" s="2"/>
    </row>
    <row r="6087" spans="1:1" x14ac:dyDescent="0.25">
      <c r="A6087" s="2"/>
    </row>
    <row r="6088" spans="1:1" x14ac:dyDescent="0.25">
      <c r="A6088" s="2"/>
    </row>
    <row r="6089" spans="1:1" x14ac:dyDescent="0.25">
      <c r="A6089" s="2"/>
    </row>
    <row r="6090" spans="1:1" x14ac:dyDescent="0.25">
      <c r="A6090" s="2"/>
    </row>
    <row r="6091" spans="1:1" x14ac:dyDescent="0.25">
      <c r="A6091" s="2"/>
    </row>
    <row r="6092" spans="1:1" x14ac:dyDescent="0.25">
      <c r="A6092" s="2"/>
    </row>
    <row r="6093" spans="1:1" x14ac:dyDescent="0.25">
      <c r="A6093" s="2"/>
    </row>
    <row r="6094" spans="1:1" x14ac:dyDescent="0.25">
      <c r="A6094" s="2"/>
    </row>
    <row r="6095" spans="1:1" x14ac:dyDescent="0.25">
      <c r="A6095" s="2"/>
    </row>
    <row r="6096" spans="1:1" x14ac:dyDescent="0.25">
      <c r="A6096" s="2"/>
    </row>
    <row r="6097" spans="1:1" x14ac:dyDescent="0.25">
      <c r="A6097" s="2"/>
    </row>
    <row r="6098" spans="1:1" x14ac:dyDescent="0.25">
      <c r="A6098" s="2"/>
    </row>
    <row r="6099" spans="1:1" x14ac:dyDescent="0.25">
      <c r="A6099" s="2"/>
    </row>
    <row r="6100" spans="1:1" x14ac:dyDescent="0.25">
      <c r="A6100" s="2"/>
    </row>
    <row r="6101" spans="1:1" x14ac:dyDescent="0.25">
      <c r="A6101" s="2"/>
    </row>
    <row r="6102" spans="1:1" x14ac:dyDescent="0.25">
      <c r="A6102" s="2"/>
    </row>
    <row r="6103" spans="1:1" x14ac:dyDescent="0.25">
      <c r="A6103" s="2"/>
    </row>
    <row r="6104" spans="1:1" x14ac:dyDescent="0.25">
      <c r="A6104" s="2"/>
    </row>
    <row r="6105" spans="1:1" x14ac:dyDescent="0.25">
      <c r="A6105" s="2"/>
    </row>
    <row r="6106" spans="1:1" x14ac:dyDescent="0.25">
      <c r="A6106" s="2"/>
    </row>
    <row r="6107" spans="1:1" x14ac:dyDescent="0.25">
      <c r="A6107" s="2"/>
    </row>
    <row r="6108" spans="1:1" x14ac:dyDescent="0.25">
      <c r="A6108" s="2"/>
    </row>
    <row r="6109" spans="1:1" x14ac:dyDescent="0.25">
      <c r="A6109" s="2"/>
    </row>
    <row r="6110" spans="1:1" x14ac:dyDescent="0.25">
      <c r="A6110" s="2"/>
    </row>
    <row r="6111" spans="1:1" x14ac:dyDescent="0.25">
      <c r="A6111" s="2"/>
    </row>
    <row r="6112" spans="1:1" x14ac:dyDescent="0.25">
      <c r="A6112" s="2"/>
    </row>
    <row r="6113" spans="1:1" x14ac:dyDescent="0.25">
      <c r="A6113" s="2"/>
    </row>
    <row r="6114" spans="1:1" x14ac:dyDescent="0.25">
      <c r="A6114" s="2"/>
    </row>
    <row r="6115" spans="1:1" x14ac:dyDescent="0.25">
      <c r="A6115" s="2"/>
    </row>
    <row r="6116" spans="1:1" x14ac:dyDescent="0.25">
      <c r="A6116" s="2"/>
    </row>
    <row r="6117" spans="1:1" x14ac:dyDescent="0.25">
      <c r="A6117" s="2"/>
    </row>
    <row r="6118" spans="1:1" x14ac:dyDescent="0.25">
      <c r="A6118" s="2"/>
    </row>
    <row r="6119" spans="1:1" x14ac:dyDescent="0.25">
      <c r="A6119" s="2"/>
    </row>
    <row r="6120" spans="1:1" x14ac:dyDescent="0.25">
      <c r="A6120" s="2"/>
    </row>
    <row r="6121" spans="1:1" x14ac:dyDescent="0.25">
      <c r="A6121" s="2"/>
    </row>
    <row r="6122" spans="1:1" x14ac:dyDescent="0.25">
      <c r="A6122" s="2"/>
    </row>
    <row r="6123" spans="1:1" x14ac:dyDescent="0.25">
      <c r="A6123" s="2"/>
    </row>
    <row r="6124" spans="1:1" x14ac:dyDescent="0.25">
      <c r="A6124" s="2"/>
    </row>
    <row r="6125" spans="1:1" x14ac:dyDescent="0.25">
      <c r="A6125" s="2"/>
    </row>
    <row r="6126" spans="1:1" x14ac:dyDescent="0.25">
      <c r="A6126" s="2"/>
    </row>
    <row r="6127" spans="1:1" x14ac:dyDescent="0.25">
      <c r="A6127" s="2"/>
    </row>
    <row r="6128" spans="1:1" x14ac:dyDescent="0.25">
      <c r="A6128" s="2"/>
    </row>
    <row r="6129" spans="1:1" x14ac:dyDescent="0.25">
      <c r="A6129" s="2"/>
    </row>
    <row r="6130" spans="1:1" x14ac:dyDescent="0.25">
      <c r="A6130" s="2"/>
    </row>
    <row r="6131" spans="1:1" x14ac:dyDescent="0.25">
      <c r="A6131" s="2"/>
    </row>
    <row r="6132" spans="1:1" x14ac:dyDescent="0.25">
      <c r="A6132" s="2"/>
    </row>
    <row r="6133" spans="1:1" x14ac:dyDescent="0.25">
      <c r="A6133" s="2"/>
    </row>
    <row r="6134" spans="1:1" x14ac:dyDescent="0.25">
      <c r="A6134" s="2"/>
    </row>
    <row r="6135" spans="1:1" x14ac:dyDescent="0.25">
      <c r="A6135" s="2"/>
    </row>
    <row r="6136" spans="1:1" x14ac:dyDescent="0.25">
      <c r="A6136" s="2"/>
    </row>
    <row r="6137" spans="1:1" x14ac:dyDescent="0.25">
      <c r="A6137" s="2"/>
    </row>
    <row r="6138" spans="1:1" x14ac:dyDescent="0.25">
      <c r="A6138" s="2"/>
    </row>
    <row r="6139" spans="1:1" x14ac:dyDescent="0.25">
      <c r="A6139" s="2"/>
    </row>
    <row r="6140" spans="1:1" x14ac:dyDescent="0.25">
      <c r="A6140" s="2"/>
    </row>
  </sheetData>
  <pageMargins left="0.75" right="0.75" top="1" bottom="1" header="0.5" footer="0.5"/>
  <pageSetup scale="81" orientation="portrait" r:id="rId1"/>
  <colBreaks count="1" manualBreakCount="1">
    <brk id="7" max="32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057"/>
  <sheetViews>
    <sheetView zoomScale="80" zoomScaleNormal="80" workbookViewId="0">
      <selection activeCell="O22" sqref="O22"/>
    </sheetView>
  </sheetViews>
  <sheetFormatPr defaultColWidth="11" defaultRowHeight="15.75" x14ac:dyDescent="0.25"/>
  <cols>
    <col min="1" max="1" width="27.25" customWidth="1"/>
    <col min="2" max="4" width="11.75" customWidth="1"/>
  </cols>
  <sheetData>
    <row r="1" spans="1:4" x14ac:dyDescent="0.25">
      <c r="A1" s="6" t="s">
        <v>16</v>
      </c>
      <c r="B1" s="28" t="s">
        <v>3</v>
      </c>
      <c r="C1" s="28" t="s">
        <v>6</v>
      </c>
      <c r="D1" s="28" t="s">
        <v>7</v>
      </c>
    </row>
    <row r="2" spans="1:4" x14ac:dyDescent="0.25">
      <c r="A2" t="s">
        <v>9</v>
      </c>
      <c r="B2" s="19">
        <f>AVERAGE(B27:B5006)</f>
        <v>2.9113922942074737E-4</v>
      </c>
      <c r="C2" s="22" t="s">
        <v>10</v>
      </c>
      <c r="D2" s="19">
        <f t="shared" ref="D2" si="0">AVERAGE(D27:D5006)</f>
        <v>6.4096094730790341E-5</v>
      </c>
    </row>
    <row r="3" spans="1:4" x14ac:dyDescent="0.25">
      <c r="A3" t="s">
        <v>13</v>
      </c>
      <c r="B3" s="19">
        <f>_xlfn.STDEV.S(B27:B5002)</f>
        <v>2.1533103373927494E-3</v>
      </c>
      <c r="C3" s="22" t="s">
        <v>10</v>
      </c>
      <c r="D3" s="19">
        <f t="shared" ref="D3" si="1">_xlfn.STDEV.S(D27:D5002)</f>
        <v>5.6070148273124941E-3</v>
      </c>
    </row>
    <row r="4" spans="1:4" x14ac:dyDescent="0.25">
      <c r="A4" t="s">
        <v>14</v>
      </c>
      <c r="B4" s="19">
        <f>B2*250</f>
        <v>7.2784807355186845E-2</v>
      </c>
      <c r="C4" s="22" t="s">
        <v>10</v>
      </c>
      <c r="D4" s="19">
        <f t="shared" ref="D4" si="2">D2*250</f>
        <v>1.6024023682697584E-2</v>
      </c>
    </row>
    <row r="5" spans="1:4" x14ac:dyDescent="0.25">
      <c r="A5" s="6" t="s">
        <v>15</v>
      </c>
      <c r="B5" s="20">
        <f>B3*SQRT(250)</f>
        <v>3.4046825876733633E-2</v>
      </c>
      <c r="C5" s="23" t="s">
        <v>10</v>
      </c>
      <c r="D5" s="20">
        <f t="shared" ref="D5" si="3">D3*SQRT(250)</f>
        <v>8.8654688643215809E-2</v>
      </c>
    </row>
    <row r="7" spans="1:4" x14ac:dyDescent="0.25">
      <c r="A7" s="6" t="s">
        <v>19</v>
      </c>
      <c r="B7" s="28" t="s">
        <v>3</v>
      </c>
      <c r="C7" s="28" t="s">
        <v>6</v>
      </c>
      <c r="D7" s="28" t="s">
        <v>7</v>
      </c>
    </row>
    <row r="8" spans="1:4" x14ac:dyDescent="0.25">
      <c r="A8" t="s">
        <v>9</v>
      </c>
      <c r="B8" s="19">
        <f>AVERAGE(B1724:B5012)</f>
        <v>1.8880066395584634E-4</v>
      </c>
      <c r="C8" s="19">
        <f>AVERAGE(C1724:C5012)</f>
        <v>1.3960266732310642E-4</v>
      </c>
      <c r="D8" s="19">
        <f>AVERAGE(D1724:D5012)</f>
        <v>5.0155289023192766E-5</v>
      </c>
    </row>
    <row r="9" spans="1:4" x14ac:dyDescent="0.25">
      <c r="A9" t="s">
        <v>13</v>
      </c>
      <c r="B9" s="19">
        <f>_xlfn.STDEV.S(B1724:B5008)</f>
        <v>1.8249813951328739E-3</v>
      </c>
      <c r="C9" s="19">
        <f>_xlfn.STDEV.S(C1724:C5008)</f>
        <v>2.3684394147641986E-3</v>
      </c>
      <c r="D9" s="19">
        <f>_xlfn.STDEV.S(D1724:D5008)</f>
        <v>5.3788567026573789E-3</v>
      </c>
    </row>
    <row r="10" spans="1:4" x14ac:dyDescent="0.25">
      <c r="A10" t="s">
        <v>14</v>
      </c>
      <c r="B10" s="19">
        <f>B8*250</f>
        <v>4.7200165988961582E-2</v>
      </c>
      <c r="C10" s="19">
        <f t="shared" ref="C10:D10" si="4">C8*250</f>
        <v>3.4900666830776604E-2</v>
      </c>
      <c r="D10" s="19">
        <f t="shared" si="4"/>
        <v>1.2538822255798191E-2</v>
      </c>
    </row>
    <row r="11" spans="1:4" x14ac:dyDescent="0.25">
      <c r="A11" s="6" t="s">
        <v>15</v>
      </c>
      <c r="B11" s="20">
        <f>B9*SQRT(250)</f>
        <v>2.8855489480258047E-2</v>
      </c>
      <c r="C11" s="20">
        <f t="shared" ref="C11:D11" si="5">C9*SQRT(250)</f>
        <v>3.7448315253855481E-2</v>
      </c>
      <c r="D11" s="20">
        <f t="shared" si="5"/>
        <v>8.50471919403019E-2</v>
      </c>
    </row>
    <row r="14" spans="1:4" x14ac:dyDescent="0.25">
      <c r="A14" t="s">
        <v>12</v>
      </c>
    </row>
    <row r="15" spans="1:4" x14ac:dyDescent="0.25">
      <c r="A15" s="12"/>
      <c r="B15" s="29" t="s">
        <v>3</v>
      </c>
      <c r="C15" s="29" t="s">
        <v>6</v>
      </c>
      <c r="D15" s="30" t="s">
        <v>7</v>
      </c>
    </row>
    <row r="16" spans="1:4" x14ac:dyDescent="0.25">
      <c r="A16" s="13" t="s">
        <v>3</v>
      </c>
      <c r="B16" s="7">
        <f>CORREL(B1735:B5007,B1735:B5007)</f>
        <v>0.99999999999999989</v>
      </c>
      <c r="C16" s="16">
        <f>CORREL(B1735:B5007,C1735:C5007)</f>
        <v>0.52883582255033001</v>
      </c>
      <c r="D16" s="8">
        <f>CORREL(B1735:B5007,D1735:D5007)</f>
        <v>0.23842598016467889</v>
      </c>
    </row>
    <row r="17" spans="1:4" x14ac:dyDescent="0.25">
      <c r="A17" s="13" t="s">
        <v>6</v>
      </c>
      <c r="B17" s="9"/>
      <c r="C17" s="17">
        <f>CORREL(C1735:C5007,C1735:C5007)</f>
        <v>1.0000000000000002</v>
      </c>
      <c r="D17" s="18">
        <f>CORREL(C1735:C5007,D1735:D5007)</f>
        <v>0.45836671769592097</v>
      </c>
    </row>
    <row r="18" spans="1:4" x14ac:dyDescent="0.25">
      <c r="A18" s="14" t="s">
        <v>7</v>
      </c>
      <c r="B18" s="10"/>
      <c r="C18" s="6"/>
      <c r="D18" s="11">
        <f>CORREL(D1735:D5007,D1735:D5007)</f>
        <v>1.0000000000000002</v>
      </c>
    </row>
    <row r="20" spans="1:4" x14ac:dyDescent="0.25">
      <c r="A20" t="s">
        <v>11</v>
      </c>
      <c r="D20" s="21">
        <f>CORREL(B27:B2057,D27:D2057)</f>
        <v>7.6950822909149855E-2</v>
      </c>
    </row>
    <row r="21" spans="1:4" x14ac:dyDescent="0.25">
      <c r="D21" s="5"/>
    </row>
    <row r="22" spans="1:4" x14ac:dyDescent="0.25">
      <c r="D22" s="5"/>
    </row>
    <row r="24" spans="1:4" x14ac:dyDescent="0.25">
      <c r="A24" s="1" t="s">
        <v>0</v>
      </c>
      <c r="B24" s="31" t="s">
        <v>3</v>
      </c>
      <c r="C24" s="31" t="s">
        <v>6</v>
      </c>
      <c r="D24" s="31" t="s">
        <v>7</v>
      </c>
    </row>
    <row r="25" spans="1:4" x14ac:dyDescent="0.25">
      <c r="A25" t="s">
        <v>8</v>
      </c>
      <c r="B25" t="s">
        <v>4</v>
      </c>
      <c r="C25" t="s">
        <v>4</v>
      </c>
      <c r="D25" t="s">
        <v>4</v>
      </c>
    </row>
    <row r="26" spans="1:4" x14ac:dyDescent="0.25">
      <c r="A26" s="2">
        <v>39846</v>
      </c>
    </row>
    <row r="27" spans="1:4" x14ac:dyDescent="0.25">
      <c r="A27" s="2">
        <v>39847</v>
      </c>
      <c r="B27">
        <v>-1.0894119024800197E-3</v>
      </c>
      <c r="D27">
        <v>7.9155739403453662E-3</v>
      </c>
    </row>
    <row r="28" spans="1:4" x14ac:dyDescent="0.25">
      <c r="A28" s="2">
        <v>39848</v>
      </c>
      <c r="B28">
        <v>-2.1810286330924411E-3</v>
      </c>
      <c r="D28">
        <v>-5.2355984392048471E-3</v>
      </c>
    </row>
    <row r="29" spans="1:4" x14ac:dyDescent="0.25">
      <c r="A29" s="2">
        <v>39849</v>
      </c>
      <c r="B29">
        <v>1.0929838441771089E-3</v>
      </c>
      <c r="D29">
        <v>-3.6841958410263054E-3</v>
      </c>
    </row>
    <row r="30" spans="1:4" x14ac:dyDescent="0.25">
      <c r="A30" s="2">
        <v>39850</v>
      </c>
      <c r="B30">
        <v>2.1834094852797303E-3</v>
      </c>
      <c r="D30">
        <v>3.6978193316288266E-3</v>
      </c>
    </row>
    <row r="31" spans="1:4" x14ac:dyDescent="0.25">
      <c r="A31" s="2">
        <v>39853</v>
      </c>
      <c r="B31">
        <v>-1.0894119024800197E-3</v>
      </c>
      <c r="D31">
        <v>9.6841892103574079E-3</v>
      </c>
    </row>
    <row r="32" spans="1:4" x14ac:dyDescent="0.25">
      <c r="A32" s="2">
        <v>39854</v>
      </c>
      <c r="B32">
        <v>2.1810286330923301E-3</v>
      </c>
      <c r="D32">
        <v>-3.8573281937601678E-3</v>
      </c>
    </row>
    <row r="33" spans="1:4" x14ac:dyDescent="0.25">
      <c r="A33" s="2">
        <v>39855</v>
      </c>
      <c r="B33">
        <v>3.2645086613463103E-3</v>
      </c>
      <c r="D33">
        <v>-5.2332194390414255E-4</v>
      </c>
    </row>
    <row r="34" spans="1:4" x14ac:dyDescent="0.25">
      <c r="A34" s="2">
        <v>39856</v>
      </c>
      <c r="B34">
        <v>5.4230870462321779E-3</v>
      </c>
      <c r="D34">
        <v>-5.2359595315620844E-4</v>
      </c>
    </row>
    <row r="35" spans="1:4" x14ac:dyDescent="0.25">
      <c r="A35" s="2">
        <v>39857</v>
      </c>
      <c r="B35">
        <v>-3.2363353927218341E-3</v>
      </c>
      <c r="D35">
        <v>-1.0476561999754885E-3</v>
      </c>
    </row>
    <row r="36" spans="1:4" x14ac:dyDescent="0.25">
      <c r="A36" s="2">
        <v>39861</v>
      </c>
      <c r="B36">
        <v>3.2468432664998215E-3</v>
      </c>
      <c r="D36">
        <v>-2.1499687127572664E-2</v>
      </c>
    </row>
    <row r="37" spans="1:4" x14ac:dyDescent="0.25">
      <c r="A37" s="2">
        <v>39862</v>
      </c>
      <c r="B37">
        <v>-2.1576699605920791E-3</v>
      </c>
      <c r="D37">
        <v>1.6076542720200315E-3</v>
      </c>
    </row>
    <row r="38" spans="1:4" x14ac:dyDescent="0.25">
      <c r="A38" s="2">
        <v>39863</v>
      </c>
      <c r="B38">
        <v>-5.4053291733662245E-3</v>
      </c>
      <c r="D38">
        <v>2.6752256173772082E-3</v>
      </c>
    </row>
    <row r="39" spans="1:4" x14ac:dyDescent="0.25">
      <c r="A39" s="2">
        <v>39864</v>
      </c>
      <c r="B39">
        <v>-1.0870436120941074E-3</v>
      </c>
      <c r="D39">
        <v>1.280688316375822E-2</v>
      </c>
    </row>
    <row r="40" spans="1:4" x14ac:dyDescent="0.25">
      <c r="A40" s="2">
        <v>39867</v>
      </c>
      <c r="B40">
        <v>-3.2643376372124555E-3</v>
      </c>
      <c r="D40">
        <v>-5.2687001336241268E-3</v>
      </c>
    </row>
    <row r="41" spans="1:4" x14ac:dyDescent="0.25">
      <c r="A41" s="2">
        <v>39868</v>
      </c>
      <c r="B41">
        <v>-7.6418474063585373E-3</v>
      </c>
      <c r="D41">
        <v>-4.767006611187119E-3</v>
      </c>
    </row>
    <row r="42" spans="1:4" x14ac:dyDescent="0.25">
      <c r="A42" s="2">
        <v>39869</v>
      </c>
      <c r="B42">
        <v>0</v>
      </c>
      <c r="D42">
        <v>-4.7897419292983745E-3</v>
      </c>
    </row>
    <row r="43" spans="1:4" x14ac:dyDescent="0.25">
      <c r="A43" s="2">
        <v>39870</v>
      </c>
      <c r="B43">
        <v>-2.2003961612199197E-3</v>
      </c>
      <c r="D43">
        <v>-4.2780964561957013E-3</v>
      </c>
    </row>
    <row r="44" spans="1:4" x14ac:dyDescent="0.25">
      <c r="A44" s="2">
        <v>39871</v>
      </c>
      <c r="B44">
        <v>3.8696688730703865E-3</v>
      </c>
      <c r="D44">
        <v>-8.5928556265947309E-3</v>
      </c>
    </row>
    <row r="45" spans="1:4" x14ac:dyDescent="0.25">
      <c r="A45" s="2">
        <v>39874</v>
      </c>
      <c r="B45">
        <v>3.3039254051667744E-3</v>
      </c>
      <c r="D45">
        <v>1.0531354035556717E-3</v>
      </c>
    </row>
    <row r="46" spans="1:4" x14ac:dyDescent="0.25">
      <c r="A46" s="2">
        <v>39875</v>
      </c>
      <c r="B46">
        <v>-3.2930454287144473E-3</v>
      </c>
      <c r="D46">
        <v>1.084659187896353E-3</v>
      </c>
    </row>
    <row r="47" spans="1:4" x14ac:dyDescent="0.25">
      <c r="A47" s="2">
        <v>39876</v>
      </c>
      <c r="B47">
        <v>-1.1013257302771029E-2</v>
      </c>
      <c r="D47">
        <v>-9.7508214269231841E-3</v>
      </c>
    </row>
    <row r="48" spans="1:4" x14ac:dyDescent="0.25">
      <c r="A48" s="2">
        <v>39877</v>
      </c>
      <c r="B48">
        <v>1.1135725291779863E-3</v>
      </c>
      <c r="D48">
        <v>0</v>
      </c>
    </row>
    <row r="49" spans="1:4" x14ac:dyDescent="0.25">
      <c r="A49" s="2">
        <v>39878</v>
      </c>
      <c r="B49">
        <v>2.2246677294861517E-3</v>
      </c>
      <c r="D49">
        <v>1.5317299311416788E-2</v>
      </c>
    </row>
    <row r="50" spans="1:4" x14ac:dyDescent="0.25">
      <c r="A50" s="2">
        <v>39881</v>
      </c>
      <c r="B50">
        <v>-3.3295943531193029E-3</v>
      </c>
      <c r="D50">
        <v>-1.5086219176807969E-2</v>
      </c>
    </row>
    <row r="51" spans="1:4" x14ac:dyDescent="0.25">
      <c r="A51" s="2">
        <v>39882</v>
      </c>
      <c r="B51">
        <v>-3.340717587534181E-3</v>
      </c>
      <c r="D51">
        <v>1.0393831029426037E-2</v>
      </c>
    </row>
    <row r="52" spans="1:4" x14ac:dyDescent="0.25">
      <c r="A52" s="2">
        <v>39883</v>
      </c>
      <c r="B52">
        <v>-3.3519153902302756E-3</v>
      </c>
      <c r="D52">
        <v>2.7071006992001045E-3</v>
      </c>
    </row>
    <row r="53" spans="1:4" x14ac:dyDescent="0.25">
      <c r="A53" s="2">
        <v>39884</v>
      </c>
      <c r="B53">
        <v>3.3631885135692041E-3</v>
      </c>
      <c r="D53">
        <v>1.6198802088343012E-3</v>
      </c>
    </row>
    <row r="54" spans="1:4" x14ac:dyDescent="0.25">
      <c r="A54" s="2">
        <v>39885</v>
      </c>
      <c r="B54">
        <v>0</v>
      </c>
      <c r="D54">
        <v>0</v>
      </c>
    </row>
    <row r="55" spans="1:4" x14ac:dyDescent="0.25">
      <c r="A55" s="2">
        <v>39888</v>
      </c>
      <c r="B55">
        <v>-4.4693956465029494E-3</v>
      </c>
      <c r="D55">
        <v>9.0565669530846549E-3</v>
      </c>
    </row>
    <row r="56" spans="1:4" x14ac:dyDescent="0.25">
      <c r="A56" s="2">
        <v>39889</v>
      </c>
      <c r="B56">
        <v>-1.1223212276857408E-3</v>
      </c>
      <c r="D56">
        <v>-9.6160537370482135E-4</v>
      </c>
    </row>
    <row r="57" spans="1:4" x14ac:dyDescent="0.25">
      <c r="A57" s="2">
        <v>39890</v>
      </c>
      <c r="B57">
        <v>0</v>
      </c>
      <c r="D57">
        <v>2.6737974015454968E-2</v>
      </c>
    </row>
    <row r="58" spans="1:4" x14ac:dyDescent="0.25">
      <c r="A58" s="2">
        <v>39891</v>
      </c>
      <c r="B58">
        <v>8.9888340932189337E-3</v>
      </c>
      <c r="D58">
        <v>2.5520804116334173E-2</v>
      </c>
    </row>
    <row r="59" spans="1:4" x14ac:dyDescent="0.25">
      <c r="A59" s="2">
        <v>39892</v>
      </c>
      <c r="B59">
        <v>3.340717587534181E-3</v>
      </c>
      <c r="D59">
        <v>-1.4728265134147933E-2</v>
      </c>
    </row>
    <row r="60" spans="1:4" x14ac:dyDescent="0.25">
      <c r="A60" s="2">
        <v>39895</v>
      </c>
      <c r="B60">
        <v>-3.3295943531193029E-3</v>
      </c>
      <c r="D60">
        <v>8.7628725054771373E-3</v>
      </c>
    </row>
    <row r="61" spans="1:4" x14ac:dyDescent="0.25">
      <c r="A61" s="2">
        <v>39896</v>
      </c>
      <c r="B61">
        <v>-5.5678626458902647E-3</v>
      </c>
      <c r="D61">
        <v>-1.4818564551300928E-2</v>
      </c>
    </row>
    <row r="62" spans="1:4" x14ac:dyDescent="0.25">
      <c r="A62" s="2">
        <v>39897</v>
      </c>
      <c r="B62">
        <v>4.4792298532945196E-3</v>
      </c>
      <c r="D62">
        <v>0</v>
      </c>
    </row>
    <row r="63" spans="1:4" x14ac:dyDescent="0.25">
      <c r="A63" s="2">
        <v>39898</v>
      </c>
      <c r="B63">
        <v>-1.1148139553737169E-3</v>
      </c>
      <c r="D63">
        <v>2.5933567683957826E-3</v>
      </c>
    </row>
    <row r="64" spans="1:4" x14ac:dyDescent="0.25">
      <c r="A64" s="2">
        <v>39899</v>
      </c>
      <c r="B64">
        <v>3.348174457731945E-3</v>
      </c>
      <c r="D64">
        <v>-9.3119707994891998E-3</v>
      </c>
    </row>
    <row r="65" spans="1:4" x14ac:dyDescent="0.25">
      <c r="A65" s="2">
        <v>39902</v>
      </c>
      <c r="B65">
        <v>5.5618436707158825E-3</v>
      </c>
      <c r="D65">
        <v>-5.7441520437888638E-3</v>
      </c>
    </row>
    <row r="66" spans="1:4" x14ac:dyDescent="0.25">
      <c r="A66" s="2">
        <v>39903</v>
      </c>
      <c r="B66">
        <v>4.3279782938763223E-3</v>
      </c>
      <c r="D66">
        <v>-6.3022459921779905E-4</v>
      </c>
    </row>
    <row r="67" spans="1:4" x14ac:dyDescent="0.25">
      <c r="A67" s="2">
        <v>39904</v>
      </c>
      <c r="B67">
        <v>2.2099071721595198E-3</v>
      </c>
      <c r="D67">
        <v>5.8424315614686861E-3</v>
      </c>
    </row>
    <row r="68" spans="1:4" x14ac:dyDescent="0.25">
      <c r="A68" s="2">
        <v>39905</v>
      </c>
      <c r="B68">
        <v>-7.7177060064574921E-3</v>
      </c>
      <c r="D68">
        <v>4.1862315943668182E-3</v>
      </c>
    </row>
    <row r="69" spans="1:4" x14ac:dyDescent="0.25">
      <c r="A69" s="2">
        <v>39906</v>
      </c>
      <c r="B69">
        <v>-3.3333634230632292E-3</v>
      </c>
      <c r="D69">
        <v>0</v>
      </c>
    </row>
    <row r="70" spans="1:4" x14ac:dyDescent="0.25">
      <c r="A70" s="2">
        <v>39909</v>
      </c>
      <c r="B70">
        <v>0</v>
      </c>
      <c r="D70">
        <v>-6.7743034959439896E-3</v>
      </c>
    </row>
    <row r="71" spans="1:4" x14ac:dyDescent="0.25">
      <c r="A71" s="2">
        <v>39910</v>
      </c>
      <c r="B71">
        <v>2.2296165393966838E-3</v>
      </c>
      <c r="D71">
        <v>-6.2959641792353915E-3</v>
      </c>
    </row>
    <row r="72" spans="1:4" x14ac:dyDescent="0.25">
      <c r="A72" s="2">
        <v>39911</v>
      </c>
      <c r="B72">
        <v>2.2248301963783135E-3</v>
      </c>
      <c r="D72">
        <v>3.6959393078797032E-3</v>
      </c>
    </row>
    <row r="73" spans="1:4" x14ac:dyDescent="0.25">
      <c r="A73" s="2">
        <v>39912</v>
      </c>
      <c r="B73">
        <v>0</v>
      </c>
      <c r="D73">
        <v>-6.8385192395421512E-3</v>
      </c>
    </row>
    <row r="74" spans="1:4" x14ac:dyDescent="0.25">
      <c r="A74" s="2">
        <v>39916</v>
      </c>
      <c r="B74">
        <v>0</v>
      </c>
      <c r="D74">
        <v>7.4152238426323791E-3</v>
      </c>
    </row>
    <row r="75" spans="1:4" x14ac:dyDescent="0.25">
      <c r="A75" s="2">
        <v>39917</v>
      </c>
      <c r="B75">
        <v>3.3296635708068845E-3</v>
      </c>
      <c r="D75">
        <v>0</v>
      </c>
    </row>
    <row r="76" spans="1:4" x14ac:dyDescent="0.25">
      <c r="A76" s="2">
        <v>39918</v>
      </c>
      <c r="B76">
        <v>2.2123515269476535E-3</v>
      </c>
      <c r="D76">
        <v>2.4185431015155689E-3</v>
      </c>
    </row>
    <row r="77" spans="1:4" x14ac:dyDescent="0.25">
      <c r="A77" s="2">
        <v>39919</v>
      </c>
      <c r="B77">
        <v>1.1036476935832873E-3</v>
      </c>
      <c r="D77">
        <v>-2.9371583837808357E-3</v>
      </c>
    </row>
    <row r="78" spans="1:4" x14ac:dyDescent="0.25">
      <c r="A78" s="2">
        <v>39920</v>
      </c>
      <c r="B78">
        <v>-1.1024309981548797E-3</v>
      </c>
      <c r="D78">
        <v>-7.8905824390511636E-3</v>
      </c>
    </row>
    <row r="79" spans="1:4" x14ac:dyDescent="0.25">
      <c r="A79" s="2">
        <v>39923</v>
      </c>
      <c r="B79">
        <v>6.6224034963560108E-3</v>
      </c>
      <c r="D79">
        <v>-2.1209340995337334E-3</v>
      </c>
    </row>
    <row r="80" spans="1:4" x14ac:dyDescent="0.25">
      <c r="A80" s="2">
        <v>39924</v>
      </c>
      <c r="B80">
        <v>-2.1929452637368119E-3</v>
      </c>
      <c r="D80">
        <v>0</v>
      </c>
    </row>
    <row r="81" spans="1:4" x14ac:dyDescent="0.25">
      <c r="A81" s="2">
        <v>39925</v>
      </c>
      <c r="B81">
        <v>-1.0987965773860964E-3</v>
      </c>
      <c r="D81">
        <v>3.5069294358578418E-3</v>
      </c>
    </row>
    <row r="82" spans="1:4" x14ac:dyDescent="0.25">
      <c r="A82" s="2">
        <v>39926</v>
      </c>
      <c r="B82">
        <v>0</v>
      </c>
      <c r="D82">
        <v>5.5066867768507333E-3</v>
      </c>
    </row>
    <row r="83" spans="1:4" x14ac:dyDescent="0.25">
      <c r="A83" s="2">
        <v>39927</v>
      </c>
      <c r="B83">
        <v>3.3001876540224018E-3</v>
      </c>
      <c r="D83">
        <v>1.0531857526530075E-2</v>
      </c>
    </row>
    <row r="84" spans="1:4" x14ac:dyDescent="0.25">
      <c r="A84" s="2">
        <v>39930</v>
      </c>
      <c r="B84">
        <v>2.1931165742017367E-3</v>
      </c>
      <c r="D84">
        <v>-6.7743034959439896E-3</v>
      </c>
    </row>
    <row r="85" spans="1:4" x14ac:dyDescent="0.25">
      <c r="A85" s="2">
        <v>39931</v>
      </c>
      <c r="B85">
        <v>3.2823050731798364E-3</v>
      </c>
      <c r="D85">
        <v>4.9317280452954027E-3</v>
      </c>
    </row>
    <row r="86" spans="1:4" x14ac:dyDescent="0.25">
      <c r="A86" s="2">
        <v>39932</v>
      </c>
      <c r="B86">
        <v>1.0904086800620494E-3</v>
      </c>
      <c r="D86">
        <v>1.1799151314375811E-2</v>
      </c>
    </row>
    <row r="87" spans="1:4" x14ac:dyDescent="0.25">
      <c r="A87" s="2">
        <v>39933</v>
      </c>
      <c r="B87">
        <v>3.1689523004603259E-3</v>
      </c>
      <c r="D87">
        <v>-5.4695368877076822E-3</v>
      </c>
    </row>
    <row r="88" spans="1:4" x14ac:dyDescent="0.25">
      <c r="A88" s="2">
        <v>39934</v>
      </c>
      <c r="B88">
        <v>1.0893429146650035E-3</v>
      </c>
      <c r="D88">
        <v>1.8677133657507561E-4</v>
      </c>
    </row>
    <row r="89" spans="1:4" x14ac:dyDescent="0.25">
      <c r="A89" s="2">
        <v>39937</v>
      </c>
      <c r="B89">
        <v>0</v>
      </c>
      <c r="D89">
        <v>4.8769631775331668E-3</v>
      </c>
    </row>
    <row r="90" spans="1:4" x14ac:dyDescent="0.25">
      <c r="A90" s="2">
        <v>39938</v>
      </c>
      <c r="B90">
        <v>1.0881575379608766E-3</v>
      </c>
      <c r="D90">
        <v>-1.3423853296230526E-3</v>
      </c>
    </row>
    <row r="91" spans="1:4" x14ac:dyDescent="0.25">
      <c r="A91" s="2">
        <v>39939</v>
      </c>
      <c r="B91">
        <v>2.1739494764119183E-3</v>
      </c>
      <c r="D91">
        <v>4.0326639719565627E-3</v>
      </c>
    </row>
    <row r="92" spans="1:4" x14ac:dyDescent="0.25">
      <c r="A92" s="2">
        <v>39940</v>
      </c>
      <c r="B92">
        <v>-1.0846168360033603E-3</v>
      </c>
      <c r="D92">
        <v>-4.9433184904530414E-3</v>
      </c>
    </row>
    <row r="93" spans="1:4" x14ac:dyDescent="0.25">
      <c r="A93" s="2">
        <v>39941</v>
      </c>
      <c r="B93">
        <v>6.5147670420362402E-3</v>
      </c>
      <c r="D93">
        <v>1.428273320373008E-2</v>
      </c>
    </row>
    <row r="94" spans="1:4" x14ac:dyDescent="0.25">
      <c r="A94" s="2">
        <v>39944</v>
      </c>
      <c r="B94">
        <v>5.393664963757594E-3</v>
      </c>
      <c r="D94">
        <v>2.0407807728586302E-3</v>
      </c>
    </row>
    <row r="95" spans="1:4" x14ac:dyDescent="0.25">
      <c r="A95" s="2">
        <v>39945</v>
      </c>
      <c r="B95">
        <v>-1.0729793030797019E-3</v>
      </c>
      <c r="D95">
        <v>5.0920275923549418E-4</v>
      </c>
    </row>
    <row r="96" spans="1:4" x14ac:dyDescent="0.25">
      <c r="A96" s="2">
        <v>39946</v>
      </c>
      <c r="B96">
        <v>3.2223954728880511E-3</v>
      </c>
      <c r="D96">
        <v>3.3588016859975589E-3</v>
      </c>
    </row>
    <row r="97" spans="1:4" x14ac:dyDescent="0.25">
      <c r="A97" s="2">
        <v>39947</v>
      </c>
      <c r="B97">
        <v>3.2118782467700502E-3</v>
      </c>
      <c r="D97">
        <v>2.9417799330886396E-3</v>
      </c>
    </row>
    <row r="98" spans="1:4" x14ac:dyDescent="0.25">
      <c r="A98" s="2">
        <v>39948</v>
      </c>
      <c r="B98">
        <v>-1.0672537753623201E-3</v>
      </c>
      <c r="D98">
        <v>-7.2823017534444645E-3</v>
      </c>
    </row>
    <row r="99" spans="1:4" x14ac:dyDescent="0.25">
      <c r="A99" s="2">
        <v>39951</v>
      </c>
      <c r="B99">
        <v>1.0683940229168076E-3</v>
      </c>
      <c r="D99">
        <v>1.9357554357775086E-3</v>
      </c>
    </row>
    <row r="100" spans="1:4" x14ac:dyDescent="0.25">
      <c r="A100" s="2">
        <v>39952</v>
      </c>
      <c r="B100">
        <v>0</v>
      </c>
      <c r="D100">
        <v>5.186115360976018E-3</v>
      </c>
    </row>
    <row r="101" spans="1:4" x14ac:dyDescent="0.25">
      <c r="A101" s="2">
        <v>39953</v>
      </c>
      <c r="B101">
        <v>1.0672537753624312E-3</v>
      </c>
      <c r="D101">
        <v>9.6105621764113192E-3</v>
      </c>
    </row>
    <row r="102" spans="1:4" x14ac:dyDescent="0.25">
      <c r="A102" s="2">
        <v>39954</v>
      </c>
      <c r="B102">
        <v>4.264463836320509E-3</v>
      </c>
      <c r="D102">
        <v>6.412817001291371E-3</v>
      </c>
    </row>
    <row r="103" spans="1:4" x14ac:dyDescent="0.25">
      <c r="A103" s="2">
        <v>39955</v>
      </c>
      <c r="B103">
        <v>-4.2463554072501575E-3</v>
      </c>
      <c r="D103">
        <v>5.8741196652616345E-3</v>
      </c>
    </row>
    <row r="104" spans="1:4" x14ac:dyDescent="0.25">
      <c r="A104" s="2">
        <v>39959</v>
      </c>
      <c r="B104">
        <v>-2.1322319181601435E-3</v>
      </c>
      <c r="D104">
        <v>-7.1266080013682176E-3</v>
      </c>
    </row>
    <row r="105" spans="1:4" x14ac:dyDescent="0.25">
      <c r="A105" s="2">
        <v>39960</v>
      </c>
      <c r="B105">
        <v>-2.136621655237092E-3</v>
      </c>
      <c r="D105">
        <v>-3.6885126930591428E-3</v>
      </c>
    </row>
    <row r="106" spans="1:4" x14ac:dyDescent="0.25">
      <c r="A106" s="2">
        <v>39961</v>
      </c>
      <c r="B106">
        <v>2.1411965822228929E-3</v>
      </c>
      <c r="D106">
        <v>-5.2031685698040731E-3</v>
      </c>
    </row>
    <row r="107" spans="1:4" x14ac:dyDescent="0.25">
      <c r="A107" s="2">
        <v>39962</v>
      </c>
      <c r="B107">
        <v>1.0187763469110767E-2</v>
      </c>
      <c r="D107">
        <v>1.6395140215208048E-2</v>
      </c>
    </row>
    <row r="108" spans="1:4" x14ac:dyDescent="0.25">
      <c r="A108" s="2">
        <v>39965</v>
      </c>
      <c r="B108">
        <v>-5.3078617462198885E-3</v>
      </c>
      <c r="D108">
        <v>-1.4567725538241483E-3</v>
      </c>
    </row>
    <row r="109" spans="1:4" x14ac:dyDescent="0.25">
      <c r="A109" s="2">
        <v>39966</v>
      </c>
      <c r="B109">
        <v>3.2017112886031374E-3</v>
      </c>
      <c r="D109">
        <v>7.741153089890096E-3</v>
      </c>
    </row>
    <row r="110" spans="1:4" x14ac:dyDescent="0.25">
      <c r="A110" s="2">
        <v>39967</v>
      </c>
      <c r="B110">
        <v>5.3191550821329869E-3</v>
      </c>
      <c r="D110">
        <v>-6.4014366687759061E-3</v>
      </c>
    </row>
    <row r="111" spans="1:4" x14ac:dyDescent="0.25">
      <c r="A111" s="2">
        <v>39968</v>
      </c>
      <c r="B111">
        <v>-3.1746068232619828E-3</v>
      </c>
      <c r="D111">
        <v>-9.8126410658174734E-3</v>
      </c>
    </row>
    <row r="112" spans="1:4" x14ac:dyDescent="0.25">
      <c r="A112" s="2">
        <v>39969</v>
      </c>
      <c r="B112">
        <v>-6.3694340954638662E-3</v>
      </c>
      <c r="D112">
        <v>-1.3913908427004573E-2</v>
      </c>
    </row>
    <row r="113" spans="1:4" x14ac:dyDescent="0.25">
      <c r="A113" s="2">
        <v>39972</v>
      </c>
      <c r="B113">
        <v>-1.0683773080968351E-3</v>
      </c>
      <c r="D113">
        <v>-4.0606042308644064E-4</v>
      </c>
    </row>
    <row r="114" spans="1:4" x14ac:dyDescent="0.25">
      <c r="A114" s="2">
        <v>39973</v>
      </c>
      <c r="B114">
        <v>4.2780798358066363E-3</v>
      </c>
      <c r="D114">
        <v>1.0256949771485946E-2</v>
      </c>
    </row>
    <row r="115" spans="1:4" x14ac:dyDescent="0.25">
      <c r="A115" s="2">
        <v>39974</v>
      </c>
      <c r="B115">
        <v>-3.1948918743499588E-3</v>
      </c>
      <c r="D115">
        <v>-7.0366361028646462E-3</v>
      </c>
    </row>
    <row r="116" spans="1:4" x14ac:dyDescent="0.25">
      <c r="A116" s="2">
        <v>39975</v>
      </c>
      <c r="B116">
        <v>1.0683773080970571E-3</v>
      </c>
      <c r="D116">
        <v>1.0326024479533569E-2</v>
      </c>
    </row>
    <row r="117" spans="1:4" x14ac:dyDescent="0.25">
      <c r="A117" s="2">
        <v>39976</v>
      </c>
      <c r="B117">
        <v>3.2017112886031374E-3</v>
      </c>
      <c r="D117">
        <v>-4.5090662245879098E-3</v>
      </c>
    </row>
    <row r="118" spans="1:4" x14ac:dyDescent="0.25">
      <c r="A118" s="2">
        <v>39979</v>
      </c>
      <c r="B118">
        <v>5.3191550821329869E-3</v>
      </c>
      <c r="D118">
        <v>-7.6497444537736436E-3</v>
      </c>
    </row>
    <row r="119" spans="1:4" x14ac:dyDescent="0.25">
      <c r="A119" s="2">
        <v>39980</v>
      </c>
      <c r="B119">
        <v>2.1164045488413219E-3</v>
      </c>
      <c r="D119">
        <v>6.9986994758959309E-3</v>
      </c>
    </row>
    <row r="120" spans="1:4" x14ac:dyDescent="0.25">
      <c r="A120" s="2">
        <v>39981</v>
      </c>
      <c r="B120">
        <v>3.1679022605075602E-3</v>
      </c>
      <c r="D120">
        <v>9.1660403633235799E-3</v>
      </c>
    </row>
    <row r="121" spans="1:4" x14ac:dyDescent="0.25">
      <c r="A121" s="2">
        <v>39982</v>
      </c>
      <c r="B121">
        <v>-5.263163911991664E-3</v>
      </c>
      <c r="D121">
        <v>-7.6854467100134771E-3</v>
      </c>
    </row>
    <row r="122" spans="1:4" x14ac:dyDescent="0.25">
      <c r="A122" s="2">
        <v>39983</v>
      </c>
      <c r="B122">
        <v>3.1746068232618718E-3</v>
      </c>
      <c r="D122">
        <v>7.4432268411519509E-3</v>
      </c>
    </row>
    <row r="123" spans="1:4" x14ac:dyDescent="0.25">
      <c r="A123" s="2">
        <v>39986</v>
      </c>
      <c r="B123">
        <v>3.1645605876278182E-3</v>
      </c>
      <c r="D123">
        <v>-4.4928595187209153E-3</v>
      </c>
    </row>
    <row r="124" spans="1:4" x14ac:dyDescent="0.25">
      <c r="A124" s="2">
        <v>39987</v>
      </c>
      <c r="B124">
        <v>1.0515259117520603E-3</v>
      </c>
      <c r="D124">
        <v>1.1132299162689208E-2</v>
      </c>
    </row>
    <row r="125" spans="1:4" x14ac:dyDescent="0.25">
      <c r="A125" s="2">
        <v>39988</v>
      </c>
      <c r="B125">
        <v>-1.050421366467047E-3</v>
      </c>
      <c r="D125">
        <v>-5.3560967331076625E-3</v>
      </c>
    </row>
    <row r="126" spans="1:4" x14ac:dyDescent="0.25">
      <c r="A126" s="2">
        <v>39989</v>
      </c>
      <c r="B126">
        <v>3.154577735256181E-3</v>
      </c>
      <c r="D126">
        <v>2.6925037010765429E-3</v>
      </c>
    </row>
    <row r="127" spans="1:4" x14ac:dyDescent="0.25">
      <c r="A127" s="2">
        <v>39990</v>
      </c>
      <c r="B127">
        <v>2.0964384454607021E-3</v>
      </c>
      <c r="D127">
        <v>8.1551426816490746E-3</v>
      </c>
    </row>
    <row r="128" spans="1:4" x14ac:dyDescent="0.25">
      <c r="A128" s="2">
        <v>39993</v>
      </c>
      <c r="B128">
        <v>0</v>
      </c>
      <c r="D128">
        <v>-4.5378168360423743E-3</v>
      </c>
    </row>
    <row r="129" spans="1:4" x14ac:dyDescent="0.25">
      <c r="A129" s="2">
        <v>39994</v>
      </c>
      <c r="B129">
        <v>3.569148829984492E-3</v>
      </c>
      <c r="D129">
        <v>1.4864058796026924E-3</v>
      </c>
    </row>
    <row r="130" spans="1:4" x14ac:dyDescent="0.25">
      <c r="A130" s="2">
        <v>39995</v>
      </c>
      <c r="B130">
        <v>-1.0460257812686669E-3</v>
      </c>
      <c r="D130">
        <v>5.2443866933187255E-3</v>
      </c>
    </row>
    <row r="131" spans="1:4" x14ac:dyDescent="0.25">
      <c r="A131" s="2">
        <v>39996</v>
      </c>
      <c r="B131">
        <v>5.2356054846609545E-3</v>
      </c>
      <c r="D131">
        <v>-2.3668418206599373E-3</v>
      </c>
    </row>
    <row r="132" spans="1:4" x14ac:dyDescent="0.25">
      <c r="A132" s="2">
        <v>40000</v>
      </c>
      <c r="B132">
        <v>4.1666693508228825E-3</v>
      </c>
      <c r="D132">
        <v>-3.8553498887325954E-3</v>
      </c>
    </row>
    <row r="133" spans="1:4" x14ac:dyDescent="0.25">
      <c r="A133" s="2">
        <v>40001</v>
      </c>
      <c r="B133">
        <v>2.0746901276440521E-3</v>
      </c>
      <c r="D133">
        <v>1.1908648549263656E-3</v>
      </c>
    </row>
    <row r="134" spans="1:4" x14ac:dyDescent="0.25">
      <c r="A134" s="2">
        <v>40002</v>
      </c>
      <c r="B134">
        <v>4.1407894003986367E-3</v>
      </c>
      <c r="D134">
        <v>-1.9823310138490369E-3</v>
      </c>
    </row>
    <row r="135" spans="1:4" x14ac:dyDescent="0.25">
      <c r="A135" s="2">
        <v>40003</v>
      </c>
      <c r="B135">
        <v>-3.0927854769782215E-3</v>
      </c>
      <c r="D135">
        <v>1.3308132402118922E-2</v>
      </c>
    </row>
    <row r="136" spans="1:4" x14ac:dyDescent="0.25">
      <c r="A136" s="2">
        <v>40004</v>
      </c>
      <c r="B136">
        <v>3.1023804742531524E-3</v>
      </c>
      <c r="D136">
        <v>-9.800798603394334E-4</v>
      </c>
    </row>
    <row r="137" spans="1:4" x14ac:dyDescent="0.25">
      <c r="A137" s="2">
        <v>40007</v>
      </c>
      <c r="B137">
        <v>-1.0309284923259998E-3</v>
      </c>
      <c r="D137">
        <v>1.0791712480771043E-3</v>
      </c>
    </row>
    <row r="138" spans="1:4" x14ac:dyDescent="0.25">
      <c r="A138" s="2">
        <v>40008</v>
      </c>
      <c r="B138">
        <v>-3.0959772080936254E-3</v>
      </c>
      <c r="D138">
        <v>-4.9000419778942872E-3</v>
      </c>
    </row>
    <row r="139" spans="1:4" x14ac:dyDescent="0.25">
      <c r="A139" s="2">
        <v>40009</v>
      </c>
      <c r="B139">
        <v>-4.1407894003985257E-3</v>
      </c>
      <c r="D139">
        <v>5.4165472189393604E-3</v>
      </c>
    </row>
    <row r="140" spans="1:4" x14ac:dyDescent="0.25">
      <c r="A140" s="2">
        <v>40010</v>
      </c>
      <c r="B140">
        <v>4.1580068310111962E-3</v>
      </c>
      <c r="D140">
        <v>5.485398291233734E-3</v>
      </c>
    </row>
    <row r="141" spans="1:4" x14ac:dyDescent="0.25">
      <c r="A141" s="2">
        <v>40011</v>
      </c>
      <c r="B141">
        <v>-2.0703947001990963E-3</v>
      </c>
      <c r="D141">
        <v>-6.3322025853864705E-3</v>
      </c>
    </row>
    <row r="142" spans="1:4" x14ac:dyDescent="0.25">
      <c r="A142" s="2">
        <v>40014</v>
      </c>
      <c r="B142">
        <v>0</v>
      </c>
      <c r="D142">
        <v>6.2745035379441205E-3</v>
      </c>
    </row>
    <row r="143" spans="1:4" x14ac:dyDescent="0.25">
      <c r="A143" s="2">
        <v>40015</v>
      </c>
      <c r="B143">
        <v>3.1120351914659672E-3</v>
      </c>
      <c r="D143">
        <v>2.825414385344116E-3</v>
      </c>
    </row>
    <row r="144" spans="1:4" x14ac:dyDescent="0.25">
      <c r="A144" s="2">
        <v>40016</v>
      </c>
      <c r="B144">
        <v>0</v>
      </c>
      <c r="D144">
        <v>1.5544141244103749E-3</v>
      </c>
    </row>
    <row r="145" spans="1:4" x14ac:dyDescent="0.25">
      <c r="A145" s="2">
        <v>40017</v>
      </c>
      <c r="B145">
        <v>-2.0682536495018056E-3</v>
      </c>
      <c r="D145">
        <v>-6.7901498493611046E-3</v>
      </c>
    </row>
    <row r="146" spans="1:4" x14ac:dyDescent="0.25">
      <c r="A146" s="2">
        <v>40018</v>
      </c>
      <c r="B146">
        <v>4.1450803766203137E-3</v>
      </c>
      <c r="D146">
        <v>2.1486570428110863E-3</v>
      </c>
    </row>
    <row r="147" spans="1:4" x14ac:dyDescent="0.25">
      <c r="A147" s="2">
        <v>40021</v>
      </c>
      <c r="B147">
        <v>0</v>
      </c>
      <c r="D147">
        <v>9.747957895145376E-5</v>
      </c>
    </row>
    <row r="148" spans="1:4" x14ac:dyDescent="0.25">
      <c r="A148" s="2">
        <v>40022</v>
      </c>
      <c r="B148">
        <v>2.0639848053956023E-3</v>
      </c>
      <c r="D148">
        <v>1.9489010782589578E-3</v>
      </c>
    </row>
    <row r="149" spans="1:4" x14ac:dyDescent="0.25">
      <c r="A149" s="2">
        <v>40023</v>
      </c>
      <c r="B149">
        <v>2.0595743217335372E-3</v>
      </c>
      <c r="D149">
        <v>-9.4339650915118423E-3</v>
      </c>
    </row>
    <row r="150" spans="1:4" x14ac:dyDescent="0.25">
      <c r="A150" s="2">
        <v>40024</v>
      </c>
      <c r="B150">
        <v>2.0556589891025379E-3</v>
      </c>
      <c r="D150">
        <v>4.4183050752417685E-3</v>
      </c>
    </row>
    <row r="151" spans="1:4" x14ac:dyDescent="0.25">
      <c r="A151" s="2">
        <v>40025</v>
      </c>
      <c r="B151">
        <v>1.1120315316629714E-2</v>
      </c>
      <c r="D151">
        <v>1.5933504452916747E-2</v>
      </c>
    </row>
    <row r="152" spans="1:4" x14ac:dyDescent="0.25">
      <c r="A152" s="2">
        <v>40028</v>
      </c>
      <c r="B152">
        <v>-3.0550038705079441E-3</v>
      </c>
      <c r="D152">
        <v>4.273258973995997E-3</v>
      </c>
    </row>
    <row r="153" spans="1:4" x14ac:dyDescent="0.25">
      <c r="A153" s="2">
        <v>40029</v>
      </c>
      <c r="B153">
        <v>0</v>
      </c>
      <c r="D153">
        <v>-2.3052382931203486E-3</v>
      </c>
    </row>
    <row r="154" spans="1:4" x14ac:dyDescent="0.25">
      <c r="A154" s="2">
        <v>40030</v>
      </c>
      <c r="B154">
        <v>1.0214027369126466E-3</v>
      </c>
      <c r="D154">
        <v>3.8509155855643851E-3</v>
      </c>
    </row>
    <row r="155" spans="1:4" x14ac:dyDescent="0.25">
      <c r="A155" s="2">
        <v>40031</v>
      </c>
      <c r="B155">
        <v>6.1224775227601835E-3</v>
      </c>
      <c r="D155">
        <v>-6.0419843336106949E-3</v>
      </c>
    </row>
    <row r="156" spans="1:4" x14ac:dyDescent="0.25">
      <c r="A156" s="2">
        <v>40032</v>
      </c>
      <c r="B156">
        <v>-3.0426104473060267E-3</v>
      </c>
      <c r="D156">
        <v>-1.6885371621685685E-2</v>
      </c>
    </row>
    <row r="157" spans="1:4" x14ac:dyDescent="0.25">
      <c r="A157" s="2">
        <v>40035</v>
      </c>
      <c r="B157">
        <v>4.0691426819432497E-3</v>
      </c>
      <c r="D157">
        <v>4.9075080594040976E-4</v>
      </c>
    </row>
    <row r="158" spans="1:4" x14ac:dyDescent="0.25">
      <c r="A158" s="2">
        <v>40036</v>
      </c>
      <c r="B158">
        <v>2.0264039482653651E-3</v>
      </c>
      <c r="D158">
        <v>3.0409883308675223E-3</v>
      </c>
    </row>
    <row r="159" spans="1:4" x14ac:dyDescent="0.25">
      <c r="A159" s="2">
        <v>40037</v>
      </c>
      <c r="B159">
        <v>2.0221502218122911E-3</v>
      </c>
      <c r="D159">
        <v>5.1833562823679902E-3</v>
      </c>
    </row>
    <row r="160" spans="1:4" x14ac:dyDescent="0.25">
      <c r="A160" s="2">
        <v>40038</v>
      </c>
      <c r="B160">
        <v>2.0182247858269164E-3</v>
      </c>
      <c r="D160">
        <v>5.7404557452318539E-3</v>
      </c>
    </row>
    <row r="161" spans="1:4" x14ac:dyDescent="0.25">
      <c r="A161" s="2">
        <v>40039</v>
      </c>
      <c r="B161">
        <v>5.0351667610133433E-3</v>
      </c>
      <c r="D161">
        <v>-9.6745994557034809E-4</v>
      </c>
    </row>
    <row r="162" spans="1:4" x14ac:dyDescent="0.25">
      <c r="A162" s="2">
        <v>40042</v>
      </c>
      <c r="B162">
        <v>3.0061805627996652E-3</v>
      </c>
      <c r="D162">
        <v>-1.6461544541519491E-3</v>
      </c>
    </row>
    <row r="163" spans="1:4" x14ac:dyDescent="0.25">
      <c r="A163" s="2">
        <v>40043</v>
      </c>
      <c r="B163">
        <v>-9.9910812599224297E-4</v>
      </c>
      <c r="D163">
        <v>1.648868746783716E-3</v>
      </c>
    </row>
    <row r="164" spans="1:4" x14ac:dyDescent="0.25">
      <c r="A164" s="2">
        <v>40044</v>
      </c>
      <c r="B164">
        <v>2.0000606779015939E-3</v>
      </c>
      <c r="D164">
        <v>8.0372075508430285E-3</v>
      </c>
    </row>
    <row r="165" spans="1:4" x14ac:dyDescent="0.25">
      <c r="A165" s="2">
        <v>40045</v>
      </c>
      <c r="B165">
        <v>0</v>
      </c>
      <c r="D165">
        <v>-1.9209795451546885E-4</v>
      </c>
    </row>
    <row r="166" spans="1:4" x14ac:dyDescent="0.25">
      <c r="A166" s="2">
        <v>40046</v>
      </c>
      <c r="B166">
        <v>-2.994025781205556E-3</v>
      </c>
      <c r="D166">
        <v>1.6333432193571529E-3</v>
      </c>
    </row>
    <row r="167" spans="1:4" x14ac:dyDescent="0.25">
      <c r="A167" s="2">
        <v>40049</v>
      </c>
      <c r="B167">
        <v>3.003016891199195E-3</v>
      </c>
      <c r="D167">
        <v>-4.7964124237198646E-4</v>
      </c>
    </row>
    <row r="168" spans="1:4" x14ac:dyDescent="0.25">
      <c r="A168" s="2">
        <v>40050</v>
      </c>
      <c r="B168">
        <v>1.9959147225223628E-3</v>
      </c>
      <c r="D168">
        <v>-9.5924025375060396E-5</v>
      </c>
    </row>
    <row r="169" spans="1:4" x14ac:dyDescent="0.25">
      <c r="A169" s="2">
        <v>40051</v>
      </c>
      <c r="B169">
        <v>1.9920923734475515E-3</v>
      </c>
      <c r="D169">
        <v>-1.8236054327095408E-3</v>
      </c>
    </row>
    <row r="170" spans="1:4" x14ac:dyDescent="0.25">
      <c r="A170" s="2">
        <v>40052</v>
      </c>
      <c r="B170">
        <v>1.9881318311893992E-3</v>
      </c>
      <c r="D170">
        <v>6.057659118307912E-3</v>
      </c>
    </row>
    <row r="171" spans="1:4" x14ac:dyDescent="0.25">
      <c r="A171" s="2">
        <v>40053</v>
      </c>
      <c r="B171">
        <v>0</v>
      </c>
      <c r="D171">
        <v>-5.7341819644096681E-4</v>
      </c>
    </row>
    <row r="172" spans="1:4" x14ac:dyDescent="0.25">
      <c r="A172" s="2">
        <v>40056</v>
      </c>
      <c r="B172">
        <v>5.0751308200602807E-3</v>
      </c>
      <c r="D172">
        <v>1.7213286736088573E-3</v>
      </c>
    </row>
    <row r="173" spans="1:4" x14ac:dyDescent="0.25">
      <c r="A173" s="2">
        <v>40057</v>
      </c>
      <c r="B173">
        <v>0</v>
      </c>
      <c r="D173">
        <v>-8.5080840122190304E-3</v>
      </c>
    </row>
    <row r="174" spans="1:4" x14ac:dyDescent="0.25">
      <c r="A174" s="2">
        <v>40058</v>
      </c>
      <c r="B174">
        <v>0</v>
      </c>
      <c r="D174">
        <v>6.9498167175319203E-3</v>
      </c>
    </row>
    <row r="175" spans="1:4" x14ac:dyDescent="0.25">
      <c r="A175" s="2">
        <v>40059</v>
      </c>
      <c r="B175">
        <v>-9.9020014994377625E-4</v>
      </c>
      <c r="D175">
        <v>-3.7384826473449984E-3</v>
      </c>
    </row>
    <row r="176" spans="1:4" x14ac:dyDescent="0.25">
      <c r="A176" s="2">
        <v>40060</v>
      </c>
      <c r="B176">
        <v>-9.9102945638362971E-4</v>
      </c>
      <c r="D176">
        <v>3.1752271227825091E-3</v>
      </c>
    </row>
    <row r="177" spans="1:4" x14ac:dyDescent="0.25">
      <c r="A177" s="2">
        <v>40064</v>
      </c>
      <c r="B177">
        <v>0</v>
      </c>
      <c r="D177">
        <v>9.6872700333956452E-3</v>
      </c>
    </row>
    <row r="178" spans="1:4" x14ac:dyDescent="0.25">
      <c r="A178" s="2">
        <v>40065</v>
      </c>
      <c r="B178">
        <v>-2.9761900228788551E-3</v>
      </c>
      <c r="D178">
        <v>7.5996486535179208E-4</v>
      </c>
    </row>
    <row r="179" spans="1:4" x14ac:dyDescent="0.25">
      <c r="A179" s="2">
        <v>40066</v>
      </c>
      <c r="B179">
        <v>5.9699955743297561E-3</v>
      </c>
      <c r="D179">
        <v>6.4546773672395918E-3</v>
      </c>
    </row>
    <row r="180" spans="1:4" x14ac:dyDescent="0.25">
      <c r="A180" s="2">
        <v>40067</v>
      </c>
      <c r="B180">
        <v>3.9565799744265551E-3</v>
      </c>
      <c r="D180">
        <v>5.5645056418960337E-3</v>
      </c>
    </row>
    <row r="181" spans="1:4" x14ac:dyDescent="0.25">
      <c r="A181" s="2">
        <v>40070</v>
      </c>
      <c r="B181">
        <v>-9.8517115476925987E-4</v>
      </c>
      <c r="D181">
        <v>-4.6899323052795872E-4</v>
      </c>
    </row>
    <row r="182" spans="1:4" x14ac:dyDescent="0.25">
      <c r="A182" s="2">
        <v>40071</v>
      </c>
      <c r="B182">
        <v>0</v>
      </c>
      <c r="D182">
        <v>1.5951802629246004E-3</v>
      </c>
    </row>
    <row r="183" spans="1:4" x14ac:dyDescent="0.25">
      <c r="A183" s="2">
        <v>40072</v>
      </c>
      <c r="B183">
        <v>9.8614267408625444E-4</v>
      </c>
      <c r="D183">
        <v>2.4358444727348161E-3</v>
      </c>
    </row>
    <row r="184" spans="1:4" x14ac:dyDescent="0.25">
      <c r="A184" s="2">
        <v>40073</v>
      </c>
      <c r="B184">
        <v>9.8517115476948192E-4</v>
      </c>
      <c r="D184">
        <v>-1.5887591066624518E-3</v>
      </c>
    </row>
    <row r="185" spans="1:4" x14ac:dyDescent="0.25">
      <c r="A185" s="2">
        <v>40074</v>
      </c>
      <c r="B185">
        <v>-1.9684030955879894E-3</v>
      </c>
      <c r="D185">
        <v>4.4930764477788543E-3</v>
      </c>
    </row>
    <row r="186" spans="1:4" x14ac:dyDescent="0.25">
      <c r="A186" s="2">
        <v>40077</v>
      </c>
      <c r="B186">
        <v>9.8614267408625444E-4</v>
      </c>
      <c r="D186">
        <v>-1.1089323958442421E-2</v>
      </c>
    </row>
    <row r="187" spans="1:4" x14ac:dyDescent="0.25">
      <c r="A187" s="2">
        <v>40078</v>
      </c>
      <c r="B187">
        <v>0</v>
      </c>
      <c r="D187">
        <v>7.5385946838666396E-3</v>
      </c>
    </row>
    <row r="188" spans="1:4" x14ac:dyDescent="0.25">
      <c r="A188" s="2">
        <v>40079</v>
      </c>
      <c r="B188">
        <v>1.9704935718074523E-3</v>
      </c>
      <c r="D188">
        <v>1.4964846296134926E-3</v>
      </c>
    </row>
    <row r="189" spans="1:4" x14ac:dyDescent="0.25">
      <c r="A189" s="2">
        <v>40080</v>
      </c>
      <c r="B189">
        <v>3.933085761136601E-3</v>
      </c>
      <c r="D189">
        <v>-4.8562201656152659E-3</v>
      </c>
    </row>
    <row r="190" spans="1:4" x14ac:dyDescent="0.25">
      <c r="A190" s="2">
        <v>40081</v>
      </c>
      <c r="B190">
        <v>2.938295493881693E-3</v>
      </c>
      <c r="D190">
        <v>6.2875835325779672E-3</v>
      </c>
    </row>
    <row r="191" spans="1:4" x14ac:dyDescent="0.25">
      <c r="A191" s="2">
        <v>40084</v>
      </c>
      <c r="B191">
        <v>1.9531747823799961E-3</v>
      </c>
      <c r="D191">
        <v>-3.3572686949793207E-3</v>
      </c>
    </row>
    <row r="192" spans="1:4" x14ac:dyDescent="0.25">
      <c r="A192" s="2">
        <v>40085</v>
      </c>
      <c r="B192">
        <v>1.9492176867339506E-3</v>
      </c>
      <c r="D192">
        <v>-1.497184701754195E-3</v>
      </c>
    </row>
    <row r="193" spans="1:4" x14ac:dyDescent="0.25">
      <c r="A193" s="2">
        <v>40086</v>
      </c>
      <c r="B193">
        <v>3.0247739335069745E-3</v>
      </c>
      <c r="D193">
        <v>3.9358843760457507E-3</v>
      </c>
    </row>
    <row r="194" spans="1:4" x14ac:dyDescent="0.25">
      <c r="A194" s="2">
        <v>40087</v>
      </c>
      <c r="B194">
        <v>2.9182722946530237E-3</v>
      </c>
      <c r="D194">
        <v>-5.5345589496226255E-3</v>
      </c>
    </row>
    <row r="195" spans="1:4" x14ac:dyDescent="0.25">
      <c r="A195" s="2">
        <v>40088</v>
      </c>
      <c r="B195">
        <v>1.9398538413812894E-3</v>
      </c>
      <c r="D195">
        <v>6.7687615241076582E-3</v>
      </c>
    </row>
    <row r="196" spans="1:4" x14ac:dyDescent="0.25">
      <c r="A196" s="2">
        <v>40091</v>
      </c>
      <c r="B196">
        <v>0</v>
      </c>
      <c r="D196">
        <v>4.2955142546485803E-3</v>
      </c>
    </row>
    <row r="197" spans="1:4" x14ac:dyDescent="0.25">
      <c r="A197" s="2">
        <v>40092</v>
      </c>
      <c r="B197">
        <v>-9.6804904702807448E-4</v>
      </c>
      <c r="D197">
        <v>4.1840765113339007E-3</v>
      </c>
    </row>
    <row r="198" spans="1:4" x14ac:dyDescent="0.25">
      <c r="A198" s="2">
        <v>40093</v>
      </c>
      <c r="B198">
        <v>1.9379741480833879E-3</v>
      </c>
      <c r="D198">
        <v>1.2036730588980138E-3</v>
      </c>
    </row>
    <row r="199" spans="1:4" x14ac:dyDescent="0.25">
      <c r="A199" s="2">
        <v>40094</v>
      </c>
      <c r="B199">
        <v>9.6726086939780132E-4</v>
      </c>
      <c r="D199">
        <v>5.4564362006666034E-3</v>
      </c>
    </row>
    <row r="200" spans="1:4" x14ac:dyDescent="0.25">
      <c r="A200" s="2">
        <v>40095</v>
      </c>
      <c r="B200">
        <v>-4.8310393315756928E-3</v>
      </c>
      <c r="D200">
        <v>-1.1589419253827948E-2</v>
      </c>
    </row>
    <row r="201" spans="1:4" x14ac:dyDescent="0.25">
      <c r="A201" s="2">
        <v>40098</v>
      </c>
      <c r="B201">
        <v>0</v>
      </c>
      <c r="D201">
        <v>5.1182106855809373E-3</v>
      </c>
    </row>
    <row r="202" spans="1:4" x14ac:dyDescent="0.25">
      <c r="A202" s="2">
        <v>40099</v>
      </c>
      <c r="B202">
        <v>1.9417371845493747E-3</v>
      </c>
      <c r="D202">
        <v>1.3887733618866971E-3</v>
      </c>
    </row>
    <row r="203" spans="1:4" x14ac:dyDescent="0.25">
      <c r="A203" s="2">
        <v>40100</v>
      </c>
      <c r="B203">
        <v>-9.6898707404169393E-4</v>
      </c>
      <c r="D203">
        <v>3.5132837123617033E-3</v>
      </c>
    </row>
    <row r="204" spans="1:4" x14ac:dyDescent="0.25">
      <c r="A204" s="2">
        <v>40101</v>
      </c>
      <c r="B204">
        <v>-1.9398538413812894E-3</v>
      </c>
      <c r="D204">
        <v>-5.2515174282773414E-3</v>
      </c>
    </row>
    <row r="205" spans="1:4" x14ac:dyDescent="0.25">
      <c r="A205" s="2">
        <v>40102</v>
      </c>
      <c r="B205">
        <v>0</v>
      </c>
      <c r="D205">
        <v>-2.3154588058134085E-3</v>
      </c>
    </row>
    <row r="206" spans="1:4" x14ac:dyDescent="0.25">
      <c r="A206" s="2">
        <v>40105</v>
      </c>
      <c r="B206">
        <v>0</v>
      </c>
      <c r="D206">
        <v>4.2703286123522144E-3</v>
      </c>
    </row>
    <row r="207" spans="1:4" x14ac:dyDescent="0.25">
      <c r="A207" s="2">
        <v>40106</v>
      </c>
      <c r="B207">
        <v>1.9436241882289096E-3</v>
      </c>
      <c r="D207">
        <v>-1.8484735671675523E-4</v>
      </c>
    </row>
    <row r="208" spans="1:4" x14ac:dyDescent="0.25">
      <c r="A208" s="2">
        <v>40107</v>
      </c>
      <c r="B208">
        <v>-9.6992692069064468E-4</v>
      </c>
      <c r="D208">
        <v>9.2454393163388104E-4</v>
      </c>
    </row>
    <row r="209" spans="1:4" x14ac:dyDescent="0.25">
      <c r="A209" s="2">
        <v>40108</v>
      </c>
      <c r="B209">
        <v>0</v>
      </c>
      <c r="D209">
        <v>1.1083902251616262E-3</v>
      </c>
    </row>
    <row r="210" spans="1:4" x14ac:dyDescent="0.25">
      <c r="A210" s="2">
        <v>40109</v>
      </c>
      <c r="B210">
        <v>-9.7086859227468736E-4</v>
      </c>
      <c r="D210">
        <v>-5.443776612545248E-3</v>
      </c>
    </row>
    <row r="211" spans="1:4" x14ac:dyDescent="0.25">
      <c r="A211" s="2">
        <v>40112</v>
      </c>
      <c r="B211">
        <v>-9.7181209411423275E-4</v>
      </c>
      <c r="D211">
        <v>-7.8856833358500467E-3</v>
      </c>
    </row>
    <row r="212" spans="1:4" x14ac:dyDescent="0.25">
      <c r="A212" s="2">
        <v>40113</v>
      </c>
      <c r="B212">
        <v>4.8637871577554836E-3</v>
      </c>
      <c r="D212">
        <v>-3.0858609460224784E-3</v>
      </c>
    </row>
    <row r="213" spans="1:4" x14ac:dyDescent="0.25">
      <c r="A213" s="2">
        <v>40114</v>
      </c>
      <c r="B213">
        <v>0</v>
      </c>
      <c r="D213">
        <v>3.6581853449804136E-3</v>
      </c>
    </row>
    <row r="214" spans="1:4" x14ac:dyDescent="0.25">
      <c r="A214" s="2">
        <v>40115</v>
      </c>
      <c r="B214">
        <v>-1.93609809405626E-3</v>
      </c>
      <c r="D214">
        <v>-3.2710165003568825E-3</v>
      </c>
    </row>
    <row r="215" spans="1:4" x14ac:dyDescent="0.25">
      <c r="A215" s="2">
        <v>40116</v>
      </c>
      <c r="B215">
        <v>6.9073702717175056E-3</v>
      </c>
      <c r="D215">
        <v>-1.8756296084521118E-4</v>
      </c>
    </row>
    <row r="216" spans="1:4" x14ac:dyDescent="0.25">
      <c r="A216" s="2">
        <v>40119</v>
      </c>
      <c r="B216">
        <v>0</v>
      </c>
      <c r="D216">
        <v>3.8305408699252919E-3</v>
      </c>
    </row>
    <row r="217" spans="1:4" x14ac:dyDescent="0.25">
      <c r="A217" s="2">
        <v>40120</v>
      </c>
      <c r="B217">
        <v>-9.6622218185438147E-4</v>
      </c>
      <c r="D217">
        <v>-7.5757395204747446E-3</v>
      </c>
    </row>
    <row r="218" spans="1:4" x14ac:dyDescent="0.25">
      <c r="A218" s="2">
        <v>40121</v>
      </c>
      <c r="B218">
        <v>-2.9013224203388033E-3</v>
      </c>
      <c r="D218">
        <v>4.2408505724587098E-3</v>
      </c>
    </row>
    <row r="219" spans="1:4" x14ac:dyDescent="0.25">
      <c r="A219" s="2">
        <v>40122</v>
      </c>
      <c r="B219">
        <v>-9.6997086830963308E-4</v>
      </c>
      <c r="D219">
        <v>-1.407601180289153E-3</v>
      </c>
    </row>
    <row r="220" spans="1:4" x14ac:dyDescent="0.25">
      <c r="A220" s="2">
        <v>40123</v>
      </c>
      <c r="B220">
        <v>-1.9418252505436495E-3</v>
      </c>
      <c r="D220">
        <v>3.7589970555695906E-3</v>
      </c>
    </row>
    <row r="221" spans="1:4" x14ac:dyDescent="0.25">
      <c r="A221" s="2">
        <v>40126</v>
      </c>
      <c r="B221">
        <v>2.9184049081574237E-3</v>
      </c>
      <c r="D221">
        <v>5.3365768813184999E-3</v>
      </c>
    </row>
    <row r="222" spans="1:4" x14ac:dyDescent="0.25">
      <c r="A222" s="2">
        <v>40127</v>
      </c>
      <c r="B222">
        <v>9.6982284894941984E-4</v>
      </c>
      <c r="D222">
        <v>4.4701377295770506E-3</v>
      </c>
    </row>
    <row r="223" spans="1:4" x14ac:dyDescent="0.25">
      <c r="A223" s="2">
        <v>40128</v>
      </c>
      <c r="B223">
        <v>9.6903107982693193E-4</v>
      </c>
      <c r="D223">
        <v>-2.4105543670237539E-3</v>
      </c>
    </row>
    <row r="224" spans="1:4" x14ac:dyDescent="0.25">
      <c r="A224" s="2">
        <v>40129</v>
      </c>
      <c r="B224">
        <v>9.6809296765343333E-4</v>
      </c>
      <c r="D224">
        <v>-1.0037192876684253E-2</v>
      </c>
    </row>
    <row r="225" spans="1:4" x14ac:dyDescent="0.25">
      <c r="A225" s="2">
        <v>40130</v>
      </c>
      <c r="B225">
        <v>0</v>
      </c>
      <c r="D225">
        <v>3.098023693494989E-3</v>
      </c>
    </row>
    <row r="226" spans="1:4" x14ac:dyDescent="0.25">
      <c r="A226" s="2">
        <v>40133</v>
      </c>
      <c r="B226">
        <v>2.9013224203386923E-3</v>
      </c>
      <c r="D226">
        <v>6.5512809855017284E-3</v>
      </c>
    </row>
    <row r="227" spans="1:4" x14ac:dyDescent="0.25">
      <c r="A227" s="2">
        <v>40134</v>
      </c>
      <c r="B227">
        <v>2.8929291002797175E-3</v>
      </c>
      <c r="D227">
        <v>-8.3684964806662876E-4</v>
      </c>
    </row>
    <row r="228" spans="1:4" x14ac:dyDescent="0.25">
      <c r="A228" s="2">
        <v>40135</v>
      </c>
      <c r="B228">
        <v>-2.8845842026975488E-3</v>
      </c>
      <c r="D228">
        <v>5.2112148725032004E-3</v>
      </c>
    </row>
    <row r="229" spans="1:4" x14ac:dyDescent="0.25">
      <c r="A229" s="2">
        <v>40136</v>
      </c>
      <c r="B229">
        <v>9.6435875440703533E-4</v>
      </c>
      <c r="D229">
        <v>-6.3876594132510345E-3</v>
      </c>
    </row>
    <row r="230" spans="1:4" x14ac:dyDescent="0.25">
      <c r="A230" s="2">
        <v>40137</v>
      </c>
      <c r="B230">
        <v>0</v>
      </c>
      <c r="D230">
        <v>1.583882230062672E-3</v>
      </c>
    </row>
    <row r="231" spans="1:4" x14ac:dyDescent="0.25">
      <c r="A231" s="2">
        <v>40140</v>
      </c>
      <c r="B231">
        <v>-9.6342966257767504E-4</v>
      </c>
      <c r="D231">
        <v>1.1163080021034943E-3</v>
      </c>
    </row>
    <row r="232" spans="1:4" x14ac:dyDescent="0.25">
      <c r="A232" s="2">
        <v>40141</v>
      </c>
      <c r="B232">
        <v>1.9287175088138486E-3</v>
      </c>
      <c r="D232">
        <v>3.0662844953717183E-3</v>
      </c>
    </row>
    <row r="233" spans="1:4" x14ac:dyDescent="0.25">
      <c r="A233" s="2">
        <v>40142</v>
      </c>
      <c r="B233">
        <v>0</v>
      </c>
      <c r="D233">
        <v>1.0930995697627344E-2</v>
      </c>
    </row>
    <row r="234" spans="1:4" x14ac:dyDescent="0.25">
      <c r="A234" s="2">
        <v>40144</v>
      </c>
      <c r="B234">
        <v>2.8873601981114216E-3</v>
      </c>
      <c r="D234">
        <v>-4.5816876063953238E-3</v>
      </c>
    </row>
    <row r="235" spans="1:4" x14ac:dyDescent="0.25">
      <c r="A235" s="2">
        <v>40147</v>
      </c>
      <c r="B235">
        <v>3.5600713713173082E-3</v>
      </c>
      <c r="D235">
        <v>5.9836276813669542E-3</v>
      </c>
    </row>
    <row r="236" spans="1:4" x14ac:dyDescent="0.25">
      <c r="A236" s="2">
        <v>40148</v>
      </c>
      <c r="B236">
        <v>0</v>
      </c>
      <c r="D236">
        <v>7.1743813826532499E-3</v>
      </c>
    </row>
    <row r="237" spans="1:4" x14ac:dyDescent="0.25">
      <c r="A237" s="2">
        <v>40149</v>
      </c>
      <c r="B237">
        <v>-9.588076110935706E-4</v>
      </c>
      <c r="D237">
        <v>-3.5570900246123527E-3</v>
      </c>
    </row>
    <row r="238" spans="1:4" x14ac:dyDescent="0.25">
      <c r="A238" s="2">
        <v>40150</v>
      </c>
      <c r="B238">
        <v>-1.9194556108361738E-3</v>
      </c>
      <c r="D238">
        <v>-3.3867492994776871E-3</v>
      </c>
    </row>
    <row r="239" spans="1:4" x14ac:dyDescent="0.25">
      <c r="A239" s="2">
        <v>40151</v>
      </c>
      <c r="B239">
        <v>-3.8461476540753159E-3</v>
      </c>
      <c r="D239">
        <v>-1.8736240270472271E-2</v>
      </c>
    </row>
    <row r="240" spans="1:4" x14ac:dyDescent="0.25">
      <c r="A240" s="2">
        <v>40154</v>
      </c>
      <c r="B240">
        <v>1.9305722721629781E-3</v>
      </c>
      <c r="D240">
        <v>2.7143580515702759E-3</v>
      </c>
    </row>
    <row r="241" spans="1:4" x14ac:dyDescent="0.25">
      <c r="A241" s="2">
        <v>40155</v>
      </c>
      <c r="B241">
        <v>1.9267057042453573E-3</v>
      </c>
      <c r="D241">
        <v>-6.2540737633099974E-3</v>
      </c>
    </row>
    <row r="242" spans="1:4" x14ac:dyDescent="0.25">
      <c r="A242" s="2">
        <v>40156</v>
      </c>
      <c r="B242">
        <v>4.987888125533857E-4</v>
      </c>
      <c r="D242">
        <v>4.4148221590791792E-3</v>
      </c>
    </row>
    <row r="243" spans="1:4" x14ac:dyDescent="0.25">
      <c r="A243" s="2">
        <v>40157</v>
      </c>
      <c r="B243">
        <v>-2.9909483073259358E-3</v>
      </c>
      <c r="D243">
        <v>-5.0500421012686925E-3</v>
      </c>
    </row>
    <row r="244" spans="1:4" x14ac:dyDescent="0.25">
      <c r="A244" s="2">
        <v>40158</v>
      </c>
      <c r="B244">
        <v>-2.0001429092718626E-3</v>
      </c>
      <c r="D244">
        <v>-6.8615155525719729E-3</v>
      </c>
    </row>
    <row r="245" spans="1:4" x14ac:dyDescent="0.25">
      <c r="A245" s="2">
        <v>40161</v>
      </c>
      <c r="B245">
        <v>2.0041514986810505E-3</v>
      </c>
      <c r="D245">
        <v>4.826753667414474E-3</v>
      </c>
    </row>
    <row r="246" spans="1:4" x14ac:dyDescent="0.25">
      <c r="A246" s="2">
        <v>40162</v>
      </c>
      <c r="B246">
        <v>0</v>
      </c>
      <c r="D246">
        <v>-1.111425551108447E-2</v>
      </c>
    </row>
    <row r="247" spans="1:4" x14ac:dyDescent="0.25">
      <c r="A247" s="2">
        <v>40163</v>
      </c>
      <c r="B247">
        <v>1.999996185173547E-3</v>
      </c>
      <c r="D247">
        <v>4.3813651857071978E-3</v>
      </c>
    </row>
    <row r="248" spans="1:4" x14ac:dyDescent="0.25">
      <c r="A248" s="2">
        <v>40164</v>
      </c>
      <c r="B248">
        <v>4.9899372454291768E-3</v>
      </c>
      <c r="D248">
        <v>-1.1190142423583516E-2</v>
      </c>
    </row>
    <row r="249" spans="1:4" x14ac:dyDescent="0.25">
      <c r="A249" s="2">
        <v>40165</v>
      </c>
      <c r="B249">
        <v>1.9860937014850588E-3</v>
      </c>
      <c r="D249">
        <v>1.6304346414808268E-3</v>
      </c>
    </row>
    <row r="250" spans="1:4" x14ac:dyDescent="0.25">
      <c r="A250" s="2">
        <v>40168</v>
      </c>
      <c r="B250">
        <v>-2.9731627203843924E-3</v>
      </c>
      <c r="D250">
        <v>-7.8513924086894837E-3</v>
      </c>
    </row>
    <row r="251" spans="1:4" x14ac:dyDescent="0.25">
      <c r="A251" s="2">
        <v>40169</v>
      </c>
      <c r="B251">
        <v>-2.9821746261816662E-3</v>
      </c>
      <c r="D251">
        <v>-6.0799548257742808E-3</v>
      </c>
    </row>
    <row r="252" spans="1:4" x14ac:dyDescent="0.25">
      <c r="A252" s="2">
        <v>40170</v>
      </c>
      <c r="B252">
        <v>0</v>
      </c>
      <c r="D252">
        <v>6.9909795346052572E-3</v>
      </c>
    </row>
    <row r="253" spans="1:4" x14ac:dyDescent="0.25">
      <c r="A253" s="2">
        <v>40171</v>
      </c>
      <c r="B253">
        <v>-9.9693400735723081E-4</v>
      </c>
      <c r="D253">
        <v>2.8926265110729155E-4</v>
      </c>
    </row>
    <row r="254" spans="1:4" x14ac:dyDescent="0.25">
      <c r="A254" s="2">
        <v>40175</v>
      </c>
      <c r="B254">
        <v>-1.9960041844190313E-3</v>
      </c>
      <c r="D254">
        <v>-2.6990402728442886E-3</v>
      </c>
    </row>
    <row r="255" spans="1:4" x14ac:dyDescent="0.25">
      <c r="A255" s="2">
        <v>40176</v>
      </c>
      <c r="B255">
        <v>0</v>
      </c>
      <c r="D255">
        <v>-3.2595083988656848E-3</v>
      </c>
    </row>
    <row r="256" spans="1:4" x14ac:dyDescent="0.25">
      <c r="A256" s="2">
        <v>40177</v>
      </c>
      <c r="B256">
        <v>-1.0000714546358758E-3</v>
      </c>
      <c r="D256">
        <v>3.8809130125194713E-4</v>
      </c>
    </row>
    <row r="257" spans="1:4" x14ac:dyDescent="0.25">
      <c r="A257" s="2">
        <v>40178</v>
      </c>
      <c r="B257">
        <v>3.9152865812650539E-3</v>
      </c>
      <c r="D257">
        <v>-8.7298150298886767E-4</v>
      </c>
    </row>
    <row r="258" spans="1:4" x14ac:dyDescent="0.25">
      <c r="A258" s="2">
        <v>40182</v>
      </c>
      <c r="B258">
        <v>2.0000424264723371E-3</v>
      </c>
      <c r="D258">
        <v>6.4077972571805475E-3</v>
      </c>
    </row>
    <row r="259" spans="1:4" x14ac:dyDescent="0.25">
      <c r="A259" s="2">
        <v>40183</v>
      </c>
      <c r="B259">
        <v>1.9960502413043368E-3</v>
      </c>
      <c r="D259">
        <v>9.6468196023646868E-4</v>
      </c>
    </row>
    <row r="260" spans="1:4" x14ac:dyDescent="0.25">
      <c r="A260" s="2">
        <v>40184</v>
      </c>
      <c r="B260">
        <v>0</v>
      </c>
      <c r="D260">
        <v>-3.5659485013825876E-3</v>
      </c>
    </row>
    <row r="261" spans="1:4" x14ac:dyDescent="0.25">
      <c r="A261" s="2">
        <v>40185</v>
      </c>
      <c r="B261">
        <v>2.9878923694286463E-3</v>
      </c>
      <c r="D261">
        <v>-3.1918185984968206E-3</v>
      </c>
    </row>
    <row r="262" spans="1:4" x14ac:dyDescent="0.25">
      <c r="A262" s="2">
        <v>40186</v>
      </c>
      <c r="B262">
        <v>1.9861395902660561E-3</v>
      </c>
      <c r="D262">
        <v>7.4714168676843773E-3</v>
      </c>
    </row>
    <row r="263" spans="1:4" x14ac:dyDescent="0.25">
      <c r="A263" s="2">
        <v>40189</v>
      </c>
      <c r="B263">
        <v>1.9822026590892161E-3</v>
      </c>
      <c r="D263">
        <v>7.2233448404719347E-3</v>
      </c>
    </row>
    <row r="264" spans="1:4" x14ac:dyDescent="0.25">
      <c r="A264" s="2">
        <v>40190</v>
      </c>
      <c r="B264">
        <v>1.9782813046265169E-3</v>
      </c>
      <c r="D264">
        <v>2.2948693940865184E-3</v>
      </c>
    </row>
    <row r="265" spans="1:4" x14ac:dyDescent="0.25">
      <c r="A265" s="2">
        <v>40191</v>
      </c>
      <c r="B265">
        <v>9.8711550695651518E-4</v>
      </c>
      <c r="D265">
        <v>-9.5399550567332181E-4</v>
      </c>
    </row>
    <row r="266" spans="1:4" x14ac:dyDescent="0.25">
      <c r="A266" s="2">
        <v>40192</v>
      </c>
      <c r="B266">
        <v>9.8614207082636796E-4</v>
      </c>
      <c r="D266">
        <v>1.5278460651864112E-3</v>
      </c>
    </row>
    <row r="267" spans="1:4" x14ac:dyDescent="0.25">
      <c r="A267" s="2">
        <v>40193</v>
      </c>
      <c r="B267">
        <v>1.9704852415396434E-3</v>
      </c>
      <c r="D267">
        <v>-4.5766211827664716E-3</v>
      </c>
    </row>
    <row r="268" spans="1:4" x14ac:dyDescent="0.25">
      <c r="A268" s="2">
        <v>40197</v>
      </c>
      <c r="B268">
        <v>-9.832331063721611E-4</v>
      </c>
      <c r="D268">
        <v>-6.2260628714891908E-3</v>
      </c>
    </row>
    <row r="269" spans="1:4" x14ac:dyDescent="0.25">
      <c r="A269" s="2">
        <v>40198</v>
      </c>
      <c r="B269">
        <v>9.842008051870188E-4</v>
      </c>
      <c r="D269">
        <v>-9.9277029201032541E-3</v>
      </c>
    </row>
    <row r="270" spans="1:4" x14ac:dyDescent="0.25">
      <c r="A270" s="2">
        <v>40199</v>
      </c>
      <c r="B270">
        <v>9.8337695905770239E-4</v>
      </c>
      <c r="D270">
        <v>1.9470087734752006E-3</v>
      </c>
    </row>
    <row r="271" spans="1:4" x14ac:dyDescent="0.25">
      <c r="A271" s="2">
        <v>40200</v>
      </c>
      <c r="B271">
        <v>1.9645343349439237E-3</v>
      </c>
      <c r="D271">
        <v>6.1213037296883321E-3</v>
      </c>
    </row>
    <row r="272" spans="1:4" x14ac:dyDescent="0.25">
      <c r="A272" s="2">
        <v>40203</v>
      </c>
      <c r="B272">
        <v>-1.9606825068393396E-3</v>
      </c>
      <c r="D272">
        <v>-5.7947848134298763E-4</v>
      </c>
    </row>
    <row r="273" spans="1:4" x14ac:dyDescent="0.25">
      <c r="A273" s="2">
        <v>40204</v>
      </c>
      <c r="B273">
        <v>9.822671674721839E-4</v>
      </c>
      <c r="D273">
        <v>-1.0629042326782967E-3</v>
      </c>
    </row>
    <row r="274" spans="1:4" x14ac:dyDescent="0.25">
      <c r="A274" s="2">
        <v>40205</v>
      </c>
      <c r="B274">
        <v>9.8130326549283886E-4</v>
      </c>
      <c r="D274">
        <v>-5.1267061330220187E-3</v>
      </c>
    </row>
    <row r="275" spans="1:4" x14ac:dyDescent="0.25">
      <c r="A275" s="2">
        <v>40206</v>
      </c>
      <c r="B275">
        <v>0</v>
      </c>
      <c r="D275">
        <v>-7.2921722629183394E-3</v>
      </c>
    </row>
    <row r="276" spans="1:4" x14ac:dyDescent="0.25">
      <c r="A276" s="2">
        <v>40207</v>
      </c>
      <c r="B276">
        <v>3.3411923187145476E-3</v>
      </c>
      <c r="D276">
        <v>-1.5670523397447456E-3</v>
      </c>
    </row>
    <row r="277" spans="1:4" x14ac:dyDescent="0.25">
      <c r="A277" s="2">
        <v>40210</v>
      </c>
      <c r="B277">
        <v>0</v>
      </c>
      <c r="D277">
        <v>2.1817981946710141E-3</v>
      </c>
    </row>
    <row r="278" spans="1:4" x14ac:dyDescent="0.25">
      <c r="A278" s="2">
        <v>40211</v>
      </c>
      <c r="B278">
        <v>-9.793638837874985E-4</v>
      </c>
      <c r="D278">
        <v>4.9034073164346825E-3</v>
      </c>
    </row>
    <row r="279" spans="1:4" x14ac:dyDescent="0.25">
      <c r="A279" s="2">
        <v>40212</v>
      </c>
      <c r="B279">
        <v>-9.8046706978593967E-4</v>
      </c>
      <c r="D279">
        <v>-7.026458685050252E-3</v>
      </c>
    </row>
    <row r="280" spans="1:4" x14ac:dyDescent="0.25">
      <c r="A280" s="2">
        <v>40213</v>
      </c>
      <c r="B280">
        <v>1.9627154253134549E-3</v>
      </c>
      <c r="D280">
        <v>-5.9950997702853392E-3</v>
      </c>
    </row>
    <row r="281" spans="1:4" x14ac:dyDescent="0.25">
      <c r="A281" s="2">
        <v>40214</v>
      </c>
      <c r="B281">
        <v>1.9588707195359323E-3</v>
      </c>
      <c r="D281">
        <v>-6.0312466365407547E-3</v>
      </c>
    </row>
    <row r="282" spans="1:4" x14ac:dyDescent="0.25">
      <c r="A282" s="2">
        <v>40217</v>
      </c>
      <c r="B282">
        <v>0</v>
      </c>
      <c r="D282">
        <v>4.5757343510592907E-3</v>
      </c>
    </row>
    <row r="283" spans="1:4" x14ac:dyDescent="0.25">
      <c r="A283" s="2">
        <v>40218</v>
      </c>
      <c r="B283">
        <v>0</v>
      </c>
      <c r="D283">
        <v>5.9411722011228907E-3</v>
      </c>
    </row>
    <row r="284" spans="1:4" x14ac:dyDescent="0.25">
      <c r="A284" s="2">
        <v>40219</v>
      </c>
      <c r="B284">
        <v>-1.9550410468737178E-3</v>
      </c>
      <c r="D284">
        <v>3.9374699903316213E-4</v>
      </c>
    </row>
    <row r="285" spans="1:4" x14ac:dyDescent="0.25">
      <c r="A285" s="2">
        <v>40220</v>
      </c>
      <c r="B285">
        <v>-9.793638837874985E-4</v>
      </c>
      <c r="D285">
        <v>-8.8552669190655742E-4</v>
      </c>
    </row>
    <row r="286" spans="1:4" x14ac:dyDescent="0.25">
      <c r="A286" s="2">
        <v>40221</v>
      </c>
      <c r="B286">
        <v>9.8032397768577084E-4</v>
      </c>
      <c r="D286">
        <v>-4.2347867628821367E-3</v>
      </c>
    </row>
    <row r="287" spans="1:4" x14ac:dyDescent="0.25">
      <c r="A287" s="2">
        <v>40225</v>
      </c>
      <c r="B287">
        <v>0</v>
      </c>
      <c r="D287">
        <v>2.5714720352207898E-3</v>
      </c>
    </row>
    <row r="288" spans="1:4" x14ac:dyDescent="0.25">
      <c r="A288" s="2">
        <v>40226</v>
      </c>
      <c r="B288">
        <v>0</v>
      </c>
      <c r="D288">
        <v>-8.4837771024069975E-3</v>
      </c>
    </row>
    <row r="289" spans="1:4" x14ac:dyDescent="0.25">
      <c r="A289" s="2">
        <v>40227</v>
      </c>
      <c r="B289">
        <v>-1.9588707195360433E-3</v>
      </c>
      <c r="D289">
        <v>-1.0944167448952991E-3</v>
      </c>
    </row>
    <row r="290" spans="1:4" x14ac:dyDescent="0.25">
      <c r="A290" s="2">
        <v>40228</v>
      </c>
      <c r="B290">
        <v>-1.9625721927781781E-3</v>
      </c>
      <c r="D290">
        <v>-3.7849096196814758E-3</v>
      </c>
    </row>
    <row r="291" spans="1:4" x14ac:dyDescent="0.25">
      <c r="A291" s="2">
        <v>40231</v>
      </c>
      <c r="B291">
        <v>9.8321572823678594E-4</v>
      </c>
      <c r="D291">
        <v>4.3991359683035469E-3</v>
      </c>
    </row>
    <row r="292" spans="1:4" x14ac:dyDescent="0.25">
      <c r="A292" s="2">
        <v>40232</v>
      </c>
      <c r="B292">
        <v>4.9115365695635571E-3</v>
      </c>
      <c r="D292">
        <v>9.9540629186800622E-4</v>
      </c>
    </row>
    <row r="293" spans="1:4" x14ac:dyDescent="0.25">
      <c r="A293" s="2">
        <v>40233</v>
      </c>
      <c r="B293">
        <v>9.7759185967860596E-4</v>
      </c>
      <c r="D293">
        <v>1.7899876440674589E-3</v>
      </c>
    </row>
    <row r="294" spans="1:4" x14ac:dyDescent="0.25">
      <c r="A294" s="2">
        <v>40234</v>
      </c>
      <c r="B294">
        <v>1.9531316812411159E-3</v>
      </c>
      <c r="D294">
        <v>5.1618444816399212E-3</v>
      </c>
    </row>
    <row r="295" spans="1:4" x14ac:dyDescent="0.25">
      <c r="A295" s="2">
        <v>40235</v>
      </c>
      <c r="B295">
        <v>1.7574219925273749E-3</v>
      </c>
      <c r="D295">
        <v>4.641526732273249E-3</v>
      </c>
    </row>
    <row r="296" spans="1:4" x14ac:dyDescent="0.25">
      <c r="A296" s="2">
        <v>40238</v>
      </c>
      <c r="B296">
        <v>0</v>
      </c>
      <c r="D296">
        <v>-2.904793273923012E-3</v>
      </c>
    </row>
    <row r="297" spans="1:4" x14ac:dyDescent="0.25">
      <c r="A297" s="2">
        <v>40239</v>
      </c>
      <c r="B297">
        <v>0</v>
      </c>
      <c r="D297">
        <v>1.876304834527831E-3</v>
      </c>
    </row>
    <row r="298" spans="1:4" x14ac:dyDescent="0.25">
      <c r="A298" s="2">
        <v>40240</v>
      </c>
      <c r="B298">
        <v>-9.7458537519834465E-4</v>
      </c>
      <c r="D298">
        <v>8.8713747437489943E-3</v>
      </c>
    </row>
    <row r="299" spans="1:4" x14ac:dyDescent="0.25">
      <c r="A299" s="2">
        <v>40241</v>
      </c>
      <c r="B299">
        <v>1.9512143811337701E-3</v>
      </c>
      <c r="D299">
        <v>-8.9887482602051261E-3</v>
      </c>
    </row>
    <row r="300" spans="1:4" x14ac:dyDescent="0.25">
      <c r="A300" s="2">
        <v>40242</v>
      </c>
      <c r="B300">
        <v>-1.9474145578424196E-3</v>
      </c>
      <c r="D300">
        <v>8.872747233277245E-4</v>
      </c>
    </row>
    <row r="301" spans="1:4" x14ac:dyDescent="0.25">
      <c r="A301" s="2">
        <v>40245</v>
      </c>
      <c r="B301">
        <v>0</v>
      </c>
      <c r="D301">
        <v>-5.0235804678936402E-3</v>
      </c>
    </row>
    <row r="302" spans="1:4" x14ac:dyDescent="0.25">
      <c r="A302" s="2">
        <v>40246</v>
      </c>
      <c r="B302">
        <v>1.9512143811337701E-3</v>
      </c>
      <c r="D302">
        <v>1.6829851221713543E-3</v>
      </c>
    </row>
    <row r="303" spans="1:4" x14ac:dyDescent="0.25">
      <c r="A303" s="2">
        <v>40247</v>
      </c>
      <c r="B303">
        <v>-9.737782126488792E-4</v>
      </c>
      <c r="D303">
        <v>2.7673331607600549E-3</v>
      </c>
    </row>
    <row r="304" spans="1:4" x14ac:dyDescent="0.25">
      <c r="A304" s="2">
        <v>40248</v>
      </c>
      <c r="B304">
        <v>-9.7458537519834465E-4</v>
      </c>
      <c r="D304">
        <v>4.9283016966961135E-4</v>
      </c>
    </row>
    <row r="305" spans="1:4" x14ac:dyDescent="0.25">
      <c r="A305" s="2">
        <v>40249</v>
      </c>
      <c r="B305">
        <v>0</v>
      </c>
      <c r="D305">
        <v>5.1226191073761029E-3</v>
      </c>
    </row>
    <row r="306" spans="1:4" x14ac:dyDescent="0.25">
      <c r="A306" s="2">
        <v>40252</v>
      </c>
      <c r="B306">
        <v>9.7553611843226307E-4</v>
      </c>
      <c r="D306">
        <v>-2.7442788750771108E-3</v>
      </c>
    </row>
    <row r="307" spans="1:4" x14ac:dyDescent="0.25">
      <c r="A307" s="2">
        <v>40253</v>
      </c>
      <c r="B307">
        <v>9.7472738093573597E-4</v>
      </c>
      <c r="D307">
        <v>7.174472836178003E-3</v>
      </c>
    </row>
    <row r="308" spans="1:4" x14ac:dyDescent="0.25">
      <c r="A308" s="2">
        <v>40254</v>
      </c>
      <c r="B308">
        <v>9.7363634519376241E-4</v>
      </c>
      <c r="D308">
        <v>-1.9520066585698714E-4</v>
      </c>
    </row>
    <row r="309" spans="1:4" x14ac:dyDescent="0.25">
      <c r="A309" s="2">
        <v>40255</v>
      </c>
      <c r="B309">
        <v>0</v>
      </c>
      <c r="D309">
        <v>-6.7343563861306244E-3</v>
      </c>
    </row>
    <row r="310" spans="1:4" x14ac:dyDescent="0.25">
      <c r="A310" s="2">
        <v>40256</v>
      </c>
      <c r="B310">
        <v>9.7283102900114216E-4</v>
      </c>
      <c r="D310">
        <v>-7.4677634135885684E-3</v>
      </c>
    </row>
    <row r="311" spans="1:4" x14ac:dyDescent="0.25">
      <c r="A311" s="2">
        <v>40259</v>
      </c>
      <c r="B311">
        <v>9.7174395686527859E-4</v>
      </c>
      <c r="D311">
        <v>4.850980667039817E-3</v>
      </c>
    </row>
    <row r="312" spans="1:4" x14ac:dyDescent="0.25">
      <c r="A312" s="2">
        <v>40260</v>
      </c>
      <c r="B312">
        <v>9.7094204152159413E-4</v>
      </c>
      <c r="D312">
        <v>-9.8520549381209133E-4</v>
      </c>
    </row>
    <row r="313" spans="1:4" x14ac:dyDescent="0.25">
      <c r="A313" s="2">
        <v>40261</v>
      </c>
      <c r="B313">
        <v>-9.7000022752047332E-4</v>
      </c>
      <c r="D313">
        <v>-1.4102564897918723E-2</v>
      </c>
    </row>
    <row r="314" spans="1:4" x14ac:dyDescent="0.25">
      <c r="A314" s="2">
        <v>40262</v>
      </c>
      <c r="B314">
        <v>-1.9417426287828832E-3</v>
      </c>
      <c r="D314">
        <v>-6.1018426063008668E-3</v>
      </c>
    </row>
    <row r="315" spans="1:4" x14ac:dyDescent="0.25">
      <c r="A315" s="2">
        <v>40263</v>
      </c>
      <c r="B315">
        <v>0</v>
      </c>
      <c r="D315">
        <v>6.1393036710137849E-3</v>
      </c>
    </row>
    <row r="316" spans="1:4" x14ac:dyDescent="0.25">
      <c r="A316" s="2">
        <v>40266</v>
      </c>
      <c r="B316">
        <v>9.7283102900114216E-4</v>
      </c>
      <c r="D316">
        <v>1.1003344837494655E-3</v>
      </c>
    </row>
    <row r="317" spans="1:4" x14ac:dyDescent="0.25">
      <c r="A317" s="2">
        <v>40267</v>
      </c>
      <c r="B317">
        <v>0</v>
      </c>
      <c r="D317">
        <v>-2.2981910264884275E-3</v>
      </c>
    </row>
    <row r="318" spans="1:4" x14ac:dyDescent="0.25">
      <c r="A318" s="2">
        <v>40268</v>
      </c>
      <c r="B318">
        <v>3.9926032486803376E-3</v>
      </c>
      <c r="D318">
        <v>4.6069022487855715E-3</v>
      </c>
    </row>
    <row r="319" spans="1:4" x14ac:dyDescent="0.25">
      <c r="A319" s="2">
        <v>40269</v>
      </c>
      <c r="B319">
        <v>9.6985399868398936E-4</v>
      </c>
      <c r="D319">
        <v>6.9306028268878439E-3</v>
      </c>
    </row>
    <row r="320" spans="1:4" x14ac:dyDescent="0.25">
      <c r="A320" s="2">
        <v>40273</v>
      </c>
      <c r="B320">
        <v>6.8359390134882236E-3</v>
      </c>
      <c r="D320">
        <v>-6.2481877593023594E-3</v>
      </c>
    </row>
    <row r="321" spans="1:4" x14ac:dyDescent="0.25">
      <c r="A321" s="2">
        <v>40274</v>
      </c>
      <c r="B321">
        <v>-9.6989233649313888E-4</v>
      </c>
      <c r="D321">
        <v>-6.9860053379741105E-3</v>
      </c>
    </row>
    <row r="322" spans="1:4" x14ac:dyDescent="0.25">
      <c r="A322" s="2">
        <v>40275</v>
      </c>
      <c r="B322">
        <v>9.7083394089247932E-4</v>
      </c>
      <c r="D322">
        <v>9.0449406626946782E-4</v>
      </c>
    </row>
    <row r="323" spans="1:4" x14ac:dyDescent="0.25">
      <c r="A323" s="2">
        <v>40276</v>
      </c>
      <c r="B323">
        <v>1.9397846729864998E-3</v>
      </c>
      <c r="D323">
        <v>-2.9118734049117245E-3</v>
      </c>
    </row>
    <row r="324" spans="1:4" x14ac:dyDescent="0.25">
      <c r="A324" s="2">
        <v>40277</v>
      </c>
      <c r="B324">
        <v>-1.9360291932309925E-3</v>
      </c>
      <c r="D324">
        <v>7.0493108912672575E-3</v>
      </c>
    </row>
    <row r="325" spans="1:4" x14ac:dyDescent="0.25">
      <c r="A325" s="2">
        <v>40280</v>
      </c>
      <c r="B325">
        <v>0</v>
      </c>
      <c r="D325">
        <v>7.0999927020845011E-3</v>
      </c>
    </row>
    <row r="326" spans="1:4" x14ac:dyDescent="0.25">
      <c r="A326" s="2">
        <v>40281</v>
      </c>
      <c r="B326">
        <v>1.9397846729864998E-3</v>
      </c>
      <c r="D326">
        <v>1.986319946516435E-4</v>
      </c>
    </row>
    <row r="327" spans="1:4" x14ac:dyDescent="0.25">
      <c r="A327" s="2">
        <v>40282</v>
      </c>
      <c r="B327">
        <v>0</v>
      </c>
      <c r="D327">
        <v>5.1622818614380783E-3</v>
      </c>
    </row>
    <row r="328" spans="1:4" x14ac:dyDescent="0.25">
      <c r="A328" s="2">
        <v>40283</v>
      </c>
      <c r="B328">
        <v>9.6815426110774538E-4</v>
      </c>
      <c r="D328">
        <v>-6.2221919496826539E-3</v>
      </c>
    </row>
    <row r="329" spans="1:4" x14ac:dyDescent="0.25">
      <c r="A329" s="2">
        <v>40284</v>
      </c>
      <c r="B329">
        <v>2.9013744762764748E-3</v>
      </c>
      <c r="D329">
        <v>-2.5840017038855079E-3</v>
      </c>
    </row>
    <row r="330" spans="1:4" x14ac:dyDescent="0.25">
      <c r="A330" s="2">
        <v>40287</v>
      </c>
      <c r="B330">
        <v>9.6428057657038657E-4</v>
      </c>
      <c r="D330">
        <v>3.9857120419095615E-4</v>
      </c>
    </row>
    <row r="331" spans="1:4" x14ac:dyDescent="0.25">
      <c r="A331" s="2">
        <v>40288</v>
      </c>
      <c r="B331">
        <v>-9.63351635300147E-4</v>
      </c>
      <c r="D331">
        <v>-4.0836964719117574E-3</v>
      </c>
    </row>
    <row r="332" spans="1:4" x14ac:dyDescent="0.25">
      <c r="A332" s="2">
        <v>40289</v>
      </c>
      <c r="B332">
        <v>0</v>
      </c>
      <c r="D332">
        <v>-2.1001998391136922E-3</v>
      </c>
    </row>
    <row r="333" spans="1:4" x14ac:dyDescent="0.25">
      <c r="A333" s="2">
        <v>40290</v>
      </c>
      <c r="B333">
        <v>1.9285611531409952E-3</v>
      </c>
      <c r="D333">
        <v>-5.712567189286033E-3</v>
      </c>
    </row>
    <row r="334" spans="1:4" x14ac:dyDescent="0.25">
      <c r="A334" s="2">
        <v>40291</v>
      </c>
      <c r="B334">
        <v>0</v>
      </c>
      <c r="D334">
        <v>-1.9151557420832299E-3</v>
      </c>
    </row>
    <row r="335" spans="1:4" x14ac:dyDescent="0.25">
      <c r="A335" s="2">
        <v>40294</v>
      </c>
      <c r="B335">
        <v>0</v>
      </c>
      <c r="D335">
        <v>-2.4237329754986936E-3</v>
      </c>
    </row>
    <row r="336" spans="1:4" x14ac:dyDescent="0.25">
      <c r="A336" s="2">
        <v>40295</v>
      </c>
      <c r="B336">
        <v>2.8874123042588185E-3</v>
      </c>
      <c r="D336">
        <v>-8.3012709602708901E-3</v>
      </c>
    </row>
    <row r="337" spans="1:4" x14ac:dyDescent="0.25">
      <c r="A337" s="2">
        <v>40296</v>
      </c>
      <c r="B337">
        <v>0</v>
      </c>
      <c r="D337">
        <v>-8.6769966819127964E-3</v>
      </c>
    </row>
    <row r="338" spans="1:4" x14ac:dyDescent="0.25">
      <c r="A338" s="2">
        <v>40297</v>
      </c>
      <c r="B338">
        <v>9.5965356658544998E-4</v>
      </c>
      <c r="D338">
        <v>1.0194603034369143E-2</v>
      </c>
    </row>
    <row r="339" spans="1:4" x14ac:dyDescent="0.25">
      <c r="A339" s="2">
        <v>40298</v>
      </c>
      <c r="B339">
        <v>1.9176053545220118E-3</v>
      </c>
      <c r="D339">
        <v>6.9317046517103353E-3</v>
      </c>
    </row>
    <row r="340" spans="1:4" x14ac:dyDescent="0.25">
      <c r="A340" s="2">
        <v>40301</v>
      </c>
      <c r="B340">
        <v>-9.5703662142310186E-4</v>
      </c>
      <c r="D340">
        <v>-6.6527300286015612E-3</v>
      </c>
    </row>
    <row r="341" spans="1:4" x14ac:dyDescent="0.25">
      <c r="A341" s="2">
        <v>40302</v>
      </c>
      <c r="B341">
        <v>3.8313990929015329E-3</v>
      </c>
      <c r="D341">
        <v>-9.2904209199562438E-3</v>
      </c>
    </row>
    <row r="342" spans="1:4" x14ac:dyDescent="0.25">
      <c r="A342" s="2">
        <v>40303</v>
      </c>
      <c r="B342">
        <v>2.8627537088801169E-3</v>
      </c>
      <c r="D342">
        <v>-9.0683919834618765E-3</v>
      </c>
    </row>
    <row r="343" spans="1:4" x14ac:dyDescent="0.25">
      <c r="A343" s="2">
        <v>40304</v>
      </c>
      <c r="B343">
        <v>4.7573159381615326E-3</v>
      </c>
      <c r="D343">
        <v>-1.8718880563888263E-3</v>
      </c>
    </row>
    <row r="344" spans="1:4" x14ac:dyDescent="0.25">
      <c r="A344" s="2">
        <v>40305</v>
      </c>
      <c r="B344">
        <v>-3.7878601575312976E-3</v>
      </c>
      <c r="D344">
        <v>-5.313631289552645E-3</v>
      </c>
    </row>
    <row r="345" spans="1:4" x14ac:dyDescent="0.25">
      <c r="A345" s="2">
        <v>40308</v>
      </c>
      <c r="B345">
        <v>-4.7527939601555991E-3</v>
      </c>
      <c r="D345">
        <v>1.0264964750718697E-2</v>
      </c>
    </row>
    <row r="346" spans="1:4" x14ac:dyDescent="0.25">
      <c r="A346" s="2">
        <v>40309</v>
      </c>
      <c r="B346">
        <v>-9.5520841443264004E-4</v>
      </c>
      <c r="D346">
        <v>1.4515187222308157E-3</v>
      </c>
    </row>
    <row r="347" spans="1:4" x14ac:dyDescent="0.25">
      <c r="A347" s="2">
        <v>40310</v>
      </c>
      <c r="B347">
        <v>0</v>
      </c>
      <c r="D347">
        <v>1.6565254600697799E-3</v>
      </c>
    </row>
    <row r="348" spans="1:4" x14ac:dyDescent="0.25">
      <c r="A348" s="2">
        <v>40311</v>
      </c>
      <c r="B348">
        <v>1.9119675624814647E-3</v>
      </c>
      <c r="D348">
        <v>-3.6175561887988872E-3</v>
      </c>
    </row>
    <row r="349" spans="1:4" x14ac:dyDescent="0.25">
      <c r="A349" s="2">
        <v>40312</v>
      </c>
      <c r="B349">
        <v>2.8627537088801169E-3</v>
      </c>
      <c r="D349">
        <v>-6.7427522429964748E-3</v>
      </c>
    </row>
    <row r="350" spans="1:4" x14ac:dyDescent="0.25">
      <c r="A350" s="2">
        <v>40315</v>
      </c>
      <c r="B350">
        <v>0</v>
      </c>
      <c r="D350">
        <v>-6.4752219733728023E-3</v>
      </c>
    </row>
    <row r="351" spans="1:4" x14ac:dyDescent="0.25">
      <c r="A351" s="2">
        <v>40316</v>
      </c>
      <c r="B351">
        <v>9.5143573313127838E-4</v>
      </c>
      <c r="D351">
        <v>-7.2531829496278455E-3</v>
      </c>
    </row>
    <row r="352" spans="1:4" x14ac:dyDescent="0.25">
      <c r="A352" s="2">
        <v>40317</v>
      </c>
      <c r="B352">
        <v>1.9010627272528779E-3</v>
      </c>
      <c r="D352">
        <v>1.5353640847952654E-2</v>
      </c>
    </row>
    <row r="353" spans="1:4" x14ac:dyDescent="0.25">
      <c r="A353" s="2">
        <v>40318</v>
      </c>
      <c r="B353">
        <v>1.8975924270416833E-3</v>
      </c>
      <c r="D353">
        <v>1.1575764316139381E-2</v>
      </c>
    </row>
    <row r="354" spans="1:4" x14ac:dyDescent="0.25">
      <c r="A354" s="2">
        <v>40319</v>
      </c>
      <c r="B354">
        <v>0</v>
      </c>
      <c r="D354">
        <v>4.63914298677226E-3</v>
      </c>
    </row>
    <row r="355" spans="1:4" x14ac:dyDescent="0.25">
      <c r="A355" s="2">
        <v>40322</v>
      </c>
      <c r="B355">
        <v>-9.4693088374564471E-4</v>
      </c>
      <c r="D355">
        <v>-1.4571554425456656E-2</v>
      </c>
    </row>
    <row r="356" spans="1:4" x14ac:dyDescent="0.25">
      <c r="A356" s="2">
        <v>40323</v>
      </c>
      <c r="B356">
        <v>1.8956568234822502E-3</v>
      </c>
      <c r="D356">
        <v>3.0198992110328504E-3</v>
      </c>
    </row>
    <row r="357" spans="1:4" x14ac:dyDescent="0.25">
      <c r="A357" s="2">
        <v>40324</v>
      </c>
      <c r="B357">
        <v>-2.8382416551067102E-3</v>
      </c>
      <c r="D357">
        <v>-1.2146985921036579E-2</v>
      </c>
    </row>
    <row r="358" spans="1:4" x14ac:dyDescent="0.25">
      <c r="A358" s="2">
        <v>40325</v>
      </c>
      <c r="B358">
        <v>-1.897455545239124E-3</v>
      </c>
      <c r="D358">
        <v>7.5670078401699481E-3</v>
      </c>
    </row>
    <row r="359" spans="1:4" x14ac:dyDescent="0.25">
      <c r="A359" s="2">
        <v>40326</v>
      </c>
      <c r="B359">
        <v>2.3798255306608507E-3</v>
      </c>
      <c r="D359">
        <v>-5.4240552573660006E-3</v>
      </c>
    </row>
    <row r="360" spans="1:4" x14ac:dyDescent="0.25">
      <c r="A360" s="2">
        <v>40330</v>
      </c>
      <c r="B360">
        <v>9.4964279968001719E-4</v>
      </c>
      <c r="D360">
        <v>-4.5605456176597281E-3</v>
      </c>
    </row>
    <row r="361" spans="1:4" x14ac:dyDescent="0.25">
      <c r="A361" s="2">
        <v>40331</v>
      </c>
      <c r="B361">
        <v>0</v>
      </c>
      <c r="D361">
        <v>-6.5449489259691296E-3</v>
      </c>
    </row>
    <row r="362" spans="1:4" x14ac:dyDescent="0.25">
      <c r="A362" s="2">
        <v>40332</v>
      </c>
      <c r="B362">
        <v>-1.897483667657518E-3</v>
      </c>
      <c r="D362">
        <v>-1.1688458970723348E-3</v>
      </c>
    </row>
    <row r="363" spans="1:4" x14ac:dyDescent="0.25">
      <c r="A363" s="2">
        <v>40333</v>
      </c>
      <c r="B363">
        <v>4.7528643382204194E-3</v>
      </c>
      <c r="D363">
        <v>-7.9787254272832842E-3</v>
      </c>
    </row>
    <row r="364" spans="1:4" x14ac:dyDescent="0.25">
      <c r="A364" s="2">
        <v>40336</v>
      </c>
      <c r="B364">
        <v>9.4604903562567344E-4</v>
      </c>
      <c r="D364">
        <v>-5.5763694749522141E-3</v>
      </c>
    </row>
    <row r="365" spans="1:4" x14ac:dyDescent="0.25">
      <c r="A365" s="2">
        <v>40337</v>
      </c>
      <c r="B365">
        <v>9.4515487276969345E-4</v>
      </c>
      <c r="D365">
        <v>2.9116440388328169E-3</v>
      </c>
    </row>
    <row r="366" spans="1:4" x14ac:dyDescent="0.25">
      <c r="A366" s="2">
        <v>40338</v>
      </c>
      <c r="B366">
        <v>-1.8885247971253127E-3</v>
      </c>
      <c r="D366">
        <v>4.9462208284529741E-3</v>
      </c>
    </row>
    <row r="367" spans="1:4" x14ac:dyDescent="0.25">
      <c r="A367" s="2">
        <v>40339</v>
      </c>
      <c r="B367">
        <v>-1.8920980712510138E-3</v>
      </c>
      <c r="D367">
        <v>4.7079241457570475E-3</v>
      </c>
    </row>
    <row r="368" spans="1:4" x14ac:dyDescent="0.25">
      <c r="A368" s="2">
        <v>40340</v>
      </c>
      <c r="B368">
        <v>9.4784244649059879E-4</v>
      </c>
      <c r="D368">
        <v>1.3844212595506278E-3</v>
      </c>
    </row>
    <row r="369" spans="1:4" x14ac:dyDescent="0.25">
      <c r="A369" s="2">
        <v>40343</v>
      </c>
      <c r="B369">
        <v>-2.8409711035148888E-3</v>
      </c>
      <c r="D369">
        <v>5.5301954892488236E-3</v>
      </c>
    </row>
    <row r="370" spans="1:4" x14ac:dyDescent="0.25">
      <c r="A370" s="2">
        <v>40344</v>
      </c>
      <c r="B370">
        <v>-1.8992855993599234E-3</v>
      </c>
      <c r="D370">
        <v>3.8075186198036626E-3</v>
      </c>
    </row>
    <row r="371" spans="1:4" x14ac:dyDescent="0.25">
      <c r="A371" s="2">
        <v>40345</v>
      </c>
      <c r="B371">
        <v>9.5144987472539633E-4</v>
      </c>
      <c r="D371">
        <v>-1.5804661614748916E-3</v>
      </c>
    </row>
    <row r="372" spans="1:4" x14ac:dyDescent="0.25">
      <c r="A372" s="2">
        <v>40346</v>
      </c>
      <c r="B372">
        <v>9.5054547834938496E-4</v>
      </c>
      <c r="D372">
        <v>6.2262220703517279E-3</v>
      </c>
    </row>
    <row r="373" spans="1:4" x14ac:dyDescent="0.25">
      <c r="A373" s="2">
        <v>40347</v>
      </c>
      <c r="B373">
        <v>-1.8992855993599234E-3</v>
      </c>
      <c r="D373">
        <v>-7.341411807763043E-4</v>
      </c>
    </row>
    <row r="374" spans="1:4" x14ac:dyDescent="0.25">
      <c r="A374" s="2">
        <v>40350</v>
      </c>
      <c r="B374">
        <v>0</v>
      </c>
      <c r="D374">
        <v>-1.2593903760272918E-3</v>
      </c>
    </row>
    <row r="375" spans="1:4" x14ac:dyDescent="0.25">
      <c r="A375" s="2">
        <v>40351</v>
      </c>
      <c r="B375">
        <v>3.8059365756741848E-3</v>
      </c>
      <c r="D375">
        <v>-6.3056553271667592E-4</v>
      </c>
    </row>
    <row r="376" spans="1:4" x14ac:dyDescent="0.25">
      <c r="A376" s="2">
        <v>40352</v>
      </c>
      <c r="B376">
        <v>9.4784244649059879E-4</v>
      </c>
      <c r="D376">
        <v>-1.051781878037561E-4</v>
      </c>
    </row>
    <row r="377" spans="1:4" x14ac:dyDescent="0.25">
      <c r="A377" s="2">
        <v>40353</v>
      </c>
      <c r="B377">
        <v>2.8408346757822223E-3</v>
      </c>
      <c r="D377">
        <v>5.7840224400291795E-3</v>
      </c>
    </row>
    <row r="378" spans="1:4" x14ac:dyDescent="0.25">
      <c r="A378" s="2">
        <v>40354</v>
      </c>
      <c r="B378">
        <v>-9.4426239856260086E-4</v>
      </c>
      <c r="D378">
        <v>2.5093931987310025E-3</v>
      </c>
    </row>
    <row r="379" spans="1:4" x14ac:dyDescent="0.25">
      <c r="A379" s="2">
        <v>40357</v>
      </c>
      <c r="B379">
        <v>9.4515487276969345E-4</v>
      </c>
      <c r="D379">
        <v>-1.877351408419714E-3</v>
      </c>
    </row>
    <row r="380" spans="1:4" x14ac:dyDescent="0.25">
      <c r="A380" s="2">
        <v>40358</v>
      </c>
      <c r="B380">
        <v>2.8329232369495028E-3</v>
      </c>
      <c r="D380">
        <v>-3.2392645376490004E-3</v>
      </c>
    </row>
    <row r="381" spans="1:4" x14ac:dyDescent="0.25">
      <c r="A381" s="2">
        <v>40359</v>
      </c>
      <c r="B381">
        <v>2.4518638248343105E-3</v>
      </c>
      <c r="D381">
        <v>5.3464915807686086E-3</v>
      </c>
    </row>
    <row r="382" spans="1:4" x14ac:dyDescent="0.25">
      <c r="A382" s="2">
        <v>40360</v>
      </c>
      <c r="B382">
        <v>9.4078049325752033E-4</v>
      </c>
      <c r="D382">
        <v>1.9841520820798486E-2</v>
      </c>
    </row>
    <row r="383" spans="1:4" x14ac:dyDescent="0.25">
      <c r="A383" s="2">
        <v>40361</v>
      </c>
      <c r="B383">
        <v>-1.8797925143859695E-3</v>
      </c>
      <c r="D383">
        <v>1.432807120458568E-3</v>
      </c>
    </row>
    <row r="384" spans="1:4" x14ac:dyDescent="0.25">
      <c r="A384" s="2">
        <v>40365</v>
      </c>
      <c r="B384">
        <v>0</v>
      </c>
      <c r="D384">
        <v>5.9274614694528882E-3</v>
      </c>
    </row>
    <row r="385" spans="1:4" x14ac:dyDescent="0.25">
      <c r="A385" s="2">
        <v>40366</v>
      </c>
      <c r="B385">
        <v>-9.4166639463288959E-4</v>
      </c>
      <c r="D385">
        <v>-3.0477449539267898E-4</v>
      </c>
    </row>
    <row r="386" spans="1:4" x14ac:dyDescent="0.25">
      <c r="A386" s="2">
        <v>40367</v>
      </c>
      <c r="B386">
        <v>-1.8849723517954109E-3</v>
      </c>
      <c r="D386">
        <v>-3.0488102287534735E-3</v>
      </c>
    </row>
    <row r="387" spans="1:4" x14ac:dyDescent="0.25">
      <c r="A387" s="2">
        <v>40368</v>
      </c>
      <c r="B387">
        <v>0</v>
      </c>
      <c r="D387">
        <v>5.0971173860703267E-4</v>
      </c>
    </row>
    <row r="388" spans="1:4" x14ac:dyDescent="0.25">
      <c r="A388" s="2">
        <v>40371</v>
      </c>
      <c r="B388">
        <v>2.8328661922718545E-3</v>
      </c>
      <c r="D388">
        <v>-8.1509601117080166E-4</v>
      </c>
    </row>
    <row r="389" spans="1:4" x14ac:dyDescent="0.25">
      <c r="A389" s="2">
        <v>40372</v>
      </c>
      <c r="B389">
        <v>-1.8831973366773003E-3</v>
      </c>
      <c r="D389">
        <v>4.2826310946522117E-3</v>
      </c>
    </row>
    <row r="390" spans="1:4" x14ac:dyDescent="0.25">
      <c r="A390" s="2">
        <v>40373</v>
      </c>
      <c r="B390">
        <v>-9.434430841358532E-4</v>
      </c>
      <c r="D390">
        <v>1.6245757917365822E-3</v>
      </c>
    </row>
    <row r="391" spans="1:4" x14ac:dyDescent="0.25">
      <c r="A391" s="2">
        <v>40374</v>
      </c>
      <c r="B391">
        <v>9.443340095263153E-4</v>
      </c>
      <c r="D391">
        <v>8.3122077180388665E-3</v>
      </c>
    </row>
    <row r="392" spans="1:4" x14ac:dyDescent="0.25">
      <c r="A392" s="2">
        <v>40375</v>
      </c>
      <c r="B392">
        <v>1.886750460118769E-3</v>
      </c>
      <c r="D392">
        <v>7.5399568407301665E-3</v>
      </c>
    </row>
    <row r="393" spans="1:4" x14ac:dyDescent="0.25">
      <c r="A393" s="2">
        <v>40378</v>
      </c>
      <c r="B393">
        <v>-9.4166639463288959E-4</v>
      </c>
      <c r="D393">
        <v>-4.9890171792633664E-3</v>
      </c>
    </row>
    <row r="394" spans="1:4" x14ac:dyDescent="0.25">
      <c r="A394" s="2">
        <v>40379</v>
      </c>
      <c r="B394">
        <v>0</v>
      </c>
      <c r="D394">
        <v>-1.7047586604168607E-3</v>
      </c>
    </row>
    <row r="395" spans="1:4" x14ac:dyDescent="0.25">
      <c r="A395" s="2">
        <v>40380</v>
      </c>
      <c r="B395">
        <v>9.4255396602771491E-4</v>
      </c>
      <c r="D395">
        <v>-5.625364236632957E-3</v>
      </c>
    </row>
    <row r="396" spans="1:4" x14ac:dyDescent="0.25">
      <c r="A396" s="2">
        <v>40381</v>
      </c>
      <c r="B396">
        <v>-9.4166639463288959E-4</v>
      </c>
      <c r="D396">
        <v>8.8898378310213744E-3</v>
      </c>
    </row>
    <row r="397" spans="1:4" x14ac:dyDescent="0.25">
      <c r="A397" s="2">
        <v>40382</v>
      </c>
      <c r="B397">
        <v>-1.8849723517954109E-3</v>
      </c>
      <c r="D397">
        <v>-5.5071906129349202E-3</v>
      </c>
    </row>
    <row r="398" spans="1:4" x14ac:dyDescent="0.25">
      <c r="A398" s="2">
        <v>40385</v>
      </c>
      <c r="B398">
        <v>-1.8885321827454282E-3</v>
      </c>
      <c r="D398">
        <v>6.9472686915881265E-3</v>
      </c>
    </row>
    <row r="399" spans="1:4" x14ac:dyDescent="0.25">
      <c r="A399" s="2">
        <v>40386</v>
      </c>
      <c r="B399">
        <v>0</v>
      </c>
      <c r="D399">
        <v>-3.9996167053520937E-3</v>
      </c>
    </row>
    <row r="400" spans="1:4" x14ac:dyDescent="0.25">
      <c r="A400" s="2">
        <v>40387</v>
      </c>
      <c r="B400">
        <v>0</v>
      </c>
      <c r="D400">
        <v>6.525456941997243E-3</v>
      </c>
    </row>
    <row r="401" spans="1:4" x14ac:dyDescent="0.25">
      <c r="A401" s="2">
        <v>40388</v>
      </c>
      <c r="B401">
        <v>1.8921054848468621E-3</v>
      </c>
      <c r="D401">
        <v>6.981826255603174E-3</v>
      </c>
    </row>
    <row r="402" spans="1:4" x14ac:dyDescent="0.25">
      <c r="A402" s="2">
        <v>40389</v>
      </c>
      <c r="B402">
        <v>5.5813780376055E-3</v>
      </c>
      <c r="D402">
        <v>1.3866726112496952E-3</v>
      </c>
    </row>
    <row r="403" spans="1:4" x14ac:dyDescent="0.25">
      <c r="A403" s="2">
        <v>40392</v>
      </c>
      <c r="B403">
        <v>-1.8815622167071E-3</v>
      </c>
      <c r="D403">
        <v>7.3347750491348229E-3</v>
      </c>
    </row>
    <row r="404" spans="1:4" x14ac:dyDescent="0.25">
      <c r="A404" s="2">
        <v>40393</v>
      </c>
      <c r="B404">
        <v>4.7125699117143149E-3</v>
      </c>
      <c r="D404">
        <v>6.4941734009442698E-3</v>
      </c>
    </row>
    <row r="405" spans="1:4" x14ac:dyDescent="0.25">
      <c r="A405" s="2">
        <v>40394</v>
      </c>
      <c r="B405">
        <v>9.3820091454710486E-4</v>
      </c>
      <c r="D405">
        <v>-1.759699447171581E-3</v>
      </c>
    </row>
    <row r="406" spans="1:4" x14ac:dyDescent="0.25">
      <c r="A406" s="2">
        <v>40395</v>
      </c>
      <c r="B406">
        <v>1.8742393094208776E-3</v>
      </c>
      <c r="D406">
        <v>4.0152402700672774E-3</v>
      </c>
    </row>
    <row r="407" spans="1:4" x14ac:dyDescent="0.25">
      <c r="A407" s="2">
        <v>40396</v>
      </c>
      <c r="B407">
        <v>9.3556804024341744E-4</v>
      </c>
      <c r="D407">
        <v>3.7066424165936862E-3</v>
      </c>
    </row>
    <row r="408" spans="1:4" x14ac:dyDescent="0.25">
      <c r="A408" s="2">
        <v>40399</v>
      </c>
      <c r="B408">
        <v>9.3455937216502249E-4</v>
      </c>
      <c r="D408">
        <v>6.8026418562161517E-4</v>
      </c>
    </row>
    <row r="409" spans="1:4" x14ac:dyDescent="0.25">
      <c r="A409" s="2">
        <v>40400</v>
      </c>
      <c r="B409">
        <v>0</v>
      </c>
      <c r="D409">
        <v>-1.55388972669257E-3</v>
      </c>
    </row>
    <row r="410" spans="1:4" x14ac:dyDescent="0.25">
      <c r="A410" s="2">
        <v>40401</v>
      </c>
      <c r="B410">
        <v>5.6022547919156729E-3</v>
      </c>
      <c r="D410">
        <v>-1.7507980830838377E-2</v>
      </c>
    </row>
    <row r="411" spans="1:4" x14ac:dyDescent="0.25">
      <c r="A411" s="2">
        <v>40402</v>
      </c>
      <c r="B411">
        <v>0</v>
      </c>
      <c r="D411">
        <v>-1.5840303976810688E-3</v>
      </c>
    </row>
    <row r="412" spans="1:4" x14ac:dyDescent="0.25">
      <c r="A412" s="2">
        <v>40403</v>
      </c>
      <c r="B412">
        <v>9.2848517590216062E-4</v>
      </c>
      <c r="D412">
        <v>-5.453601189299162E-3</v>
      </c>
    </row>
    <row r="413" spans="1:4" x14ac:dyDescent="0.25">
      <c r="A413" s="2">
        <v>40406</v>
      </c>
      <c r="B413">
        <v>3.7106287662242998E-3</v>
      </c>
      <c r="D413">
        <v>8.7736496492680782E-3</v>
      </c>
    </row>
    <row r="414" spans="1:4" x14ac:dyDescent="0.25">
      <c r="A414" s="2">
        <v>40407</v>
      </c>
      <c r="B414">
        <v>-9.2419454799530509E-4</v>
      </c>
      <c r="D414">
        <v>2.9650475624376504E-3</v>
      </c>
    </row>
    <row r="415" spans="1:4" x14ac:dyDescent="0.25">
      <c r="A415" s="2">
        <v>40408</v>
      </c>
      <c r="B415">
        <v>2.775148421026552E-3</v>
      </c>
      <c r="D415">
        <v>1.2810131127709568E-3</v>
      </c>
    </row>
    <row r="416" spans="1:4" x14ac:dyDescent="0.25">
      <c r="A416" s="2">
        <v>40409</v>
      </c>
      <c r="B416">
        <v>9.2248942859440852E-4</v>
      </c>
      <c r="D416">
        <v>-7.8734937199498312E-4</v>
      </c>
    </row>
    <row r="417" spans="1:4" x14ac:dyDescent="0.25">
      <c r="A417" s="2">
        <v>40410</v>
      </c>
      <c r="B417">
        <v>2.7650500218234786E-3</v>
      </c>
      <c r="D417">
        <v>-8.1749368826619095E-3</v>
      </c>
    </row>
    <row r="418" spans="1:4" x14ac:dyDescent="0.25">
      <c r="A418" s="2">
        <v>40413</v>
      </c>
      <c r="B418">
        <v>-9.1922985299586202E-4</v>
      </c>
      <c r="D418">
        <v>1.8868116529864309E-3</v>
      </c>
    </row>
    <row r="419" spans="1:4" x14ac:dyDescent="0.25">
      <c r="A419" s="2">
        <v>40414</v>
      </c>
      <c r="B419">
        <v>4.5998496703445468E-3</v>
      </c>
      <c r="D419">
        <v>7.0373645322370226E-3</v>
      </c>
    </row>
    <row r="420" spans="1:4" x14ac:dyDescent="0.25">
      <c r="A420" s="2">
        <v>40415</v>
      </c>
      <c r="B420">
        <v>1.8314625756639114E-3</v>
      </c>
      <c r="D420">
        <v>-3.4448638051656211E-3</v>
      </c>
    </row>
    <row r="421" spans="1:4" x14ac:dyDescent="0.25">
      <c r="A421" s="2">
        <v>40416</v>
      </c>
      <c r="B421">
        <v>-1.8281144524601167E-3</v>
      </c>
      <c r="D421">
        <v>2.7654109303660857E-3</v>
      </c>
    </row>
    <row r="422" spans="1:4" x14ac:dyDescent="0.25">
      <c r="A422" s="2">
        <v>40417</v>
      </c>
      <c r="B422">
        <v>-1.8314625756639114E-3</v>
      </c>
      <c r="D422">
        <v>-1.6743562450582949E-3</v>
      </c>
    </row>
    <row r="423" spans="1:4" x14ac:dyDescent="0.25">
      <c r="A423" s="2">
        <v>40420</v>
      </c>
      <c r="B423">
        <v>9.174114926471244E-4</v>
      </c>
      <c r="D423">
        <v>-1.9736129487213372E-4</v>
      </c>
    </row>
    <row r="424" spans="1:4" x14ac:dyDescent="0.25">
      <c r="A424" s="2">
        <v>40421</v>
      </c>
      <c r="B424">
        <v>3.4887331175104119E-3</v>
      </c>
      <c r="D424">
        <v>2.5656427561653317E-3</v>
      </c>
    </row>
    <row r="425" spans="1:4" x14ac:dyDescent="0.25">
      <c r="A425" s="2">
        <v>40422</v>
      </c>
      <c r="B425">
        <v>-5.4894854594346176E-3</v>
      </c>
      <c r="D425">
        <v>2.7813624280841331E-3</v>
      </c>
    </row>
    <row r="426" spans="1:4" x14ac:dyDescent="0.25">
      <c r="A426" s="2">
        <v>40423</v>
      </c>
      <c r="B426">
        <v>-2.7598931228848267E-3</v>
      </c>
      <c r="D426">
        <v>-2.2621785095764402E-3</v>
      </c>
    </row>
    <row r="427" spans="1:4" x14ac:dyDescent="0.25">
      <c r="A427" s="2">
        <v>40424</v>
      </c>
      <c r="B427">
        <v>-4.6125079397741908E-3</v>
      </c>
      <c r="D427">
        <v>1.7744565391279998E-3</v>
      </c>
    </row>
    <row r="428" spans="1:4" x14ac:dyDescent="0.25">
      <c r="A428" s="2">
        <v>40428</v>
      </c>
      <c r="B428">
        <v>5.5607112512927603E-3</v>
      </c>
      <c r="D428">
        <v>-6.199618847460675E-3</v>
      </c>
    </row>
    <row r="429" spans="1:4" x14ac:dyDescent="0.25">
      <c r="A429" s="2">
        <v>40429</v>
      </c>
      <c r="B429">
        <v>-1.8434083288180192E-3</v>
      </c>
      <c r="D429">
        <v>3.96090537527094E-4</v>
      </c>
    </row>
    <row r="430" spans="1:4" x14ac:dyDescent="0.25">
      <c r="A430" s="2">
        <v>40430</v>
      </c>
      <c r="B430">
        <v>-1.8465480207718876E-3</v>
      </c>
      <c r="D430">
        <v>-2.3755142569746868E-3</v>
      </c>
    </row>
    <row r="431" spans="1:4" x14ac:dyDescent="0.25">
      <c r="A431" s="2">
        <v>40431</v>
      </c>
      <c r="B431">
        <v>-3.7003259782563136E-3</v>
      </c>
      <c r="D431">
        <v>-2.1827655972833648E-3</v>
      </c>
    </row>
    <row r="432" spans="1:4" x14ac:dyDescent="0.25">
      <c r="A432" s="2">
        <v>40434</v>
      </c>
      <c r="B432">
        <v>0</v>
      </c>
      <c r="D432">
        <v>8.551256444589983E-3</v>
      </c>
    </row>
    <row r="433" spans="1:4" x14ac:dyDescent="0.25">
      <c r="A433" s="2">
        <v>40435</v>
      </c>
      <c r="B433">
        <v>2.7855186572647295E-3</v>
      </c>
      <c r="D433">
        <v>1.1535039175816664E-2</v>
      </c>
    </row>
    <row r="434" spans="1:4" x14ac:dyDescent="0.25">
      <c r="A434" s="2">
        <v>40436</v>
      </c>
      <c r="B434">
        <v>9.2597127763438536E-4</v>
      </c>
      <c r="D434">
        <v>-7.9922007650815585E-3</v>
      </c>
    </row>
    <row r="435" spans="1:4" x14ac:dyDescent="0.25">
      <c r="A435" s="2">
        <v>40437</v>
      </c>
      <c r="B435">
        <v>-2.7753439441260408E-3</v>
      </c>
      <c r="D435">
        <v>-1.3755128140975348E-3</v>
      </c>
    </row>
    <row r="436" spans="1:4" x14ac:dyDescent="0.25">
      <c r="A436" s="2">
        <v>40438</v>
      </c>
      <c r="B436">
        <v>9.276893049365853E-4</v>
      </c>
      <c r="D436">
        <v>-9.8384997030498411E-4</v>
      </c>
    </row>
    <row r="437" spans="1:4" x14ac:dyDescent="0.25">
      <c r="A437" s="2">
        <v>40441</v>
      </c>
      <c r="B437">
        <v>-9.2682949512645774E-4</v>
      </c>
      <c r="D437">
        <v>-2.3635828369119594E-3</v>
      </c>
    </row>
    <row r="438" spans="1:4" x14ac:dyDescent="0.25">
      <c r="A438" s="2">
        <v>40442</v>
      </c>
      <c r="B438">
        <v>1.8553786098731706E-3</v>
      </c>
      <c r="D438">
        <v>1.6880546695686949E-2</v>
      </c>
    </row>
    <row r="439" spans="1:4" x14ac:dyDescent="0.25">
      <c r="A439" s="2">
        <v>40443</v>
      </c>
      <c r="B439">
        <v>4.629590914756454E-3</v>
      </c>
      <c r="D439">
        <v>1.1746423339994871E-2</v>
      </c>
    </row>
    <row r="440" spans="1:4" x14ac:dyDescent="0.25">
      <c r="A440" s="2">
        <v>40444</v>
      </c>
      <c r="B440">
        <v>1.8432762037943196E-3</v>
      </c>
      <c r="D440">
        <v>-9.5975038938989066E-5</v>
      </c>
    </row>
    <row r="441" spans="1:4" x14ac:dyDescent="0.25">
      <c r="A441" s="2">
        <v>40445</v>
      </c>
      <c r="B441">
        <v>-1.8398847879469438E-3</v>
      </c>
      <c r="D441">
        <v>2.3990089740741904E-3</v>
      </c>
    </row>
    <row r="442" spans="1:4" x14ac:dyDescent="0.25">
      <c r="A442" s="2">
        <v>40448</v>
      </c>
      <c r="B442">
        <v>2.7649803682034957E-3</v>
      </c>
      <c r="D442">
        <v>1.7231453671846531E-3</v>
      </c>
    </row>
    <row r="443" spans="1:4" x14ac:dyDescent="0.25">
      <c r="A443" s="2">
        <v>40449</v>
      </c>
      <c r="B443">
        <v>2.7573563320768546E-3</v>
      </c>
      <c r="D443">
        <v>6.6895772064072823E-3</v>
      </c>
    </row>
    <row r="444" spans="1:4" x14ac:dyDescent="0.25">
      <c r="A444" s="2">
        <v>40450</v>
      </c>
      <c r="B444">
        <v>9.1663520770079998E-4</v>
      </c>
      <c r="D444">
        <v>7.3097009142812919E-3</v>
      </c>
    </row>
    <row r="445" spans="1:4" x14ac:dyDescent="0.25">
      <c r="A445" s="2">
        <v>40451</v>
      </c>
      <c r="B445">
        <v>-2.7529009497839763E-4</v>
      </c>
      <c r="D445">
        <v>9.4240420337032837E-4</v>
      </c>
    </row>
    <row r="446" spans="1:4" x14ac:dyDescent="0.25">
      <c r="A446" s="2">
        <v>40452</v>
      </c>
      <c r="B446">
        <v>-9.1736107810014289E-4</v>
      </c>
      <c r="D446">
        <v>6.6411237060775008E-3</v>
      </c>
    </row>
    <row r="447" spans="1:4" x14ac:dyDescent="0.25">
      <c r="A447" s="2">
        <v>40455</v>
      </c>
      <c r="B447">
        <v>3.6732079130048501E-3</v>
      </c>
      <c r="D447">
        <v>-2.6239202509220627E-3</v>
      </c>
    </row>
    <row r="448" spans="1:4" x14ac:dyDescent="0.25">
      <c r="A448" s="2">
        <v>40456</v>
      </c>
      <c r="B448">
        <v>-9.149739474034746E-4</v>
      </c>
      <c r="D448">
        <v>1.1899140751497228E-2</v>
      </c>
    </row>
    <row r="449" spans="1:4" x14ac:dyDescent="0.25">
      <c r="A449" s="2">
        <v>40457</v>
      </c>
      <c r="B449">
        <v>3.662985418313669E-3</v>
      </c>
      <c r="D449">
        <v>7.1635026032501603E-3</v>
      </c>
    </row>
    <row r="450" spans="1:4" x14ac:dyDescent="0.25">
      <c r="A450" s="2">
        <v>40458</v>
      </c>
      <c r="B450">
        <v>-1.8248084623680993E-3</v>
      </c>
      <c r="D450">
        <v>-1.7550565445717536E-3</v>
      </c>
    </row>
    <row r="451" spans="1:4" x14ac:dyDescent="0.25">
      <c r="A451" s="2">
        <v>40459</v>
      </c>
      <c r="B451">
        <v>1.8281444758780907E-3</v>
      </c>
      <c r="D451">
        <v>3.1461378463060186E-3</v>
      </c>
    </row>
    <row r="452" spans="1:4" x14ac:dyDescent="0.25">
      <c r="A452" s="2">
        <v>40462</v>
      </c>
      <c r="B452">
        <v>-9.1246952884593835E-4</v>
      </c>
      <c r="D452">
        <v>-3.6897542746827661E-4</v>
      </c>
    </row>
    <row r="453" spans="1:4" x14ac:dyDescent="0.25">
      <c r="A453" s="2">
        <v>40463</v>
      </c>
      <c r="B453">
        <v>1.826605779807311E-3</v>
      </c>
      <c r="D453">
        <v>-1.5687499308415509E-3</v>
      </c>
    </row>
    <row r="454" spans="1:4" x14ac:dyDescent="0.25">
      <c r="A454" s="2">
        <v>40464</v>
      </c>
      <c r="B454">
        <v>-1.8232753744700236E-3</v>
      </c>
      <c r="D454">
        <v>7.0240478095959791E-3</v>
      </c>
    </row>
    <row r="455" spans="1:4" x14ac:dyDescent="0.25">
      <c r="A455" s="2">
        <v>40465</v>
      </c>
      <c r="B455">
        <v>9.1330288990354447E-4</v>
      </c>
      <c r="D455">
        <v>6.2408287814279539E-3</v>
      </c>
    </row>
    <row r="456" spans="1:4" x14ac:dyDescent="0.25">
      <c r="A456" s="2">
        <v>40466</v>
      </c>
      <c r="B456">
        <v>-2.7371473958900383E-3</v>
      </c>
      <c r="D456">
        <v>-8.2087006163099607E-3</v>
      </c>
    </row>
    <row r="457" spans="1:4" x14ac:dyDescent="0.25">
      <c r="A457" s="2">
        <v>40469</v>
      </c>
      <c r="B457">
        <v>-9.149739474034746E-4</v>
      </c>
      <c r="D457">
        <v>2.02318594657247E-3</v>
      </c>
    </row>
    <row r="458" spans="1:4" x14ac:dyDescent="0.25">
      <c r="A458" s="2">
        <v>40470</v>
      </c>
      <c r="B458">
        <v>-2.7473046005818125E-3</v>
      </c>
      <c r="D458">
        <v>-1.5602026224502574E-2</v>
      </c>
    </row>
    <row r="459" spans="1:4" x14ac:dyDescent="0.25">
      <c r="A459" s="2">
        <v>40471</v>
      </c>
      <c r="B459">
        <v>0</v>
      </c>
      <c r="D459">
        <v>8.7637030574636565E-3</v>
      </c>
    </row>
    <row r="460" spans="1:4" x14ac:dyDescent="0.25">
      <c r="A460" s="2">
        <v>40472</v>
      </c>
      <c r="B460">
        <v>0</v>
      </c>
      <c r="D460">
        <v>-2.1256600346941656E-3</v>
      </c>
    </row>
    <row r="461" spans="1:4" x14ac:dyDescent="0.25">
      <c r="A461" s="2">
        <v>40473</v>
      </c>
      <c r="B461">
        <v>-9.1820340216319796E-4</v>
      </c>
      <c r="D461">
        <v>-2.593302331681091E-3</v>
      </c>
    </row>
    <row r="462" spans="1:4" x14ac:dyDescent="0.25">
      <c r="A462" s="2">
        <v>40476</v>
      </c>
      <c r="B462">
        <v>1.8380945489946399E-3</v>
      </c>
      <c r="D462">
        <v>6.4072314353367243E-3</v>
      </c>
    </row>
    <row r="463" spans="1:4" x14ac:dyDescent="0.25">
      <c r="A463" s="2">
        <v>40477</v>
      </c>
      <c r="B463">
        <v>-2.7522145485114891E-3</v>
      </c>
      <c r="D463">
        <v>-6.5510096206896629E-3</v>
      </c>
    </row>
    <row r="464" spans="1:4" x14ac:dyDescent="0.25">
      <c r="A464" s="2">
        <v>40478</v>
      </c>
      <c r="B464">
        <v>-4.5998591323591631E-3</v>
      </c>
      <c r="D464">
        <v>-1.1888168067682559E-2</v>
      </c>
    </row>
    <row r="465" spans="1:4" x14ac:dyDescent="0.25">
      <c r="A465" s="2">
        <v>40479</v>
      </c>
      <c r="B465">
        <v>1.8485520733704242E-3</v>
      </c>
      <c r="D465">
        <v>9.3993814056880787E-3</v>
      </c>
    </row>
    <row r="466" spans="1:4" x14ac:dyDescent="0.25">
      <c r="A466" s="2">
        <v>40480</v>
      </c>
      <c r="B466">
        <v>3.7895773155638413E-3</v>
      </c>
      <c r="D466">
        <v>-1.0243148524404777E-3</v>
      </c>
    </row>
    <row r="467" spans="1:4" x14ac:dyDescent="0.25">
      <c r="A467" s="2">
        <v>40483</v>
      </c>
      <c r="B467">
        <v>1.8415954320014638E-3</v>
      </c>
      <c r="D467">
        <v>1.9235840290536821E-3</v>
      </c>
    </row>
    <row r="468" spans="1:4" x14ac:dyDescent="0.25">
      <c r="A468" s="2">
        <v>40484</v>
      </c>
      <c r="B468">
        <v>9.192363969821038E-4</v>
      </c>
      <c r="D468">
        <v>6.244155021761344E-3</v>
      </c>
    </row>
    <row r="469" spans="1:4" x14ac:dyDescent="0.25">
      <c r="A469" s="2">
        <v>40485</v>
      </c>
      <c r="B469">
        <v>1.8363908145038188E-3</v>
      </c>
      <c r="D469">
        <v>-4.6312005984705529E-4</v>
      </c>
    </row>
    <row r="470" spans="1:4" x14ac:dyDescent="0.25">
      <c r="A470" s="2">
        <v>40486</v>
      </c>
      <c r="B470">
        <v>9.1670874195259877E-4</v>
      </c>
      <c r="D470">
        <v>7.1349621966130261E-3</v>
      </c>
    </row>
    <row r="471" spans="1:4" x14ac:dyDescent="0.25">
      <c r="A471" s="2">
        <v>40487</v>
      </c>
      <c r="B471">
        <v>-9.1586915669028546E-4</v>
      </c>
      <c r="D471">
        <v>-7.176368649401299E-3</v>
      </c>
    </row>
    <row r="472" spans="1:4" x14ac:dyDescent="0.25">
      <c r="A472" s="2">
        <v>40490</v>
      </c>
      <c r="B472">
        <v>-9.1657780226639396E-4</v>
      </c>
      <c r="D472">
        <v>-9.2669774383540293E-3</v>
      </c>
    </row>
    <row r="473" spans="1:4" x14ac:dyDescent="0.25">
      <c r="A473" s="2">
        <v>40491</v>
      </c>
      <c r="B473">
        <v>-1.8348373757421932E-3</v>
      </c>
      <c r="D473">
        <v>-4.6768287860201596E-3</v>
      </c>
    </row>
    <row r="474" spans="1:4" x14ac:dyDescent="0.25">
      <c r="A474" s="2">
        <v>40492</v>
      </c>
      <c r="B474">
        <v>-9.1910509625392489E-4</v>
      </c>
      <c r="D474">
        <v>-7.5181263351696836E-3</v>
      </c>
    </row>
    <row r="475" spans="1:4" x14ac:dyDescent="0.25">
      <c r="A475" s="2">
        <v>40493</v>
      </c>
      <c r="B475">
        <v>-9.1995062756400348E-4</v>
      </c>
      <c r="D475">
        <v>-9.3740877087562513E-3</v>
      </c>
    </row>
    <row r="476" spans="1:4" x14ac:dyDescent="0.25">
      <c r="A476" s="2">
        <v>40494</v>
      </c>
      <c r="B476">
        <v>-4.6039885800036595E-3</v>
      </c>
      <c r="D476">
        <v>0</v>
      </c>
    </row>
    <row r="477" spans="1:4" x14ac:dyDescent="0.25">
      <c r="A477" s="2">
        <v>40497</v>
      </c>
      <c r="B477">
        <v>-4.6254154825940974E-3</v>
      </c>
      <c r="D477">
        <v>-5.7350976294011646E-3</v>
      </c>
    </row>
    <row r="478" spans="1:4" x14ac:dyDescent="0.25">
      <c r="A478" s="2">
        <v>40498</v>
      </c>
      <c r="B478">
        <v>-1.8587106416362298E-3</v>
      </c>
      <c r="D478">
        <v>-1.0286486874542478E-2</v>
      </c>
    </row>
    <row r="479" spans="1:4" x14ac:dyDescent="0.25">
      <c r="A479" s="2">
        <v>40499</v>
      </c>
      <c r="B479">
        <v>9.3108594016322321E-4</v>
      </c>
      <c r="D479">
        <v>1.3598768829239383E-3</v>
      </c>
    </row>
    <row r="480" spans="1:4" x14ac:dyDescent="0.25">
      <c r="A480" s="2">
        <v>40500</v>
      </c>
      <c r="B480">
        <v>-3.7208793022500686E-3</v>
      </c>
      <c r="D480">
        <v>4.8504292648132719E-4</v>
      </c>
    </row>
    <row r="481" spans="1:4" x14ac:dyDescent="0.25">
      <c r="A481" s="2">
        <v>40501</v>
      </c>
      <c r="B481">
        <v>9.3369398819787008E-4</v>
      </c>
      <c r="D481">
        <v>6.9808225614049757E-3</v>
      </c>
    </row>
    <row r="482" spans="1:4" x14ac:dyDescent="0.25">
      <c r="A482" s="2">
        <v>40504</v>
      </c>
      <c r="B482">
        <v>1.865646033909707E-3</v>
      </c>
      <c r="D482">
        <v>-2.0219427944941915E-3</v>
      </c>
    </row>
    <row r="483" spans="1:4" x14ac:dyDescent="0.25">
      <c r="A483" s="2">
        <v>40505</v>
      </c>
      <c r="B483">
        <v>2.7933908327670842E-3</v>
      </c>
      <c r="D483">
        <v>-8.3936661591551553E-3</v>
      </c>
    </row>
    <row r="484" spans="1:4" x14ac:dyDescent="0.25">
      <c r="A484" s="2">
        <v>40506</v>
      </c>
      <c r="B484">
        <v>-4.6425941332020049E-3</v>
      </c>
      <c r="D484">
        <v>-7.6863261155641904E-3</v>
      </c>
    </row>
    <row r="485" spans="1:4" x14ac:dyDescent="0.25">
      <c r="A485" s="2">
        <v>40508</v>
      </c>
      <c r="B485">
        <v>-1.8657792943406193E-3</v>
      </c>
      <c r="D485">
        <v>-1.1177555750871981E-2</v>
      </c>
    </row>
    <row r="486" spans="1:4" x14ac:dyDescent="0.25">
      <c r="A486" s="2">
        <v>40511</v>
      </c>
      <c r="B486">
        <v>-9.3456671217562182E-4</v>
      </c>
      <c r="D486">
        <v>-8.0317133039738975E-3</v>
      </c>
    </row>
    <row r="487" spans="1:4" x14ac:dyDescent="0.25">
      <c r="A487" s="2">
        <v>40512</v>
      </c>
      <c r="B487">
        <v>5.6232027840859011E-3</v>
      </c>
      <c r="D487">
        <v>-1.5993966762303247E-3</v>
      </c>
    </row>
    <row r="488" spans="1:4" x14ac:dyDescent="0.25">
      <c r="A488" s="2">
        <v>40513</v>
      </c>
      <c r="B488">
        <v>-4.6596885842346003E-3</v>
      </c>
      <c r="D488">
        <v>2.7288168620500652E-3</v>
      </c>
    </row>
    <row r="489" spans="1:4" x14ac:dyDescent="0.25">
      <c r="A489" s="2">
        <v>40514</v>
      </c>
      <c r="B489">
        <v>-1.8727346812786871E-3</v>
      </c>
      <c r="D489">
        <v>8.204102105131561E-3</v>
      </c>
    </row>
    <row r="490" spans="1:4" x14ac:dyDescent="0.25">
      <c r="A490" s="2">
        <v>40515</v>
      </c>
      <c r="B490">
        <v>-1.8761146369444814E-3</v>
      </c>
      <c r="D490">
        <v>1.4389249019181927E-2</v>
      </c>
    </row>
    <row r="491" spans="1:4" x14ac:dyDescent="0.25">
      <c r="A491" s="2">
        <v>40518</v>
      </c>
      <c r="B491">
        <v>3.7594161292928696E-3</v>
      </c>
      <c r="D491">
        <v>-1.4674374927549083E-3</v>
      </c>
    </row>
    <row r="492" spans="1:4" x14ac:dyDescent="0.25">
      <c r="A492" s="2">
        <v>40519</v>
      </c>
      <c r="B492">
        <v>-5.6180705345552084E-3</v>
      </c>
      <c r="D492">
        <v>-5.976300783410271E-3</v>
      </c>
    </row>
    <row r="493" spans="1:4" x14ac:dyDescent="0.25">
      <c r="A493" s="2">
        <v>40520</v>
      </c>
      <c r="B493">
        <v>-5.7636670929087641E-3</v>
      </c>
      <c r="D493">
        <v>-8.3776624645767184E-3</v>
      </c>
    </row>
    <row r="494" spans="1:4" x14ac:dyDescent="0.25">
      <c r="A494" s="2">
        <v>40521</v>
      </c>
      <c r="B494">
        <v>1.9323148291692238E-3</v>
      </c>
      <c r="D494">
        <v>2.7830060688913694E-3</v>
      </c>
    </row>
    <row r="495" spans="1:4" x14ac:dyDescent="0.25">
      <c r="A495" s="2">
        <v>40522</v>
      </c>
      <c r="B495">
        <v>0</v>
      </c>
      <c r="D495">
        <v>-1.2885001706909316E-3</v>
      </c>
    </row>
    <row r="496" spans="1:4" x14ac:dyDescent="0.25">
      <c r="A496" s="2">
        <v>40525</v>
      </c>
      <c r="B496">
        <v>-2.8929496751564088E-3</v>
      </c>
      <c r="D496">
        <v>7.840413920517264E-3</v>
      </c>
    </row>
    <row r="497" spans="1:4" x14ac:dyDescent="0.25">
      <c r="A497" s="2">
        <v>40526</v>
      </c>
      <c r="B497">
        <v>-2.9013431147778546E-3</v>
      </c>
      <c r="D497">
        <v>-3.7420382918029738E-3</v>
      </c>
    </row>
    <row r="498" spans="1:4" x14ac:dyDescent="0.25">
      <c r="A498" s="2">
        <v>40527</v>
      </c>
      <c r="B498">
        <v>0</v>
      </c>
      <c r="D498">
        <v>-1.2157715943306613E-2</v>
      </c>
    </row>
    <row r="499" spans="1:4" x14ac:dyDescent="0.25">
      <c r="A499" s="2">
        <v>40528</v>
      </c>
      <c r="B499">
        <v>0</v>
      </c>
      <c r="D499">
        <v>1.0005806551043328E-3</v>
      </c>
    </row>
    <row r="500" spans="1:4" x14ac:dyDescent="0.25">
      <c r="A500" s="2">
        <v>40529</v>
      </c>
      <c r="B500">
        <v>3.8797590561037154E-3</v>
      </c>
      <c r="D500">
        <v>1.6993044826474346E-3</v>
      </c>
    </row>
    <row r="501" spans="1:4" x14ac:dyDescent="0.25">
      <c r="A501" s="2">
        <v>40532</v>
      </c>
      <c r="B501">
        <v>3.8647647002583163E-3</v>
      </c>
      <c r="D501">
        <v>-6.9852595359598535E-4</v>
      </c>
    </row>
    <row r="502" spans="1:4" x14ac:dyDescent="0.25">
      <c r="A502" s="2">
        <v>40533</v>
      </c>
      <c r="B502">
        <v>0</v>
      </c>
      <c r="D502">
        <v>-4.8931326789314333E-3</v>
      </c>
    </row>
    <row r="503" spans="1:4" x14ac:dyDescent="0.25">
      <c r="A503" s="2">
        <v>40534</v>
      </c>
      <c r="B503">
        <v>1.9248756377521214E-3</v>
      </c>
      <c r="D503">
        <v>5.5192753989483645E-3</v>
      </c>
    </row>
    <row r="504" spans="1:4" x14ac:dyDescent="0.25">
      <c r="A504" s="2">
        <v>40535</v>
      </c>
      <c r="B504">
        <v>-1.921177609775282E-3</v>
      </c>
      <c r="D504">
        <v>2.4950050139216362E-3</v>
      </c>
    </row>
    <row r="505" spans="1:4" x14ac:dyDescent="0.25">
      <c r="A505" s="2">
        <v>40539</v>
      </c>
      <c r="B505">
        <v>0</v>
      </c>
      <c r="D505">
        <v>9.9558846471170526E-4</v>
      </c>
    </row>
    <row r="506" spans="1:4" x14ac:dyDescent="0.25">
      <c r="A506" s="2">
        <v>40540</v>
      </c>
      <c r="B506">
        <v>0</v>
      </c>
      <c r="D506">
        <v>1.0773278530451513E-3</v>
      </c>
    </row>
    <row r="507" spans="1:4" x14ac:dyDescent="0.25">
      <c r="A507" s="2">
        <v>40541</v>
      </c>
      <c r="B507">
        <v>0</v>
      </c>
      <c r="D507">
        <v>7.174902104461145E-3</v>
      </c>
    </row>
    <row r="508" spans="1:4" x14ac:dyDescent="0.25">
      <c r="A508" s="2">
        <v>40542</v>
      </c>
      <c r="B508">
        <v>2.8873807176399424E-3</v>
      </c>
      <c r="D508">
        <v>1.879913406949818E-3</v>
      </c>
    </row>
    <row r="509" spans="1:4" x14ac:dyDescent="0.25">
      <c r="A509" s="2">
        <v>40543</v>
      </c>
      <c r="B509">
        <v>3.0774530122701371E-3</v>
      </c>
      <c r="D509">
        <v>9.9742641220188499E-3</v>
      </c>
    </row>
    <row r="510" spans="1:4" x14ac:dyDescent="0.25">
      <c r="A510" s="2">
        <v>40546</v>
      </c>
      <c r="B510">
        <v>9.5879533584164456E-4</v>
      </c>
      <c r="D510">
        <v>2.9340894852358801E-4</v>
      </c>
    </row>
    <row r="511" spans="1:4" x14ac:dyDescent="0.25">
      <c r="A511" s="2">
        <v>40547</v>
      </c>
      <c r="B511">
        <v>0</v>
      </c>
      <c r="D511">
        <v>-4.3988757797899236E-3</v>
      </c>
    </row>
    <row r="512" spans="1:4" x14ac:dyDescent="0.25">
      <c r="A512" s="2">
        <v>40548</v>
      </c>
      <c r="B512">
        <v>-9.5787692791093892E-4</v>
      </c>
      <c r="D512">
        <v>-1.5611150936859164E-2</v>
      </c>
    </row>
    <row r="513" spans="1:4" x14ac:dyDescent="0.25">
      <c r="A513" s="2">
        <v>40549</v>
      </c>
      <c r="B513">
        <v>0</v>
      </c>
      <c r="D513">
        <v>-6.2837212593946923E-3</v>
      </c>
    </row>
    <row r="514" spans="1:4" x14ac:dyDescent="0.25">
      <c r="A514" s="2">
        <v>40550</v>
      </c>
      <c r="B514">
        <v>9.5879533584164456E-4</v>
      </c>
      <c r="D514">
        <v>-6.3233677906439079E-3</v>
      </c>
    </row>
    <row r="515" spans="1:4" x14ac:dyDescent="0.25">
      <c r="A515" s="2">
        <v>40553</v>
      </c>
      <c r="B515">
        <v>-9.5787692791093892E-4</v>
      </c>
      <c r="D515">
        <v>5.7575731925747498E-3</v>
      </c>
    </row>
    <row r="516" spans="1:4" x14ac:dyDescent="0.25">
      <c r="A516" s="2">
        <v>40554</v>
      </c>
      <c r="B516">
        <v>0</v>
      </c>
      <c r="D516">
        <v>8.0347852701745381E-4</v>
      </c>
    </row>
    <row r="517" spans="1:4" x14ac:dyDescent="0.25">
      <c r="A517" s="2">
        <v>40555</v>
      </c>
      <c r="B517">
        <v>-1.9175906716836222E-3</v>
      </c>
      <c r="D517">
        <v>9.5333329066151773E-3</v>
      </c>
    </row>
    <row r="518" spans="1:4" x14ac:dyDescent="0.25">
      <c r="A518" s="2">
        <v>40556</v>
      </c>
      <c r="B518">
        <v>0</v>
      </c>
      <c r="D518">
        <v>1.1431425950530372E-2</v>
      </c>
    </row>
    <row r="519" spans="1:4" x14ac:dyDescent="0.25">
      <c r="A519" s="2">
        <v>40557</v>
      </c>
      <c r="B519">
        <v>0</v>
      </c>
      <c r="D519">
        <v>1.2776194692822873E-3</v>
      </c>
    </row>
    <row r="520" spans="1:4" x14ac:dyDescent="0.25">
      <c r="A520" s="2">
        <v>40561</v>
      </c>
      <c r="B520">
        <v>-1.9211409103734312E-3</v>
      </c>
      <c r="D520">
        <v>-1.86489157540215E-3</v>
      </c>
    </row>
    <row r="521" spans="1:4" x14ac:dyDescent="0.25">
      <c r="A521" s="2">
        <v>40562</v>
      </c>
      <c r="B521">
        <v>9.6235227946217528E-4</v>
      </c>
      <c r="D521">
        <v>6.7852735206188619E-3</v>
      </c>
    </row>
    <row r="522" spans="1:4" x14ac:dyDescent="0.25">
      <c r="A522" s="2">
        <v>40563</v>
      </c>
      <c r="B522">
        <v>-9.6142704795099121E-4</v>
      </c>
      <c r="D522">
        <v>-8.4000787655751363E-3</v>
      </c>
    </row>
    <row r="523" spans="1:4" x14ac:dyDescent="0.25">
      <c r="A523" s="2">
        <v>40564</v>
      </c>
      <c r="B523">
        <v>0</v>
      </c>
      <c r="D523">
        <v>1.3297934051306415E-2</v>
      </c>
    </row>
    <row r="524" spans="1:4" x14ac:dyDescent="0.25">
      <c r="A524" s="2">
        <v>40567</v>
      </c>
      <c r="B524">
        <v>9.6235227946217528E-4</v>
      </c>
      <c r="D524">
        <v>2.6246368987168367E-3</v>
      </c>
    </row>
    <row r="525" spans="1:4" x14ac:dyDescent="0.25">
      <c r="A525" s="2">
        <v>40568</v>
      </c>
      <c r="B525">
        <v>0</v>
      </c>
      <c r="D525">
        <v>1.454350104037383E-3</v>
      </c>
    </row>
    <row r="526" spans="1:4" x14ac:dyDescent="0.25">
      <c r="A526" s="2">
        <v>40569</v>
      </c>
      <c r="B526">
        <v>0</v>
      </c>
      <c r="D526">
        <v>-1.1424151928118631E-2</v>
      </c>
    </row>
    <row r="527" spans="1:4" x14ac:dyDescent="0.25">
      <c r="A527" s="2">
        <v>40570</v>
      </c>
      <c r="B527">
        <v>-9.6142704795099121E-4</v>
      </c>
      <c r="D527">
        <v>2.4483421254488658E-3</v>
      </c>
    </row>
    <row r="528" spans="1:4" x14ac:dyDescent="0.25">
      <c r="A528" s="2">
        <v>40571</v>
      </c>
      <c r="B528">
        <v>0</v>
      </c>
      <c r="D528">
        <v>2.1492866357446516E-3</v>
      </c>
    </row>
    <row r="529" spans="1:4" x14ac:dyDescent="0.25">
      <c r="A529" s="2">
        <v>40574</v>
      </c>
      <c r="B529">
        <v>2.8929633107388497E-3</v>
      </c>
      <c r="D529">
        <v>7.0189257259483107E-3</v>
      </c>
    </row>
    <row r="530" spans="1:4" x14ac:dyDescent="0.25">
      <c r="A530" s="2">
        <v>40575</v>
      </c>
      <c r="B530">
        <v>-9.6145017150306433E-4</v>
      </c>
      <c r="D530">
        <v>9.3406486538378797E-3</v>
      </c>
    </row>
    <row r="531" spans="1:4" x14ac:dyDescent="0.25">
      <c r="A531" s="2">
        <v>40576</v>
      </c>
      <c r="B531">
        <v>0</v>
      </c>
      <c r="D531">
        <v>-2.9790269930793922E-3</v>
      </c>
    </row>
    <row r="532" spans="1:4" x14ac:dyDescent="0.25">
      <c r="A532" s="2">
        <v>40577</v>
      </c>
      <c r="B532">
        <v>1.924884874681565E-3</v>
      </c>
      <c r="D532">
        <v>-4.4337212774655521E-3</v>
      </c>
    </row>
    <row r="533" spans="1:4" x14ac:dyDescent="0.25">
      <c r="A533" s="2">
        <v>40578</v>
      </c>
      <c r="B533">
        <v>-9.6066026672225746E-4</v>
      </c>
      <c r="D533">
        <v>-9.1006132223387937E-3</v>
      </c>
    </row>
    <row r="534" spans="1:4" x14ac:dyDescent="0.25">
      <c r="A534" s="2">
        <v>40581</v>
      </c>
      <c r="B534">
        <v>9.6158402228563311E-4</v>
      </c>
      <c r="D534">
        <v>1.4655695391450063E-3</v>
      </c>
    </row>
    <row r="535" spans="1:4" x14ac:dyDescent="0.25">
      <c r="A535" s="2">
        <v>40582</v>
      </c>
      <c r="B535">
        <v>-9.6066026672225746E-4</v>
      </c>
      <c r="D535">
        <v>1.9508689831559956E-4</v>
      </c>
    </row>
    <row r="536" spans="1:4" x14ac:dyDescent="0.25">
      <c r="A536" s="2">
        <v>40583</v>
      </c>
      <c r="B536">
        <v>-2.8846182160742195E-3</v>
      </c>
      <c r="D536">
        <v>-5.8522148107564842E-4</v>
      </c>
    </row>
    <row r="537" spans="1:4" x14ac:dyDescent="0.25">
      <c r="A537" s="2">
        <v>40584</v>
      </c>
      <c r="B537">
        <v>1.9287316991645209E-3</v>
      </c>
      <c r="D537">
        <v>-5.9535499061639241E-3</v>
      </c>
    </row>
    <row r="538" spans="1:4" x14ac:dyDescent="0.25">
      <c r="A538" s="2">
        <v>40585</v>
      </c>
      <c r="B538">
        <v>0</v>
      </c>
      <c r="D538">
        <v>-3.0436675990359596E-3</v>
      </c>
    </row>
    <row r="539" spans="1:4" x14ac:dyDescent="0.25">
      <c r="A539" s="2">
        <v>40588</v>
      </c>
      <c r="B539">
        <v>0</v>
      </c>
      <c r="D539">
        <v>-5.4166113059658239E-3</v>
      </c>
    </row>
    <row r="540" spans="1:4" x14ac:dyDescent="0.25">
      <c r="A540" s="2">
        <v>40589</v>
      </c>
      <c r="B540">
        <v>0</v>
      </c>
      <c r="D540">
        <v>-2.079415220629488E-3</v>
      </c>
    </row>
    <row r="541" spans="1:4" x14ac:dyDescent="0.25">
      <c r="A541" s="2">
        <v>40590</v>
      </c>
      <c r="B541">
        <v>9.6237544754207427E-4</v>
      </c>
      <c r="D541">
        <v>7.144287316219966E-3</v>
      </c>
    </row>
    <row r="542" spans="1:4" x14ac:dyDescent="0.25">
      <c r="A542" s="2">
        <v>40591</v>
      </c>
      <c r="B542">
        <v>2.8846182160742195E-3</v>
      </c>
      <c r="D542">
        <v>7.5861795424336798E-3</v>
      </c>
    </row>
    <row r="543" spans="1:4" x14ac:dyDescent="0.25">
      <c r="A543" s="2">
        <v>40592</v>
      </c>
      <c r="B543">
        <v>-1.9175029299077773E-3</v>
      </c>
      <c r="D543">
        <v>3.9112641326943809E-4</v>
      </c>
    </row>
    <row r="544" spans="1:4" x14ac:dyDescent="0.25">
      <c r="A544" s="2">
        <v>40596</v>
      </c>
      <c r="B544">
        <v>0</v>
      </c>
      <c r="D544">
        <v>2.8345336882908967E-3</v>
      </c>
    </row>
    <row r="545" spans="1:4" x14ac:dyDescent="0.25">
      <c r="A545" s="2">
        <v>40597</v>
      </c>
      <c r="B545">
        <v>0</v>
      </c>
      <c r="D545">
        <v>5.1656787183587127E-3</v>
      </c>
    </row>
    <row r="546" spans="1:4" x14ac:dyDescent="0.25">
      <c r="A546" s="2">
        <v>40598</v>
      </c>
      <c r="B546">
        <v>-9.6066026672225746E-4</v>
      </c>
      <c r="D546">
        <v>6.3997321673472385E-3</v>
      </c>
    </row>
    <row r="547" spans="1:4" x14ac:dyDescent="0.25">
      <c r="A547" s="2">
        <v>40599</v>
      </c>
      <c r="B547">
        <v>9.6158402228563311E-4</v>
      </c>
      <c r="D547">
        <v>-4.9137895207811422E-3</v>
      </c>
    </row>
    <row r="548" spans="1:4" x14ac:dyDescent="0.25">
      <c r="A548" s="2">
        <v>40602</v>
      </c>
      <c r="B548">
        <v>1.9249310327769109E-3</v>
      </c>
      <c r="D548">
        <v>5.90628122349246E-3</v>
      </c>
    </row>
    <row r="549" spans="1:4" x14ac:dyDescent="0.25">
      <c r="A549" s="2">
        <v>40603</v>
      </c>
      <c r="B549">
        <v>-9.6068312872010786E-4</v>
      </c>
      <c r="D549">
        <v>-4.8796056440401081E-3</v>
      </c>
    </row>
    <row r="550" spans="1:4" x14ac:dyDescent="0.25">
      <c r="A550" s="2">
        <v>40604</v>
      </c>
      <c r="B550">
        <v>1.9230802629177646E-3</v>
      </c>
      <c r="D550">
        <v>5.233066604293013E-3</v>
      </c>
    </row>
    <row r="551" spans="1:4" x14ac:dyDescent="0.25">
      <c r="A551" s="2">
        <v>40605</v>
      </c>
      <c r="B551">
        <v>-3.8386449099455655E-3</v>
      </c>
      <c r="D551">
        <v>0</v>
      </c>
    </row>
    <row r="552" spans="1:4" x14ac:dyDescent="0.25">
      <c r="A552" s="2">
        <v>40606</v>
      </c>
      <c r="B552">
        <v>-9.6345960971988553E-4</v>
      </c>
      <c r="D552">
        <v>2.0244777932769686E-3</v>
      </c>
    </row>
    <row r="553" spans="1:4" x14ac:dyDescent="0.25">
      <c r="A553" s="2">
        <v>40609</v>
      </c>
      <c r="B553">
        <v>9.6438875933757551E-4</v>
      </c>
      <c r="D553">
        <v>-9.6214803778549296E-4</v>
      </c>
    </row>
    <row r="554" spans="1:4" x14ac:dyDescent="0.25">
      <c r="A554" s="2">
        <v>40610</v>
      </c>
      <c r="B554">
        <v>0</v>
      </c>
      <c r="D554">
        <v>-6.8374323393817216E-3</v>
      </c>
    </row>
    <row r="555" spans="1:4" x14ac:dyDescent="0.25">
      <c r="A555" s="2">
        <v>40611</v>
      </c>
      <c r="B555">
        <v>0</v>
      </c>
      <c r="D555">
        <v>9.6984304391645182E-5</v>
      </c>
    </row>
    <row r="556" spans="1:4" x14ac:dyDescent="0.25">
      <c r="A556" s="2">
        <v>40612</v>
      </c>
      <c r="B556">
        <v>-9.6345960971988553E-4</v>
      </c>
      <c r="D556">
        <v>-5.235614272895206E-3</v>
      </c>
    </row>
    <row r="557" spans="1:4" x14ac:dyDescent="0.25">
      <c r="A557" s="2">
        <v>40613</v>
      </c>
      <c r="B557">
        <v>2.8928983178129197E-3</v>
      </c>
      <c r="D557">
        <v>1.023394858441895E-2</v>
      </c>
    </row>
    <row r="558" spans="1:4" x14ac:dyDescent="0.25">
      <c r="A558" s="2">
        <v>40616</v>
      </c>
      <c r="B558">
        <v>0</v>
      </c>
      <c r="D558">
        <v>8.9725143463235124E-3</v>
      </c>
    </row>
    <row r="559" spans="1:4" x14ac:dyDescent="0.25">
      <c r="A559" s="2">
        <v>40617</v>
      </c>
      <c r="B559">
        <v>-9.614733346451354E-4</v>
      </c>
      <c r="D559">
        <v>4.5897377437127407E-3</v>
      </c>
    </row>
    <row r="560" spans="1:4" x14ac:dyDescent="0.25">
      <c r="A560" s="2">
        <v>40618</v>
      </c>
      <c r="B560">
        <v>0</v>
      </c>
      <c r="D560">
        <v>1.904157450056676E-4</v>
      </c>
    </row>
    <row r="561" spans="1:4" x14ac:dyDescent="0.25">
      <c r="A561" s="2">
        <v>40619</v>
      </c>
      <c r="B561">
        <v>-2.8874634102635799E-3</v>
      </c>
      <c r="D561">
        <v>5.9002213368821721E-3</v>
      </c>
    </row>
    <row r="562" spans="1:4" x14ac:dyDescent="0.25">
      <c r="A562" s="2">
        <v>40620</v>
      </c>
      <c r="B562">
        <v>0</v>
      </c>
      <c r="D562">
        <v>3.7843232381051806E-4</v>
      </c>
    </row>
    <row r="563" spans="1:4" x14ac:dyDescent="0.25">
      <c r="A563" s="2">
        <v>40623</v>
      </c>
      <c r="B563">
        <v>9.6531970280788748E-4</v>
      </c>
      <c r="D563">
        <v>3.2154734597715784E-3</v>
      </c>
    </row>
    <row r="564" spans="1:4" x14ac:dyDescent="0.25">
      <c r="A564" s="2">
        <v>40624</v>
      </c>
      <c r="B564">
        <v>-9.6438875933746449E-4</v>
      </c>
      <c r="D564">
        <v>-1.6968399273782353E-3</v>
      </c>
    </row>
    <row r="565" spans="1:4" x14ac:dyDescent="0.25">
      <c r="A565" s="2">
        <v>40625</v>
      </c>
      <c r="B565">
        <v>1.930639405615997E-3</v>
      </c>
      <c r="D565">
        <v>-3.3049903228030697E-3</v>
      </c>
    </row>
    <row r="566" spans="1:4" x14ac:dyDescent="0.25">
      <c r="A566" s="2">
        <v>40626</v>
      </c>
      <c r="B566">
        <v>9.6332575870450299E-4</v>
      </c>
      <c r="D566">
        <v>1.9895697022944692E-3</v>
      </c>
    </row>
    <row r="567" spans="1:4" x14ac:dyDescent="0.25">
      <c r="A567" s="2">
        <v>40627</v>
      </c>
      <c r="B567">
        <v>-9.6239865528968682E-4</v>
      </c>
      <c r="D567">
        <v>-1.0873686524274007E-2</v>
      </c>
    </row>
    <row r="568" spans="1:4" x14ac:dyDescent="0.25">
      <c r="A568" s="2">
        <v>40630</v>
      </c>
      <c r="B568">
        <v>-9.6345960971988553E-4</v>
      </c>
      <c r="D568">
        <v>1.1471472831299234E-3</v>
      </c>
    </row>
    <row r="569" spans="1:4" x14ac:dyDescent="0.25">
      <c r="A569" s="2">
        <v>40631</v>
      </c>
      <c r="B569">
        <v>0</v>
      </c>
      <c r="D569">
        <v>-4.5832476939016153E-3</v>
      </c>
    </row>
    <row r="570" spans="1:4" x14ac:dyDescent="0.25">
      <c r="A570" s="2">
        <v>40632</v>
      </c>
      <c r="B570">
        <v>9.6438875933757551E-4</v>
      </c>
      <c r="D570">
        <v>-1.2469774609958906E-3</v>
      </c>
    </row>
    <row r="571" spans="1:4" x14ac:dyDescent="0.25">
      <c r="A571" s="2">
        <v>40633</v>
      </c>
      <c r="B571">
        <v>2.1238140632713343E-3</v>
      </c>
      <c r="D571">
        <v>3.6496040477156377E-3</v>
      </c>
    </row>
    <row r="572" spans="1:4" x14ac:dyDescent="0.25">
      <c r="A572" s="2">
        <v>40634</v>
      </c>
      <c r="B572">
        <v>-9.6342124735881995E-4</v>
      </c>
      <c r="D572">
        <v>-4.8914185079063088E-4</v>
      </c>
    </row>
    <row r="573" spans="1:4" x14ac:dyDescent="0.25">
      <c r="A573" s="2">
        <v>40637</v>
      </c>
      <c r="B573">
        <v>9.6435032294994727E-4</v>
      </c>
      <c r="D573">
        <v>-2.2069091118402939E-3</v>
      </c>
    </row>
    <row r="574" spans="1:4" x14ac:dyDescent="0.25">
      <c r="A574" s="2">
        <v>40638</v>
      </c>
      <c r="B574">
        <v>0</v>
      </c>
      <c r="D574">
        <v>3.8466375847523437E-4</v>
      </c>
    </row>
    <row r="575" spans="1:4" x14ac:dyDescent="0.25">
      <c r="A575" s="2">
        <v>40639</v>
      </c>
      <c r="B575">
        <v>9.6342124735837587E-4</v>
      </c>
      <c r="D575">
        <v>3.6528375213327191E-3</v>
      </c>
    </row>
    <row r="576" spans="1:4" x14ac:dyDescent="0.25">
      <c r="A576" s="2">
        <v>40640</v>
      </c>
      <c r="B576">
        <v>0</v>
      </c>
      <c r="D576">
        <v>-1.053543891492259E-3</v>
      </c>
    </row>
    <row r="577" spans="1:4" x14ac:dyDescent="0.25">
      <c r="A577" s="2">
        <v>40641</v>
      </c>
      <c r="B577">
        <v>-1.9249879204538134E-3</v>
      </c>
      <c r="D577">
        <v>5.7526179954974221E-3</v>
      </c>
    </row>
    <row r="578" spans="1:4" x14ac:dyDescent="0.25">
      <c r="A578" s="2">
        <v>40644</v>
      </c>
      <c r="B578">
        <v>0</v>
      </c>
      <c r="D578">
        <v>3.8132681536873214E-4</v>
      </c>
    </row>
    <row r="579" spans="1:4" x14ac:dyDescent="0.25">
      <c r="A579" s="2">
        <v>40645</v>
      </c>
      <c r="B579">
        <v>0</v>
      </c>
      <c r="D579">
        <v>3.6210884617131622E-3</v>
      </c>
    </row>
    <row r="580" spans="1:4" x14ac:dyDescent="0.25">
      <c r="A580" s="2">
        <v>40646</v>
      </c>
      <c r="B580">
        <v>0</v>
      </c>
      <c r="D580">
        <v>6.6464519235864827E-4</v>
      </c>
    </row>
    <row r="581" spans="1:4" x14ac:dyDescent="0.25">
      <c r="A581" s="2">
        <v>40647</v>
      </c>
      <c r="B581">
        <v>9.6435032294994727E-4</v>
      </c>
      <c r="D581">
        <v>2.7516878422100266E-3</v>
      </c>
    </row>
    <row r="582" spans="1:4" x14ac:dyDescent="0.25">
      <c r="A582" s="2">
        <v>40648</v>
      </c>
      <c r="B582">
        <v>0</v>
      </c>
      <c r="D582">
        <v>-2.5548496372843621E-3</v>
      </c>
    </row>
    <row r="583" spans="1:4" x14ac:dyDescent="0.25">
      <c r="A583" s="2">
        <v>40651</v>
      </c>
      <c r="B583">
        <v>1.9267089273740101E-3</v>
      </c>
      <c r="D583">
        <v>-6.0715955552651524E-3</v>
      </c>
    </row>
    <row r="584" spans="1:4" x14ac:dyDescent="0.25">
      <c r="A584" s="2">
        <v>40652</v>
      </c>
      <c r="B584">
        <v>0</v>
      </c>
      <c r="D584">
        <v>6.2040776330394287E-3</v>
      </c>
    </row>
    <row r="585" spans="1:4" x14ac:dyDescent="0.25">
      <c r="A585" s="2">
        <v>40653</v>
      </c>
      <c r="B585">
        <v>-9.6143527408987239E-4</v>
      </c>
      <c r="D585">
        <v>6.640147277342745E-3</v>
      </c>
    </row>
    <row r="586" spans="1:4" x14ac:dyDescent="0.25">
      <c r="A586" s="2">
        <v>40654</v>
      </c>
      <c r="B586">
        <v>1.9248544816683477E-3</v>
      </c>
      <c r="D586">
        <v>3.1096400189976059E-3</v>
      </c>
    </row>
    <row r="587" spans="1:4" x14ac:dyDescent="0.25">
      <c r="A587" s="2">
        <v>40658</v>
      </c>
      <c r="B587">
        <v>0</v>
      </c>
      <c r="D587">
        <v>3.7577439546154778E-4</v>
      </c>
    </row>
    <row r="588" spans="1:4" x14ac:dyDescent="0.25">
      <c r="A588" s="2">
        <v>40659</v>
      </c>
      <c r="B588">
        <v>0</v>
      </c>
      <c r="D588">
        <v>3.8501534800636783E-3</v>
      </c>
    </row>
    <row r="589" spans="1:4" x14ac:dyDescent="0.25">
      <c r="A589" s="2">
        <v>40660</v>
      </c>
      <c r="B589">
        <v>0</v>
      </c>
      <c r="D589">
        <v>6.5482161264718286E-4</v>
      </c>
    </row>
    <row r="590" spans="1:4" x14ac:dyDescent="0.25">
      <c r="A590" s="2">
        <v>40661</v>
      </c>
      <c r="B590">
        <v>9.6064485866564908E-4</v>
      </c>
      <c r="D590">
        <v>1.0002798833921744E-2</v>
      </c>
    </row>
    <row r="591" spans="1:4" x14ac:dyDescent="0.25">
      <c r="A591" s="2">
        <v>40662</v>
      </c>
      <c r="B591">
        <v>3.077686196289342E-3</v>
      </c>
      <c r="D591">
        <v>5.1832366289501497E-3</v>
      </c>
    </row>
    <row r="592" spans="1:4" x14ac:dyDescent="0.25">
      <c r="A592" s="2">
        <v>40665</v>
      </c>
      <c r="B592">
        <v>-9.5890058446634896E-4</v>
      </c>
      <c r="D592">
        <v>-3.7185793557305002E-3</v>
      </c>
    </row>
    <row r="593" spans="1:4" x14ac:dyDescent="0.25">
      <c r="A593" s="2">
        <v>40666</v>
      </c>
      <c r="B593">
        <v>-9.596881836599902E-4</v>
      </c>
      <c r="D593">
        <v>1.1113723414679644E-3</v>
      </c>
    </row>
    <row r="594" spans="1:4" x14ac:dyDescent="0.25">
      <c r="A594" s="2">
        <v>40667</v>
      </c>
      <c r="B594">
        <v>-1.9210872383590427E-3</v>
      </c>
      <c r="D594">
        <v>1.0176774761672114E-3</v>
      </c>
    </row>
    <row r="595" spans="1:4" x14ac:dyDescent="0.25">
      <c r="A595" s="2">
        <v>40668</v>
      </c>
      <c r="B595">
        <v>9.6232588053424273E-4</v>
      </c>
      <c r="D595">
        <v>-1.4972229132279136E-2</v>
      </c>
    </row>
    <row r="596" spans="1:4" x14ac:dyDescent="0.25">
      <c r="A596" s="2">
        <v>40669</v>
      </c>
      <c r="B596">
        <v>1.9230674575505535E-3</v>
      </c>
      <c r="D596">
        <v>-9.1949975427316755E-3</v>
      </c>
    </row>
    <row r="597" spans="1:4" x14ac:dyDescent="0.25">
      <c r="A597" s="2">
        <v>40672</v>
      </c>
      <c r="B597">
        <v>9.5982095734337136E-4</v>
      </c>
      <c r="D597">
        <v>2.9356459465936791E-3</v>
      </c>
    </row>
    <row r="598" spans="1:4" x14ac:dyDescent="0.25">
      <c r="A598" s="2">
        <v>40673</v>
      </c>
      <c r="B598">
        <v>9.5863529173323414E-4</v>
      </c>
      <c r="D598">
        <v>-9.4436352679139191E-5</v>
      </c>
    </row>
    <row r="599" spans="1:4" x14ac:dyDescent="0.25">
      <c r="A599" s="2">
        <v>40674</v>
      </c>
      <c r="B599">
        <v>-1.9156994191280585E-3</v>
      </c>
      <c r="D599">
        <v>-7.3654230328770165E-3</v>
      </c>
    </row>
    <row r="600" spans="1:4" x14ac:dyDescent="0.25">
      <c r="A600" s="2">
        <v>40675</v>
      </c>
      <c r="B600">
        <v>1.9193763673199804E-3</v>
      </c>
      <c r="D600">
        <v>5.4223708991725239E-3</v>
      </c>
    </row>
    <row r="601" spans="1:4" x14ac:dyDescent="0.25">
      <c r="A601" s="2">
        <v>40676</v>
      </c>
      <c r="B601">
        <v>-9.5771719023507451E-4</v>
      </c>
      <c r="D601">
        <v>-6.0554443270892655E-3</v>
      </c>
    </row>
    <row r="602" spans="1:4" x14ac:dyDescent="0.25">
      <c r="A602" s="2">
        <v>40679</v>
      </c>
      <c r="B602">
        <v>-9.5890058446634896E-4</v>
      </c>
      <c r="D602">
        <v>4.2836470700966522E-3</v>
      </c>
    </row>
    <row r="603" spans="1:4" x14ac:dyDescent="0.25">
      <c r="A603" s="2">
        <v>40680</v>
      </c>
      <c r="B603">
        <v>0</v>
      </c>
      <c r="D603">
        <v>-7.5831314001439942E-4</v>
      </c>
    </row>
    <row r="604" spans="1:4" x14ac:dyDescent="0.25">
      <c r="A604" s="2">
        <v>40681</v>
      </c>
      <c r="B604">
        <v>9.5982095734337136E-4</v>
      </c>
      <c r="D604">
        <v>-1.4228915784698648E-3</v>
      </c>
    </row>
    <row r="605" spans="1:4" x14ac:dyDescent="0.25">
      <c r="A605" s="2">
        <v>40682</v>
      </c>
      <c r="B605">
        <v>0</v>
      </c>
      <c r="D605">
        <v>4.8447062331784529E-3</v>
      </c>
    </row>
    <row r="606" spans="1:4" x14ac:dyDescent="0.25">
      <c r="A606" s="2">
        <v>40683</v>
      </c>
      <c r="B606">
        <v>1.9174032298328036E-3</v>
      </c>
      <c r="D606">
        <v>-6.0502924391023782E-3</v>
      </c>
    </row>
    <row r="607" spans="1:4" x14ac:dyDescent="0.25">
      <c r="A607" s="2">
        <v>40686</v>
      </c>
      <c r="B607">
        <v>0</v>
      </c>
      <c r="D607">
        <v>-6.2773046135197186E-3</v>
      </c>
    </row>
    <row r="608" spans="1:4" x14ac:dyDescent="0.25">
      <c r="A608" s="2">
        <v>40687</v>
      </c>
      <c r="B608">
        <v>-9.5693311146105575E-4</v>
      </c>
      <c r="D608">
        <v>2.6799285715708443E-3</v>
      </c>
    </row>
    <row r="609" spans="1:4" x14ac:dyDescent="0.25">
      <c r="A609" s="2">
        <v>40688</v>
      </c>
      <c r="B609">
        <v>1.9158319384569023E-3</v>
      </c>
      <c r="D609">
        <v>3.8182962866106784E-4</v>
      </c>
    </row>
    <row r="610" spans="1:4" x14ac:dyDescent="0.25">
      <c r="A610" s="2">
        <v>40689</v>
      </c>
      <c r="B610">
        <v>9.5601813947854275E-4</v>
      </c>
      <c r="D610">
        <v>4.0076183979627089E-3</v>
      </c>
    </row>
    <row r="611" spans="1:4" x14ac:dyDescent="0.25">
      <c r="A611" s="2">
        <v>40690</v>
      </c>
      <c r="B611">
        <v>1.9102100834675895E-3</v>
      </c>
      <c r="D611">
        <v>1.2450080498203064E-2</v>
      </c>
    </row>
    <row r="612" spans="1:4" x14ac:dyDescent="0.25">
      <c r="A612" s="2">
        <v>40694</v>
      </c>
      <c r="B612">
        <v>1.241854287865829E-3</v>
      </c>
      <c r="D612">
        <v>-2.8159878645372949E-4</v>
      </c>
    </row>
    <row r="613" spans="1:4" x14ac:dyDescent="0.25">
      <c r="A613" s="2">
        <v>40695</v>
      </c>
      <c r="B613">
        <v>0</v>
      </c>
      <c r="D613">
        <v>3.4536679562582329E-3</v>
      </c>
    </row>
    <row r="614" spans="1:4" x14ac:dyDescent="0.25">
      <c r="A614" s="2">
        <v>40696</v>
      </c>
      <c r="B614">
        <v>9.5420928270173455E-4</v>
      </c>
      <c r="D614">
        <v>5.8145300773568831E-3</v>
      </c>
    </row>
    <row r="615" spans="1:4" x14ac:dyDescent="0.25">
      <c r="A615" s="2">
        <v>40697</v>
      </c>
      <c r="B615">
        <v>-1.906467672167067E-3</v>
      </c>
      <c r="D615">
        <v>8.4848764447000846E-3</v>
      </c>
    </row>
    <row r="616" spans="1:4" x14ac:dyDescent="0.25">
      <c r="A616" s="2">
        <v>40700</v>
      </c>
      <c r="B616">
        <v>0</v>
      </c>
      <c r="D616">
        <v>-2.2189840717229403E-3</v>
      </c>
    </row>
    <row r="617" spans="1:4" x14ac:dyDescent="0.25">
      <c r="A617" s="2">
        <v>40701</v>
      </c>
      <c r="B617">
        <v>-2.8654934752109229E-3</v>
      </c>
      <c r="D617">
        <v>8.3398598059636342E-4</v>
      </c>
    </row>
    <row r="618" spans="1:4" x14ac:dyDescent="0.25">
      <c r="A618" s="2">
        <v>40702</v>
      </c>
      <c r="B618">
        <v>9.5786529853958413E-4</v>
      </c>
      <c r="D618">
        <v>-2.7775393494564593E-3</v>
      </c>
    </row>
    <row r="619" spans="1:4" x14ac:dyDescent="0.25">
      <c r="A619" s="2">
        <v>40703</v>
      </c>
      <c r="B619">
        <v>9.5694867061557609E-4</v>
      </c>
      <c r="D619">
        <v>-5.9418848212562381E-3</v>
      </c>
    </row>
    <row r="620" spans="1:4" x14ac:dyDescent="0.25">
      <c r="A620" s="2">
        <v>40704</v>
      </c>
      <c r="B620">
        <v>1.9120675906918461E-3</v>
      </c>
      <c r="D620">
        <v>-9.993455701419407E-3</v>
      </c>
    </row>
    <row r="621" spans="1:4" x14ac:dyDescent="0.25">
      <c r="A621" s="2">
        <v>40707</v>
      </c>
      <c r="B621">
        <v>0</v>
      </c>
      <c r="D621">
        <v>5.4717125482979245E-3</v>
      </c>
    </row>
    <row r="622" spans="1:4" x14ac:dyDescent="0.25">
      <c r="A622" s="2">
        <v>40708</v>
      </c>
      <c r="B622">
        <v>-1.9084185654033581E-3</v>
      </c>
      <c r="D622">
        <v>-8.4447142092702876E-4</v>
      </c>
    </row>
    <row r="623" spans="1:4" x14ac:dyDescent="0.25">
      <c r="A623" s="2">
        <v>40709</v>
      </c>
      <c r="B623">
        <v>1.9120675906918461E-3</v>
      </c>
      <c r="D623">
        <v>-1.2395524290089166E-2</v>
      </c>
    </row>
    <row r="624" spans="1:4" x14ac:dyDescent="0.25">
      <c r="A624" s="2">
        <v>40710</v>
      </c>
      <c r="B624">
        <v>9.5420928270173455E-4</v>
      </c>
      <c r="D624">
        <v>-5.7048392839920137E-4</v>
      </c>
    </row>
    <row r="625" spans="1:4" x14ac:dyDescent="0.25">
      <c r="A625" s="2">
        <v>40711</v>
      </c>
      <c r="B625">
        <v>-9.5329963534052098E-4</v>
      </c>
      <c r="D625">
        <v>7.4207832296284693E-3</v>
      </c>
    </row>
    <row r="626" spans="1:4" x14ac:dyDescent="0.25">
      <c r="A626" s="2">
        <v>40714</v>
      </c>
      <c r="B626">
        <v>0</v>
      </c>
      <c r="D626">
        <v>-3.1164555079620238E-3</v>
      </c>
    </row>
    <row r="627" spans="1:4" x14ac:dyDescent="0.25">
      <c r="A627" s="2">
        <v>40715</v>
      </c>
      <c r="B627">
        <v>-9.5407755861520727E-4</v>
      </c>
      <c r="D627">
        <v>4.6419609164602971E-3</v>
      </c>
    </row>
    <row r="628" spans="1:4" x14ac:dyDescent="0.25">
      <c r="A628" s="2">
        <v>40716</v>
      </c>
      <c r="B628">
        <v>9.5498869189492019E-4</v>
      </c>
      <c r="D628">
        <v>-1.2258789967340977E-3</v>
      </c>
    </row>
    <row r="629" spans="1:4" x14ac:dyDescent="0.25">
      <c r="A629" s="2">
        <v>40717</v>
      </c>
      <c r="B629">
        <v>3.8168371308071602E-3</v>
      </c>
      <c r="D629">
        <v>-7.7416950074702395E-3</v>
      </c>
    </row>
    <row r="630" spans="1:4" x14ac:dyDescent="0.25">
      <c r="A630" s="2">
        <v>40718</v>
      </c>
      <c r="B630">
        <v>9.5058106957957023E-4</v>
      </c>
      <c r="D630">
        <v>-3.8059663825207313E-4</v>
      </c>
    </row>
    <row r="631" spans="1:4" x14ac:dyDescent="0.25">
      <c r="A631" s="2">
        <v>40721</v>
      </c>
      <c r="B631">
        <v>-2.8490349700296402E-3</v>
      </c>
      <c r="D631">
        <v>-1.2373582296645314E-3</v>
      </c>
    </row>
    <row r="632" spans="1:4" x14ac:dyDescent="0.25">
      <c r="A632" s="2">
        <v>40722</v>
      </c>
      <c r="B632">
        <v>-1.9047834413210563E-3</v>
      </c>
      <c r="D632">
        <v>4.7650825762011184E-3</v>
      </c>
    </row>
    <row r="633" spans="1:4" x14ac:dyDescent="0.25">
      <c r="A633" s="2">
        <v>40723</v>
      </c>
      <c r="B633">
        <v>-3.8168371308070492E-3</v>
      </c>
      <c r="D633">
        <v>4.9321456269462161E-3</v>
      </c>
    </row>
    <row r="634" spans="1:4" x14ac:dyDescent="0.25">
      <c r="A634" s="2">
        <v>40724</v>
      </c>
      <c r="B634">
        <v>1.0558468261787635E-3</v>
      </c>
      <c r="D634">
        <v>5.5687012784479961E-3</v>
      </c>
    </row>
    <row r="635" spans="1:4" x14ac:dyDescent="0.25">
      <c r="A635" s="2">
        <v>40725</v>
      </c>
      <c r="B635">
        <v>-9.5870425664423831E-4</v>
      </c>
      <c r="D635">
        <v>-3.7604498441923262E-5</v>
      </c>
    </row>
    <row r="636" spans="1:4" x14ac:dyDescent="0.25">
      <c r="A636" s="2">
        <v>40729</v>
      </c>
      <c r="B636">
        <v>9.5962425249984662E-4</v>
      </c>
      <c r="D636">
        <v>-3.2928619748381349E-3</v>
      </c>
    </row>
    <row r="637" spans="1:4" x14ac:dyDescent="0.25">
      <c r="A637" s="2">
        <v>40730</v>
      </c>
      <c r="B637">
        <v>3.835213294525408E-3</v>
      </c>
      <c r="D637">
        <v>-1.047763575175209E-2</v>
      </c>
    </row>
    <row r="638" spans="1:4" x14ac:dyDescent="0.25">
      <c r="A638" s="2">
        <v>40731</v>
      </c>
      <c r="B638">
        <v>-9.5517305356673798E-4</v>
      </c>
      <c r="D638">
        <v>4.7691598596766305E-4</v>
      </c>
    </row>
    <row r="639" spans="1:4" x14ac:dyDescent="0.25">
      <c r="A639" s="2">
        <v>40732</v>
      </c>
      <c r="B639">
        <v>5.7361225571164187E-3</v>
      </c>
      <c r="D639">
        <v>1.1441935578089257E-3</v>
      </c>
    </row>
    <row r="640" spans="1:4" x14ac:dyDescent="0.25">
      <c r="A640" s="2">
        <v>40735</v>
      </c>
      <c r="B640">
        <v>5.7034071149124621E-3</v>
      </c>
      <c r="D640">
        <v>-1.23809809733888E-2</v>
      </c>
    </row>
    <row r="641" spans="1:4" x14ac:dyDescent="0.25">
      <c r="A641" s="2">
        <v>40736</v>
      </c>
      <c r="B641">
        <v>0</v>
      </c>
      <c r="D641">
        <v>2.9894432872230592E-3</v>
      </c>
    </row>
    <row r="642" spans="1:4" x14ac:dyDescent="0.25">
      <c r="A642" s="2">
        <v>40737</v>
      </c>
      <c r="B642">
        <v>-2.8354662593839119E-3</v>
      </c>
      <c r="D642">
        <v>6.9224181482749891E-3</v>
      </c>
    </row>
    <row r="643" spans="1:4" x14ac:dyDescent="0.25">
      <c r="A643" s="2">
        <v>40738</v>
      </c>
      <c r="B643">
        <v>9.4779946767564738E-4</v>
      </c>
      <c r="D643">
        <v>-2.5780914987378889E-3</v>
      </c>
    </row>
    <row r="644" spans="1:4" x14ac:dyDescent="0.25">
      <c r="A644" s="2">
        <v>40739</v>
      </c>
      <c r="B644">
        <v>1.8939344521509138E-3</v>
      </c>
      <c r="D644">
        <v>2.2018273778436903E-3</v>
      </c>
    </row>
    <row r="645" spans="1:4" x14ac:dyDescent="0.25">
      <c r="A645" s="2">
        <v>40742</v>
      </c>
      <c r="B645">
        <v>9.452422308551256E-4</v>
      </c>
      <c r="D645">
        <v>-6.304360947120391E-3</v>
      </c>
    </row>
    <row r="646" spans="1:4" x14ac:dyDescent="0.25">
      <c r="A646" s="2">
        <v>40743</v>
      </c>
      <c r="B646">
        <v>-1.8886991834804467E-3</v>
      </c>
      <c r="D646">
        <v>5.9598474086501874E-3</v>
      </c>
    </row>
    <row r="647" spans="1:4" x14ac:dyDescent="0.25">
      <c r="A647" s="2">
        <v>40744</v>
      </c>
      <c r="B647">
        <v>-3.7842855567608025E-3</v>
      </c>
      <c r="D647">
        <v>4.108930556789625E-3</v>
      </c>
    </row>
    <row r="648" spans="1:4" x14ac:dyDescent="0.25">
      <c r="A648" s="2">
        <v>40745</v>
      </c>
      <c r="B648">
        <v>-4.7482605498728736E-3</v>
      </c>
      <c r="D648">
        <v>1.1895701199192033E-2</v>
      </c>
    </row>
    <row r="649" spans="1:4" x14ac:dyDescent="0.25">
      <c r="A649" s="2">
        <v>40746</v>
      </c>
      <c r="B649">
        <v>2.8626536231182165E-3</v>
      </c>
      <c r="D649">
        <v>4.7023407721422661E-3</v>
      </c>
    </row>
    <row r="650" spans="1:4" x14ac:dyDescent="0.25">
      <c r="A650" s="2">
        <v>40749</v>
      </c>
      <c r="B650">
        <v>2.8543511453582582E-3</v>
      </c>
      <c r="D650">
        <v>4.2122736180041365E-3</v>
      </c>
    </row>
    <row r="651" spans="1:4" x14ac:dyDescent="0.25">
      <c r="A651" s="2">
        <v>40750</v>
      </c>
      <c r="B651">
        <v>0</v>
      </c>
      <c r="D651">
        <v>8.3892804433913781E-3</v>
      </c>
    </row>
    <row r="652" spans="1:4" x14ac:dyDescent="0.25">
      <c r="A652" s="2">
        <v>40751</v>
      </c>
      <c r="B652">
        <v>4.7438859710615677E-3</v>
      </c>
      <c r="D652">
        <v>-2.9580303007915587E-3</v>
      </c>
    </row>
    <row r="653" spans="1:4" x14ac:dyDescent="0.25">
      <c r="A653" s="2">
        <v>40752</v>
      </c>
      <c r="B653">
        <v>0</v>
      </c>
      <c r="D653">
        <v>-3.8939237037165508E-3</v>
      </c>
    </row>
    <row r="654" spans="1:4" x14ac:dyDescent="0.25">
      <c r="A654" s="2">
        <v>40753</v>
      </c>
      <c r="B654">
        <v>5.7714733831053522E-3</v>
      </c>
      <c r="D654">
        <v>6.7014213656337862E-3</v>
      </c>
    </row>
    <row r="655" spans="1:4" x14ac:dyDescent="0.25">
      <c r="A655" s="2">
        <v>40756</v>
      </c>
      <c r="B655">
        <v>1.8814828765139069E-3</v>
      </c>
      <c r="D655">
        <v>-2.0684871203288102E-3</v>
      </c>
    </row>
    <row r="656" spans="1:4" x14ac:dyDescent="0.25">
      <c r="A656" s="2">
        <v>40757</v>
      </c>
      <c r="B656">
        <v>9.3897477329951684E-4</v>
      </c>
      <c r="D656">
        <v>-1.8588804393255831E-3</v>
      </c>
    </row>
    <row r="657" spans="1:4" x14ac:dyDescent="0.25">
      <c r="A657" s="2">
        <v>40758</v>
      </c>
      <c r="B657">
        <v>9.3809392676713621E-4</v>
      </c>
      <c r="D657">
        <v>5.7733800979757888E-3</v>
      </c>
    </row>
    <row r="658" spans="1:4" x14ac:dyDescent="0.25">
      <c r="A658" s="2">
        <v>40759</v>
      </c>
      <c r="B658">
        <v>9.3721473131980204E-4</v>
      </c>
      <c r="D658">
        <v>-1.5924465921874464E-2</v>
      </c>
    </row>
    <row r="659" spans="1:4" x14ac:dyDescent="0.25">
      <c r="A659" s="2">
        <v>40760</v>
      </c>
      <c r="B659">
        <v>0</v>
      </c>
      <c r="D659">
        <v>1.3641897459966357E-2</v>
      </c>
    </row>
    <row r="660" spans="1:4" x14ac:dyDescent="0.25">
      <c r="A660" s="2">
        <v>40763</v>
      </c>
      <c r="B660">
        <v>-3.7453487292758991E-3</v>
      </c>
      <c r="D660">
        <v>5.8474536579415926E-3</v>
      </c>
    </row>
    <row r="661" spans="1:4" x14ac:dyDescent="0.25">
      <c r="A661" s="2">
        <v>40764</v>
      </c>
      <c r="B661">
        <v>-3.7592998767576047E-3</v>
      </c>
      <c r="D661">
        <v>1.0519511024358996E-2</v>
      </c>
    </row>
    <row r="662" spans="1:4" x14ac:dyDescent="0.25">
      <c r="A662" s="2">
        <v>40765</v>
      </c>
      <c r="B662">
        <v>1.8866779136625933E-3</v>
      </c>
      <c r="D662">
        <v>-2.7395030548476029E-3</v>
      </c>
    </row>
    <row r="663" spans="1:4" x14ac:dyDescent="0.25">
      <c r="A663" s="2">
        <v>40766</v>
      </c>
      <c r="B663">
        <v>0</v>
      </c>
      <c r="D663">
        <v>-4.303646673087913E-3</v>
      </c>
    </row>
    <row r="664" spans="1:4" x14ac:dyDescent="0.25">
      <c r="A664" s="2">
        <v>40767</v>
      </c>
      <c r="B664">
        <v>-1.8831250631970997E-3</v>
      </c>
      <c r="D664">
        <v>1.9312064357981384E-3</v>
      </c>
    </row>
    <row r="665" spans="1:4" x14ac:dyDescent="0.25">
      <c r="A665" s="2">
        <v>40770</v>
      </c>
      <c r="B665">
        <v>9.4327410025107916E-4</v>
      </c>
      <c r="D665">
        <v>9.8210157885636473E-3</v>
      </c>
    </row>
    <row r="666" spans="1:4" x14ac:dyDescent="0.25">
      <c r="A666" s="2">
        <v>40771</v>
      </c>
      <c r="B666">
        <v>-9.4238517272515754E-4</v>
      </c>
      <c r="D666">
        <v>-1.5451578701207724E-3</v>
      </c>
    </row>
    <row r="667" spans="1:4" x14ac:dyDescent="0.25">
      <c r="A667" s="2">
        <v>40772</v>
      </c>
      <c r="B667">
        <v>3.7734855404849554E-3</v>
      </c>
      <c r="D667">
        <v>7.8288599925431246E-3</v>
      </c>
    </row>
    <row r="668" spans="1:4" x14ac:dyDescent="0.25">
      <c r="A668" s="2">
        <v>40773</v>
      </c>
      <c r="B668">
        <v>5.639143653430656E-3</v>
      </c>
      <c r="D668">
        <v>-3.6130562623833962E-3</v>
      </c>
    </row>
    <row r="669" spans="1:4" x14ac:dyDescent="0.25">
      <c r="A669" s="2">
        <v>40774</v>
      </c>
      <c r="B669">
        <v>-2.8037610155786652E-3</v>
      </c>
      <c r="D669">
        <v>2.6289597256095032E-3</v>
      </c>
    </row>
    <row r="670" spans="1:4" x14ac:dyDescent="0.25">
      <c r="A670" s="2">
        <v>40777</v>
      </c>
      <c r="B670">
        <v>0</v>
      </c>
      <c r="D670">
        <v>-4.0686832566981801E-3</v>
      </c>
    </row>
    <row r="671" spans="1:4" x14ac:dyDescent="0.25">
      <c r="A671" s="2">
        <v>40778</v>
      </c>
      <c r="B671">
        <v>-1.874429462639382E-3</v>
      </c>
      <c r="D671">
        <v>4.81160772997824E-3</v>
      </c>
    </row>
    <row r="672" spans="1:4" x14ac:dyDescent="0.25">
      <c r="A672" s="2">
        <v>40779</v>
      </c>
      <c r="B672">
        <v>-2.8169243198984395E-3</v>
      </c>
      <c r="D672">
        <v>-6.505246376219076E-3</v>
      </c>
    </row>
    <row r="673" spans="1:4" x14ac:dyDescent="0.25">
      <c r="A673" s="2">
        <v>40780</v>
      </c>
      <c r="B673">
        <v>0</v>
      </c>
      <c r="D673">
        <v>-1.6369653467100953E-3</v>
      </c>
    </row>
    <row r="674" spans="1:4" x14ac:dyDescent="0.25">
      <c r="A674" s="2">
        <v>40781</v>
      </c>
      <c r="B674">
        <v>9.4162726604540836E-4</v>
      </c>
      <c r="D674">
        <v>6.9229531610126571E-3</v>
      </c>
    </row>
    <row r="675" spans="1:4" x14ac:dyDescent="0.25">
      <c r="A675" s="2">
        <v>40784</v>
      </c>
      <c r="B675">
        <v>-1.8814828765140179E-3</v>
      </c>
      <c r="D675">
        <v>1.8090566772621663E-4</v>
      </c>
    </row>
    <row r="676" spans="1:4" x14ac:dyDescent="0.25">
      <c r="A676" s="2">
        <v>40785</v>
      </c>
      <c r="B676">
        <v>2.8275442909369009E-3</v>
      </c>
      <c r="D676">
        <v>1.2662672698295907E-3</v>
      </c>
    </row>
    <row r="677" spans="1:4" x14ac:dyDescent="0.25">
      <c r="A677" s="2">
        <v>40786</v>
      </c>
      <c r="B677">
        <v>-8.4746102202659657E-4</v>
      </c>
      <c r="D677">
        <v>-6.8653499329011103E-3</v>
      </c>
    </row>
    <row r="678" spans="1:4" x14ac:dyDescent="0.25">
      <c r="A678" s="2">
        <v>40787</v>
      </c>
      <c r="B678">
        <v>1.8850596060373537E-3</v>
      </c>
      <c r="D678">
        <v>-1.068099100405151E-2</v>
      </c>
    </row>
    <row r="679" spans="1:4" x14ac:dyDescent="0.25">
      <c r="A679" s="2">
        <v>40788</v>
      </c>
      <c r="B679">
        <v>3.7628965925706748E-3</v>
      </c>
      <c r="D679">
        <v>2.7681509662125237E-4</v>
      </c>
    </row>
    <row r="680" spans="1:4" x14ac:dyDescent="0.25">
      <c r="A680" s="2">
        <v>40792</v>
      </c>
      <c r="B680">
        <v>5.6231211196600128E-3</v>
      </c>
      <c r="D680">
        <v>-1.8819192395382323E-2</v>
      </c>
    </row>
    <row r="681" spans="1:4" x14ac:dyDescent="0.25">
      <c r="A681" s="2">
        <v>40793</v>
      </c>
      <c r="B681">
        <v>-2.7957752729209639E-3</v>
      </c>
      <c r="D681">
        <v>6.863442819939003E-3</v>
      </c>
    </row>
    <row r="682" spans="1:4" x14ac:dyDescent="0.25">
      <c r="A682" s="2">
        <v>40794</v>
      </c>
      <c r="B682">
        <v>1.8692039448346964E-3</v>
      </c>
      <c r="D682">
        <v>-7.8438379710822348E-3</v>
      </c>
    </row>
    <row r="683" spans="1:4" x14ac:dyDescent="0.25">
      <c r="A683" s="2">
        <v>40795</v>
      </c>
      <c r="B683">
        <v>2.7983827981832299E-3</v>
      </c>
      <c r="D683">
        <v>-1.5058808163180504E-2</v>
      </c>
    </row>
    <row r="684" spans="1:4" x14ac:dyDescent="0.25">
      <c r="A684" s="2">
        <v>40798</v>
      </c>
      <c r="B684">
        <v>9.3031888569039545E-4</v>
      </c>
      <c r="D684">
        <v>-4.3000938842735481E-3</v>
      </c>
    </row>
    <row r="685" spans="1:4" x14ac:dyDescent="0.25">
      <c r="A685" s="2">
        <v>40799</v>
      </c>
      <c r="B685">
        <v>-9.2945419689771658E-4</v>
      </c>
      <c r="D685">
        <v>2.6872086112887938E-3</v>
      </c>
    </row>
    <row r="686" spans="1:4" x14ac:dyDescent="0.25">
      <c r="A686" s="2">
        <v>40800</v>
      </c>
      <c r="B686">
        <v>-2.7905737047307921E-3</v>
      </c>
      <c r="D686">
        <v>-3.4456434952122583E-3</v>
      </c>
    </row>
    <row r="687" spans="1:4" x14ac:dyDescent="0.25">
      <c r="A687" s="2">
        <v>40801</v>
      </c>
      <c r="B687">
        <v>-4.6642273462969008E-3</v>
      </c>
      <c r="D687">
        <v>9.0279930054619761E-3</v>
      </c>
    </row>
    <row r="688" spans="1:4" x14ac:dyDescent="0.25">
      <c r="A688" s="2">
        <v>40802</v>
      </c>
      <c r="B688">
        <v>2.8116248637559682E-3</v>
      </c>
      <c r="D688">
        <v>3.8074598620463362E-4</v>
      </c>
    </row>
    <row r="689" spans="1:4" x14ac:dyDescent="0.25">
      <c r="A689" s="2">
        <v>40805</v>
      </c>
      <c r="B689">
        <v>2.8036135463487266E-3</v>
      </c>
      <c r="D689">
        <v>-5.3282405924984788E-3</v>
      </c>
    </row>
    <row r="690" spans="1:4" x14ac:dyDescent="0.25">
      <c r="A690" s="2">
        <v>40806</v>
      </c>
      <c r="B690">
        <v>0</v>
      </c>
      <c r="D690">
        <v>5.7392369989095471E-4</v>
      </c>
    </row>
    <row r="691" spans="1:4" x14ac:dyDescent="0.25">
      <c r="A691" s="2">
        <v>40807</v>
      </c>
      <c r="B691">
        <v>0</v>
      </c>
      <c r="D691">
        <v>-2.7724782403353299E-3</v>
      </c>
    </row>
    <row r="692" spans="1:4" x14ac:dyDescent="0.25">
      <c r="A692" s="2">
        <v>40808</v>
      </c>
      <c r="B692">
        <v>0</v>
      </c>
      <c r="D692">
        <v>-1.0545566123868477E-3</v>
      </c>
    </row>
    <row r="693" spans="1:4" x14ac:dyDescent="0.25">
      <c r="A693" s="2">
        <v>40809</v>
      </c>
      <c r="B693">
        <v>-9.3179720225533558E-4</v>
      </c>
      <c r="D693">
        <v>2.2073247952116848E-3</v>
      </c>
    </row>
    <row r="694" spans="1:4" x14ac:dyDescent="0.25">
      <c r="A694" s="2">
        <v>40812</v>
      </c>
      <c r="B694">
        <v>-1.8657165401179121E-3</v>
      </c>
      <c r="D694">
        <v>4.6921234804557788E-3</v>
      </c>
    </row>
    <row r="695" spans="1:4" x14ac:dyDescent="0.25">
      <c r="A695" s="2">
        <v>40813</v>
      </c>
      <c r="B695">
        <v>-3.7384078896692818E-3</v>
      </c>
      <c r="D695">
        <v>2.1921772770088221E-3</v>
      </c>
    </row>
    <row r="696" spans="1:4" x14ac:dyDescent="0.25">
      <c r="A696" s="2">
        <v>40814</v>
      </c>
      <c r="B696">
        <v>-1.8760892845487431E-3</v>
      </c>
      <c r="D696">
        <v>-3.1383964592448521E-3</v>
      </c>
    </row>
    <row r="697" spans="1:4" x14ac:dyDescent="0.25">
      <c r="A697" s="2">
        <v>40815</v>
      </c>
      <c r="B697">
        <v>-1.879744581724907E-3</v>
      </c>
      <c r="D697">
        <v>1.2401985321826015E-3</v>
      </c>
    </row>
    <row r="698" spans="1:4" x14ac:dyDescent="0.25">
      <c r="A698" s="2">
        <v>40816</v>
      </c>
      <c r="B698">
        <v>4.8117761952299887E-3</v>
      </c>
      <c r="D698">
        <v>-3.0490679636168139E-3</v>
      </c>
    </row>
    <row r="699" spans="1:4" x14ac:dyDescent="0.25">
      <c r="A699" s="2">
        <v>40819</v>
      </c>
      <c r="B699">
        <v>1.8779953698231378E-3</v>
      </c>
      <c r="D699">
        <v>-8.4355638277487932E-3</v>
      </c>
    </row>
    <row r="700" spans="1:4" x14ac:dyDescent="0.25">
      <c r="A700" s="2">
        <v>40820</v>
      </c>
      <c r="B700">
        <v>1.8743467606967545E-3</v>
      </c>
      <c r="D700">
        <v>2.5134840567213601E-3</v>
      </c>
    </row>
    <row r="701" spans="1:4" x14ac:dyDescent="0.25">
      <c r="A701" s="2">
        <v>40821</v>
      </c>
      <c r="B701">
        <v>-1.8708401575078248E-3</v>
      </c>
      <c r="D701">
        <v>-8.6785404415590239E-4</v>
      </c>
    </row>
    <row r="702" spans="1:4" x14ac:dyDescent="0.25">
      <c r="A702" s="2">
        <v>40822</v>
      </c>
      <c r="B702">
        <v>-9.3723755711894174E-4</v>
      </c>
      <c r="D702">
        <v>5.5013907304801712E-3</v>
      </c>
    </row>
    <row r="703" spans="1:4" x14ac:dyDescent="0.25">
      <c r="A703" s="2">
        <v>40823</v>
      </c>
      <c r="B703">
        <v>-9.3811679541244697E-4</v>
      </c>
      <c r="D703">
        <v>-6.0471946624905959E-3</v>
      </c>
    </row>
    <row r="704" spans="1:4" x14ac:dyDescent="0.25">
      <c r="A704" s="2">
        <v>40826</v>
      </c>
      <c r="B704">
        <v>-1.8778667752347156E-3</v>
      </c>
      <c r="D704">
        <v>1.3519980932450881E-2</v>
      </c>
    </row>
    <row r="705" spans="1:4" x14ac:dyDescent="0.25">
      <c r="A705" s="2">
        <v>40827</v>
      </c>
      <c r="B705">
        <v>0</v>
      </c>
      <c r="D705">
        <v>-3.810710882306001E-4</v>
      </c>
    </row>
    <row r="706" spans="1:4" x14ac:dyDescent="0.25">
      <c r="A706" s="2">
        <v>40828</v>
      </c>
      <c r="B706">
        <v>-2.8221641083597815E-3</v>
      </c>
      <c r="D706">
        <v>1.4297407099446158E-3</v>
      </c>
    </row>
    <row r="707" spans="1:4" x14ac:dyDescent="0.25">
      <c r="A707" s="2">
        <v>40829</v>
      </c>
      <c r="B707">
        <v>1.8867244393929727E-3</v>
      </c>
      <c r="D707">
        <v>1.52297495908571E-3</v>
      </c>
    </row>
    <row r="708" spans="1:4" x14ac:dyDescent="0.25">
      <c r="A708" s="2">
        <v>40830</v>
      </c>
      <c r="B708">
        <v>-2.8248215997169757E-3</v>
      </c>
      <c r="D708">
        <v>-3.8015760491848516E-3</v>
      </c>
    </row>
    <row r="709" spans="1:4" x14ac:dyDescent="0.25">
      <c r="A709" s="2">
        <v>40833</v>
      </c>
      <c r="B709">
        <v>3.7771415365688288E-3</v>
      </c>
      <c r="D709">
        <v>-2.8620803365611014E-3</v>
      </c>
    </row>
    <row r="710" spans="1:4" x14ac:dyDescent="0.25">
      <c r="A710" s="2">
        <v>40834</v>
      </c>
      <c r="B710">
        <v>1.8813997933977422E-3</v>
      </c>
      <c r="D710">
        <v>-3.8263883435007973E-4</v>
      </c>
    </row>
    <row r="711" spans="1:4" x14ac:dyDescent="0.25">
      <c r="A711" s="2">
        <v>40835</v>
      </c>
      <c r="B711">
        <v>-9.3886909032325772E-4</v>
      </c>
      <c r="D711">
        <v>-3.3499837495835072E-3</v>
      </c>
    </row>
    <row r="712" spans="1:4" x14ac:dyDescent="0.25">
      <c r="A712" s="2">
        <v>40836</v>
      </c>
      <c r="B712">
        <v>-9.3988010929468846E-4</v>
      </c>
      <c r="D712">
        <v>1.7286128523372746E-3</v>
      </c>
    </row>
    <row r="713" spans="1:4" x14ac:dyDescent="0.25">
      <c r="A713" s="2">
        <v>40837</v>
      </c>
      <c r="B713">
        <v>-1.8815286299241896E-3</v>
      </c>
      <c r="D713">
        <v>8.3405565735519271E-3</v>
      </c>
    </row>
    <row r="714" spans="1:4" x14ac:dyDescent="0.25">
      <c r="A714" s="2">
        <v>40840</v>
      </c>
      <c r="B714">
        <v>0</v>
      </c>
      <c r="D714">
        <v>1.8064412447067468E-3</v>
      </c>
    </row>
    <row r="715" spans="1:4" x14ac:dyDescent="0.25">
      <c r="A715" s="2">
        <v>40841</v>
      </c>
      <c r="B715">
        <v>3.7700218273253316E-3</v>
      </c>
      <c r="D715">
        <v>1.2337230309449332E-3</v>
      </c>
    </row>
    <row r="716" spans="1:4" x14ac:dyDescent="0.25">
      <c r="A716" s="2">
        <v>40842</v>
      </c>
      <c r="B716">
        <v>3.7558621450579643E-3</v>
      </c>
      <c r="D716">
        <v>1.9905144292422516E-3</v>
      </c>
    </row>
    <row r="717" spans="1:4" x14ac:dyDescent="0.25">
      <c r="A717" s="2">
        <v>40843</v>
      </c>
      <c r="B717">
        <v>-5.6126485859352426E-3</v>
      </c>
      <c r="D717">
        <v>1.3432961071151661E-2</v>
      </c>
    </row>
    <row r="718" spans="1:4" x14ac:dyDescent="0.25">
      <c r="A718" s="2">
        <v>40844</v>
      </c>
      <c r="B718">
        <v>-9.4076431496215029E-4</v>
      </c>
      <c r="D718">
        <v>1.2135249582299057E-3</v>
      </c>
    </row>
    <row r="719" spans="1:4" x14ac:dyDescent="0.25">
      <c r="A719" s="2">
        <v>40847</v>
      </c>
      <c r="B719">
        <v>8.5856264617372169E-3</v>
      </c>
      <c r="D719">
        <v>-2.1629679593465845E-2</v>
      </c>
    </row>
    <row r="720" spans="1:4" x14ac:dyDescent="0.25">
      <c r="A720" s="2">
        <v>40848</v>
      </c>
      <c r="B720">
        <v>6.5482264591361083E-3</v>
      </c>
      <c r="D720">
        <v>-2.3230807551010146E-3</v>
      </c>
    </row>
    <row r="721" spans="1:4" x14ac:dyDescent="0.25">
      <c r="A721" s="2">
        <v>40849</v>
      </c>
      <c r="B721">
        <v>-2.7881436379857405E-3</v>
      </c>
      <c r="D721">
        <v>-2.8746869050298995E-3</v>
      </c>
    </row>
    <row r="722" spans="1:4" x14ac:dyDescent="0.25">
      <c r="A722" s="2">
        <v>40850</v>
      </c>
      <c r="B722">
        <v>-1.8638744896063431E-3</v>
      </c>
      <c r="D722">
        <v>2.4024513286766691E-3</v>
      </c>
    </row>
    <row r="723" spans="1:4" x14ac:dyDescent="0.25">
      <c r="A723" s="2">
        <v>40851</v>
      </c>
      <c r="B723">
        <v>1.867355004963267E-3</v>
      </c>
      <c r="D723">
        <v>-4.1223303033107728E-3</v>
      </c>
    </row>
    <row r="724" spans="1:4" x14ac:dyDescent="0.25">
      <c r="A724" s="2">
        <v>40854</v>
      </c>
      <c r="B724">
        <v>-9.3193724480322704E-4</v>
      </c>
      <c r="D724">
        <v>1.5402809934603745E-3</v>
      </c>
    </row>
    <row r="725" spans="1:4" x14ac:dyDescent="0.25">
      <c r="A725" s="2">
        <v>40855</v>
      </c>
      <c r="B725">
        <v>9.3280656198047041E-4</v>
      </c>
      <c r="D725">
        <v>1.9220296534250281E-4</v>
      </c>
    </row>
    <row r="726" spans="1:4" x14ac:dyDescent="0.25">
      <c r="A726" s="2">
        <v>40856</v>
      </c>
      <c r="B726">
        <v>1.8640018730460284E-3</v>
      </c>
      <c r="D726">
        <v>-1.9892371985025248E-2</v>
      </c>
    </row>
    <row r="727" spans="1:4" x14ac:dyDescent="0.25">
      <c r="A727" s="2">
        <v>40857</v>
      </c>
      <c r="B727">
        <v>0</v>
      </c>
      <c r="D727">
        <v>-6.4711847132847833E-3</v>
      </c>
    </row>
    <row r="728" spans="1:4" x14ac:dyDescent="0.25">
      <c r="A728" s="2">
        <v>40858</v>
      </c>
      <c r="B728">
        <v>-2.7907371785214075E-3</v>
      </c>
      <c r="D728">
        <v>1.2237220162453655E-2</v>
      </c>
    </row>
    <row r="729" spans="1:4" x14ac:dyDescent="0.25">
      <c r="A729" s="2">
        <v>40861</v>
      </c>
      <c r="B729">
        <v>1.8656131239611629E-3</v>
      </c>
      <c r="D729">
        <v>-5.0696698190954015E-3</v>
      </c>
    </row>
    <row r="730" spans="1:4" x14ac:dyDescent="0.25">
      <c r="A730" s="2">
        <v>40862</v>
      </c>
      <c r="B730">
        <v>9.3119681125219955E-4</v>
      </c>
      <c r="D730">
        <v>-9.7991237398791231E-3</v>
      </c>
    </row>
    <row r="731" spans="1:4" x14ac:dyDescent="0.25">
      <c r="A731" s="2">
        <v>40863</v>
      </c>
      <c r="B731">
        <v>0</v>
      </c>
      <c r="D731">
        <v>-4.6511655040522015E-3</v>
      </c>
    </row>
    <row r="732" spans="1:4" x14ac:dyDescent="0.25">
      <c r="A732" s="2">
        <v>40864</v>
      </c>
      <c r="B732">
        <v>-4.6512710130151014E-3</v>
      </c>
      <c r="D732">
        <v>-9.8429701659991098E-3</v>
      </c>
    </row>
    <row r="733" spans="1:4" x14ac:dyDescent="0.25">
      <c r="A733" s="2">
        <v>40865</v>
      </c>
      <c r="B733">
        <v>-3.7383285015453183E-3</v>
      </c>
      <c r="D733">
        <v>6.2255501955983394E-3</v>
      </c>
    </row>
    <row r="734" spans="1:4" x14ac:dyDescent="0.25">
      <c r="A734" s="2">
        <v>40868</v>
      </c>
      <c r="B734">
        <v>1.8762421305023036E-3</v>
      </c>
      <c r="D734">
        <v>2.4947625495168602E-3</v>
      </c>
    </row>
    <row r="735" spans="1:4" x14ac:dyDescent="0.25">
      <c r="A735" s="2">
        <v>40869</v>
      </c>
      <c r="B735">
        <v>-9.36300229352649E-4</v>
      </c>
      <c r="D735">
        <v>3.9817934067509775E-4</v>
      </c>
    </row>
    <row r="736" spans="1:4" x14ac:dyDescent="0.25">
      <c r="A736" s="2">
        <v>40870</v>
      </c>
      <c r="B736">
        <v>-2.8116612269111219E-3</v>
      </c>
      <c r="D736">
        <v>-1.7611908345504856E-2</v>
      </c>
    </row>
    <row r="737" spans="1:4" x14ac:dyDescent="0.25">
      <c r="A737" s="2">
        <v>40872</v>
      </c>
      <c r="B737">
        <v>-8.4586384066321907E-3</v>
      </c>
      <c r="D737">
        <v>-1.0736401267471662E-2</v>
      </c>
    </row>
    <row r="738" spans="1:4" x14ac:dyDescent="0.25">
      <c r="A738" s="2">
        <v>40875</v>
      </c>
      <c r="B738">
        <v>0</v>
      </c>
      <c r="D738">
        <v>5.3240975991795114E-3</v>
      </c>
    </row>
    <row r="739" spans="1:4" x14ac:dyDescent="0.25">
      <c r="A739" s="2">
        <v>40876</v>
      </c>
      <c r="B739">
        <v>-1.8958047174741921E-3</v>
      </c>
      <c r="D739">
        <v>-1.3240190881866898E-3</v>
      </c>
    </row>
    <row r="740" spans="1:4" x14ac:dyDescent="0.25">
      <c r="A740" s="2">
        <v>40877</v>
      </c>
      <c r="B740">
        <v>3.9016151243207453E-3</v>
      </c>
      <c r="D740">
        <v>1.5806680871364387E-2</v>
      </c>
    </row>
    <row r="741" spans="1:4" x14ac:dyDescent="0.25">
      <c r="A741" s="2">
        <v>40878</v>
      </c>
      <c r="B741">
        <v>3.7914173523900807E-3</v>
      </c>
      <c r="D741">
        <v>-4.7044380204828151E-3</v>
      </c>
    </row>
    <row r="742" spans="1:4" x14ac:dyDescent="0.25">
      <c r="A742" s="2">
        <v>40879</v>
      </c>
      <c r="B742">
        <v>2.8327903990148506E-3</v>
      </c>
      <c r="D742">
        <v>-6.0857937906307891E-3</v>
      </c>
    </row>
    <row r="743" spans="1:4" x14ac:dyDescent="0.25">
      <c r="A743" s="2">
        <v>40882</v>
      </c>
      <c r="B743">
        <v>-2.8247883656532524E-3</v>
      </c>
      <c r="D743">
        <v>5.9189914350465944E-3</v>
      </c>
    </row>
    <row r="744" spans="1:4" x14ac:dyDescent="0.25">
      <c r="A744" s="2">
        <v>40883</v>
      </c>
      <c r="B744">
        <v>3.7770968020329754E-3</v>
      </c>
      <c r="D744">
        <v>5.6812113559434607E-3</v>
      </c>
    </row>
    <row r="745" spans="1:4" x14ac:dyDescent="0.25">
      <c r="A745" s="2">
        <v>40884</v>
      </c>
      <c r="B745">
        <v>1.9011399525172834E-3</v>
      </c>
      <c r="D745">
        <v>4.0352452274339257E-4</v>
      </c>
    </row>
    <row r="746" spans="1:4" x14ac:dyDescent="0.25">
      <c r="A746" s="2">
        <v>40885</v>
      </c>
      <c r="B746">
        <v>4.7438952352016894E-3</v>
      </c>
      <c r="D746">
        <v>-1.5528900982695881E-2</v>
      </c>
    </row>
    <row r="747" spans="1:4" x14ac:dyDescent="0.25">
      <c r="A747" s="2">
        <v>40886</v>
      </c>
      <c r="B747">
        <v>-5.6657198517289231E-3</v>
      </c>
      <c r="D747">
        <v>7.6820636184298241E-3</v>
      </c>
    </row>
    <row r="748" spans="1:4" x14ac:dyDescent="0.25">
      <c r="A748" s="2">
        <v>40889</v>
      </c>
      <c r="B748">
        <v>5.69800314124147E-3</v>
      </c>
      <c r="D748">
        <v>-7.3184892300681703E-3</v>
      </c>
    </row>
    <row r="749" spans="1:4" x14ac:dyDescent="0.25">
      <c r="A749" s="2">
        <v>40890</v>
      </c>
      <c r="B749">
        <v>9.4435038050622033E-4</v>
      </c>
      <c r="D749">
        <v>-4.1982802606504999E-3</v>
      </c>
    </row>
    <row r="750" spans="1:4" x14ac:dyDescent="0.25">
      <c r="A750" s="2">
        <v>40891</v>
      </c>
      <c r="B750">
        <v>4.7169150506995994E-3</v>
      </c>
      <c r="D750">
        <v>-1.6452792493216739E-3</v>
      </c>
    </row>
    <row r="751" spans="1:4" x14ac:dyDescent="0.25">
      <c r="A751" s="2">
        <v>40892</v>
      </c>
      <c r="B751">
        <v>0</v>
      </c>
      <c r="D751">
        <v>3.192964053213565E-3</v>
      </c>
    </row>
    <row r="752" spans="1:4" x14ac:dyDescent="0.25">
      <c r="A752" s="2">
        <v>40893</v>
      </c>
      <c r="B752">
        <v>2.8169635381760649E-3</v>
      </c>
      <c r="D752">
        <v>3.5934167095741376E-3</v>
      </c>
    </row>
    <row r="753" spans="1:4" x14ac:dyDescent="0.25">
      <c r="A753" s="2">
        <v>40896</v>
      </c>
      <c r="B753">
        <v>9.3626591317086394E-4</v>
      </c>
      <c r="D753">
        <v>4.9105141563372534E-3</v>
      </c>
    </row>
    <row r="754" spans="1:4" x14ac:dyDescent="0.25">
      <c r="A754" s="2">
        <v>40897</v>
      </c>
      <c r="B754">
        <v>-2.8064229870328194E-3</v>
      </c>
      <c r="D754">
        <v>6.9225294704025053E-3</v>
      </c>
    </row>
    <row r="755" spans="1:4" x14ac:dyDescent="0.25">
      <c r="A755" s="2">
        <v>40898</v>
      </c>
      <c r="B755">
        <v>0</v>
      </c>
      <c r="D755">
        <v>4.0434660259291988E-4</v>
      </c>
    </row>
    <row r="756" spans="1:4" x14ac:dyDescent="0.25">
      <c r="A756" s="2">
        <v>40899</v>
      </c>
      <c r="B756">
        <v>0</v>
      </c>
      <c r="D756">
        <v>-3.8402948767382039E-3</v>
      </c>
    </row>
    <row r="757" spans="1:4" x14ac:dyDescent="0.25">
      <c r="A757" s="2">
        <v>40900</v>
      </c>
      <c r="B757">
        <v>0</v>
      </c>
      <c r="D757">
        <v>1.1159589888423138E-3</v>
      </c>
    </row>
    <row r="758" spans="1:4" x14ac:dyDescent="0.25">
      <c r="A758" s="2">
        <v>40904</v>
      </c>
      <c r="B758">
        <v>9.3814926755220185E-4</v>
      </c>
      <c r="D758">
        <v>8.517485954946169E-3</v>
      </c>
    </row>
    <row r="759" spans="1:4" x14ac:dyDescent="0.25">
      <c r="A759" s="2">
        <v>40905</v>
      </c>
      <c r="B759">
        <v>1.8993381163454615E-3</v>
      </c>
      <c r="D759">
        <v>-6.987371208818649E-3</v>
      </c>
    </row>
    <row r="760" spans="1:4" x14ac:dyDescent="0.25">
      <c r="A760" s="2">
        <v>40906</v>
      </c>
      <c r="B760">
        <v>2.8436062048655675E-3</v>
      </c>
      <c r="D760">
        <v>1.019850655296306E-3</v>
      </c>
    </row>
    <row r="761" spans="1:4" x14ac:dyDescent="0.25">
      <c r="A761" s="2">
        <v>40907</v>
      </c>
      <c r="B761">
        <v>1.6093010042643741E-3</v>
      </c>
      <c r="D761">
        <v>1.7726137015208199E-2</v>
      </c>
    </row>
    <row r="762" spans="1:4" x14ac:dyDescent="0.25">
      <c r="A762" s="2">
        <v>40911</v>
      </c>
      <c r="B762">
        <v>-1.8902163357940038E-3</v>
      </c>
      <c r="D762">
        <v>4.4043541653282503E-3</v>
      </c>
    </row>
    <row r="763" spans="1:4" x14ac:dyDescent="0.25">
      <c r="A763" s="2">
        <v>40912</v>
      </c>
      <c r="B763">
        <v>-9.4708694872869259E-4</v>
      </c>
      <c r="D763">
        <v>-8.1722126913473803E-3</v>
      </c>
    </row>
    <row r="764" spans="1:4" x14ac:dyDescent="0.25">
      <c r="A764" s="2">
        <v>40913</v>
      </c>
      <c r="B764">
        <v>3.7915608552263613E-3</v>
      </c>
      <c r="D764">
        <v>-9.9477318493169653E-3</v>
      </c>
    </row>
    <row r="765" spans="1:4" x14ac:dyDescent="0.25">
      <c r="A765" s="2">
        <v>40914</v>
      </c>
      <c r="B765">
        <v>9.4427840512656402E-4</v>
      </c>
      <c r="D765">
        <v>-7.9163528021196639E-3</v>
      </c>
    </row>
    <row r="766" spans="1:4" x14ac:dyDescent="0.25">
      <c r="A766" s="2">
        <v>40917</v>
      </c>
      <c r="B766">
        <v>1.8867751692055457E-3</v>
      </c>
      <c r="D766">
        <v>-1.053707155180772E-2</v>
      </c>
    </row>
    <row r="767" spans="1:4" x14ac:dyDescent="0.25">
      <c r="A767" s="2">
        <v>40918</v>
      </c>
      <c r="B767">
        <v>-1.8832219527870064E-3</v>
      </c>
      <c r="D767">
        <v>-2.6881950586754577E-3</v>
      </c>
    </row>
    <row r="768" spans="1:4" x14ac:dyDescent="0.25">
      <c r="A768" s="2">
        <v>40919</v>
      </c>
      <c r="B768">
        <v>3.7735503384110913E-3</v>
      </c>
      <c r="D768">
        <v>1.9697478249354194E-3</v>
      </c>
    </row>
    <row r="769" spans="1:4" x14ac:dyDescent="0.25">
      <c r="A769" s="2">
        <v>40920</v>
      </c>
      <c r="B769">
        <v>0</v>
      </c>
      <c r="D769">
        <v>5.380207458555164E-3</v>
      </c>
    </row>
    <row r="770" spans="1:4" x14ac:dyDescent="0.25">
      <c r="A770" s="2">
        <v>40921</v>
      </c>
      <c r="B770">
        <v>3.7593641884057227E-3</v>
      </c>
      <c r="D770">
        <v>-3.6019205047392866E-3</v>
      </c>
    </row>
    <row r="771" spans="1:4" x14ac:dyDescent="0.25">
      <c r="A771" s="2">
        <v>40925</v>
      </c>
      <c r="B771">
        <v>0</v>
      </c>
      <c r="D771">
        <v>1.0331306021149622E-4</v>
      </c>
    </row>
    <row r="772" spans="1:4" x14ac:dyDescent="0.25">
      <c r="A772" s="2">
        <v>40926</v>
      </c>
      <c r="B772">
        <v>-9.3632107518271113E-4</v>
      </c>
      <c r="D772">
        <v>5.6800039136510883E-3</v>
      </c>
    </row>
    <row r="773" spans="1:4" x14ac:dyDescent="0.25">
      <c r="A773" s="2">
        <v>40927</v>
      </c>
      <c r="B773">
        <v>-2.8115957819330184E-3</v>
      </c>
      <c r="D773">
        <v>-2.9780348278255486E-3</v>
      </c>
    </row>
    <row r="774" spans="1:4" x14ac:dyDescent="0.25">
      <c r="A774" s="2">
        <v>40928</v>
      </c>
      <c r="B774">
        <v>-2.8196481534149553E-3</v>
      </c>
      <c r="D774">
        <v>-2.8839042514028357E-3</v>
      </c>
    </row>
    <row r="775" spans="1:4" x14ac:dyDescent="0.25">
      <c r="A775" s="2">
        <v>40931</v>
      </c>
      <c r="B775">
        <v>-3.7699942457189994E-3</v>
      </c>
      <c r="D775">
        <v>6.7141964581611813E-3</v>
      </c>
    </row>
    <row r="776" spans="1:4" x14ac:dyDescent="0.25">
      <c r="A776" s="2">
        <v>40932</v>
      </c>
      <c r="B776">
        <v>0</v>
      </c>
      <c r="D776">
        <v>-2.0520956556873138E-3</v>
      </c>
    </row>
    <row r="777" spans="1:4" x14ac:dyDescent="0.25">
      <c r="A777" s="2">
        <v>40933</v>
      </c>
      <c r="B777">
        <v>9.4606522187223874E-4</v>
      </c>
      <c r="D777">
        <v>1.4394370990291616E-3</v>
      </c>
    </row>
    <row r="778" spans="1:4" x14ac:dyDescent="0.25">
      <c r="A778" s="2">
        <v>40934</v>
      </c>
      <c r="B778">
        <v>4.7259808632411637E-3</v>
      </c>
      <c r="D778">
        <v>1.4373680980637182E-3</v>
      </c>
    </row>
    <row r="779" spans="1:4" x14ac:dyDescent="0.25">
      <c r="A779" s="2">
        <v>40935</v>
      </c>
      <c r="B779">
        <v>9.407251792388216E-4</v>
      </c>
      <c r="D779">
        <v>6.6639464451179187E-3</v>
      </c>
    </row>
    <row r="780" spans="1:4" x14ac:dyDescent="0.25">
      <c r="A780" s="2">
        <v>40938</v>
      </c>
      <c r="B780">
        <v>3.7593641884057227E-3</v>
      </c>
      <c r="D780">
        <v>2.9534679220803994E-3</v>
      </c>
    </row>
    <row r="781" spans="1:4" x14ac:dyDescent="0.25">
      <c r="A781" s="2">
        <v>40939</v>
      </c>
      <c r="B781">
        <v>3.4699177275419046E-3</v>
      </c>
      <c r="D781">
        <v>1.5230905685013063E-3</v>
      </c>
    </row>
    <row r="782" spans="1:4" x14ac:dyDescent="0.25">
      <c r="A782" s="2">
        <v>40940</v>
      </c>
      <c r="B782">
        <v>0</v>
      </c>
      <c r="D782">
        <v>1.2323842304204025E-2</v>
      </c>
    </row>
    <row r="783" spans="1:4" x14ac:dyDescent="0.25">
      <c r="A783" s="2">
        <v>40941</v>
      </c>
      <c r="B783">
        <v>-2.8037181348559148E-3</v>
      </c>
      <c r="D783">
        <v>3.1111757527193529E-3</v>
      </c>
    </row>
    <row r="784" spans="1:4" x14ac:dyDescent="0.25">
      <c r="A784" s="2">
        <v>40942</v>
      </c>
      <c r="B784">
        <v>-2.8116010717690321E-3</v>
      </c>
      <c r="D784">
        <v>-9.0041929248030339E-4</v>
      </c>
    </row>
    <row r="785" spans="1:4" x14ac:dyDescent="0.25">
      <c r="A785" s="2">
        <v>40945</v>
      </c>
      <c r="B785">
        <v>9.3984282033732214E-4</v>
      </c>
      <c r="D785">
        <v>-2.2030907720684834E-3</v>
      </c>
    </row>
    <row r="786" spans="1:4" x14ac:dyDescent="0.25">
      <c r="A786" s="2">
        <v>40946</v>
      </c>
      <c r="B786">
        <v>-1.8779206903964951E-3</v>
      </c>
      <c r="D786">
        <v>8.9321405791433772E-3</v>
      </c>
    </row>
    <row r="787" spans="1:4" x14ac:dyDescent="0.25">
      <c r="A787" s="2">
        <v>40947</v>
      </c>
      <c r="B787">
        <v>-9.407269558127096E-4</v>
      </c>
      <c r="D787">
        <v>-2.8847157268092616E-3</v>
      </c>
    </row>
    <row r="788" spans="1:4" x14ac:dyDescent="0.25">
      <c r="A788" s="2">
        <v>40948</v>
      </c>
      <c r="B788">
        <v>-3.7664510252574113E-3</v>
      </c>
      <c r="D788">
        <v>-4.9875648857233834E-4</v>
      </c>
    </row>
    <row r="789" spans="1:4" x14ac:dyDescent="0.25">
      <c r="A789" s="2">
        <v>40949</v>
      </c>
      <c r="B789">
        <v>4.7258635150533301E-3</v>
      </c>
      <c r="D789">
        <v>1.9959161408888981E-4</v>
      </c>
    </row>
    <row r="790" spans="1:4" x14ac:dyDescent="0.25">
      <c r="A790" s="2">
        <v>40952</v>
      </c>
      <c r="B790">
        <v>0</v>
      </c>
      <c r="D790">
        <v>1.047802220978622E-2</v>
      </c>
    </row>
    <row r="791" spans="1:4" x14ac:dyDescent="0.25">
      <c r="A791" s="2">
        <v>40953</v>
      </c>
      <c r="B791">
        <v>2.8221808674377957E-3</v>
      </c>
      <c r="D791">
        <v>-8.9868061805672417E-3</v>
      </c>
    </row>
    <row r="792" spans="1:4" x14ac:dyDescent="0.25">
      <c r="A792" s="2">
        <v>40954</v>
      </c>
      <c r="B792">
        <v>9.380795257227792E-4</v>
      </c>
      <c r="D792">
        <v>1.0563088312429914E-2</v>
      </c>
    </row>
    <row r="793" spans="1:4" x14ac:dyDescent="0.25">
      <c r="A793" s="2">
        <v>40955</v>
      </c>
      <c r="B793">
        <v>-1.874400714512614E-3</v>
      </c>
      <c r="D793">
        <v>2.3666080292117364E-3</v>
      </c>
    </row>
    <row r="794" spans="1:4" x14ac:dyDescent="0.25">
      <c r="A794" s="2">
        <v>40956</v>
      </c>
      <c r="B794">
        <v>-2.8168810355948537E-3</v>
      </c>
      <c r="D794">
        <v>-3.246453693235285E-3</v>
      </c>
    </row>
    <row r="795" spans="1:4" x14ac:dyDescent="0.25">
      <c r="A795" s="2">
        <v>40960</v>
      </c>
      <c r="B795">
        <v>-9.4161275631410302E-4</v>
      </c>
      <c r="D795">
        <v>4.3426998372710912E-3</v>
      </c>
    </row>
    <row r="796" spans="1:4" x14ac:dyDescent="0.25">
      <c r="A796" s="2">
        <v>40961</v>
      </c>
      <c r="B796">
        <v>1.8850004531010267E-3</v>
      </c>
      <c r="D796">
        <v>-1.1792704049893299E-3</v>
      </c>
    </row>
    <row r="797" spans="1:4" x14ac:dyDescent="0.25">
      <c r="A797" s="2">
        <v>40962</v>
      </c>
      <c r="B797">
        <v>1.8814539116251972E-3</v>
      </c>
      <c r="D797">
        <v>7.5758006061159566E-3</v>
      </c>
    </row>
    <row r="798" spans="1:4" x14ac:dyDescent="0.25">
      <c r="A798" s="2">
        <v>40963</v>
      </c>
      <c r="B798">
        <v>0</v>
      </c>
      <c r="D798">
        <v>-1.4354081384250539E-2</v>
      </c>
    </row>
    <row r="799" spans="1:4" x14ac:dyDescent="0.25">
      <c r="A799" s="2">
        <v>40966</v>
      </c>
      <c r="B799">
        <v>2.8168810355946317E-3</v>
      </c>
      <c r="D799">
        <v>-1.1888503671297901E-3</v>
      </c>
    </row>
    <row r="800" spans="1:4" x14ac:dyDescent="0.25">
      <c r="A800" s="2">
        <v>40967</v>
      </c>
      <c r="B800">
        <v>1.8726456703213046E-3</v>
      </c>
      <c r="D800">
        <v>7.8357508472084447E-3</v>
      </c>
    </row>
    <row r="801" spans="1:4" x14ac:dyDescent="0.25">
      <c r="A801" s="2">
        <v>40968</v>
      </c>
      <c r="B801">
        <v>1.7789150963654077E-3</v>
      </c>
      <c r="D801">
        <v>-4.92077483340847E-3</v>
      </c>
    </row>
    <row r="802" spans="1:4" x14ac:dyDescent="0.25">
      <c r="A802" s="2">
        <v>40969</v>
      </c>
      <c r="B802">
        <v>-2.8036951289420742E-3</v>
      </c>
      <c r="D802">
        <v>-1.9891352369937443E-2</v>
      </c>
    </row>
    <row r="803" spans="1:4" x14ac:dyDescent="0.25">
      <c r="A803" s="2">
        <v>40970</v>
      </c>
      <c r="B803">
        <v>4.6860046409049616E-3</v>
      </c>
      <c r="D803">
        <v>-7.4793287811737441E-3</v>
      </c>
    </row>
    <row r="804" spans="1:4" x14ac:dyDescent="0.25">
      <c r="A804" s="2">
        <v>40973</v>
      </c>
      <c r="B804">
        <v>-9.329038809740009E-4</v>
      </c>
      <c r="D804">
        <v>2.5458230333439413E-3</v>
      </c>
    </row>
    <row r="805" spans="1:4" x14ac:dyDescent="0.25">
      <c r="A805" s="2">
        <v>40974</v>
      </c>
      <c r="B805">
        <v>1.8674262294231525E-3</v>
      </c>
      <c r="D805">
        <v>-6.0941944240899826E-4</v>
      </c>
    </row>
    <row r="806" spans="1:4" x14ac:dyDescent="0.25">
      <c r="A806" s="2">
        <v>40975</v>
      </c>
      <c r="B806">
        <v>9.3191095117028944E-4</v>
      </c>
      <c r="D806">
        <v>1.2196570900402381E-3</v>
      </c>
    </row>
    <row r="807" spans="1:4" x14ac:dyDescent="0.25">
      <c r="A807" s="2">
        <v>40976</v>
      </c>
      <c r="B807">
        <v>-9.3104330172155692E-4</v>
      </c>
      <c r="D807">
        <v>1.004972367824708E-2</v>
      </c>
    </row>
    <row r="808" spans="1:4" x14ac:dyDescent="0.25">
      <c r="A808" s="2">
        <v>40977</v>
      </c>
      <c r="B808">
        <v>9.3191095117028944E-4</v>
      </c>
      <c r="D808">
        <v>-4.9245991315604032E-3</v>
      </c>
    </row>
    <row r="809" spans="1:4" x14ac:dyDescent="0.25">
      <c r="A809" s="2">
        <v>40980</v>
      </c>
      <c r="B809">
        <v>1.862333466310151E-3</v>
      </c>
      <c r="D809">
        <v>2.1209890185278635E-3</v>
      </c>
    </row>
    <row r="810" spans="1:4" x14ac:dyDescent="0.25">
      <c r="A810" s="2">
        <v>40981</v>
      </c>
      <c r="B810">
        <v>-1.8588716274687833E-3</v>
      </c>
      <c r="D810">
        <v>9.070349932289723E-4</v>
      </c>
    </row>
    <row r="811" spans="1:4" x14ac:dyDescent="0.25">
      <c r="A811" s="2">
        <v>40982</v>
      </c>
      <c r="B811">
        <v>-6.5175499749186017E-3</v>
      </c>
      <c r="D811">
        <v>-1.0270838719058428E-2</v>
      </c>
    </row>
    <row r="812" spans="1:4" x14ac:dyDescent="0.25">
      <c r="A812" s="2">
        <v>40983</v>
      </c>
      <c r="B812">
        <v>-1.8745509457798182E-3</v>
      </c>
      <c r="D812">
        <v>1.6277996158282626E-3</v>
      </c>
    </row>
    <row r="813" spans="1:4" x14ac:dyDescent="0.25">
      <c r="A813" s="2">
        <v>40984</v>
      </c>
      <c r="B813">
        <v>-3.7557695493760646E-3</v>
      </c>
      <c r="D813">
        <v>3.4535730658569186E-3</v>
      </c>
    </row>
    <row r="814" spans="1:4" x14ac:dyDescent="0.25">
      <c r="A814" s="2">
        <v>40987</v>
      </c>
      <c r="B814">
        <v>9.4245089709610319E-4</v>
      </c>
      <c r="D814">
        <v>-1.5183903596627246E-3</v>
      </c>
    </row>
    <row r="815" spans="1:4" x14ac:dyDescent="0.25">
      <c r="A815" s="2">
        <v>40988</v>
      </c>
      <c r="B815">
        <v>0</v>
      </c>
      <c r="D815">
        <v>-4.3592890682084828E-3</v>
      </c>
    </row>
    <row r="816" spans="1:4" x14ac:dyDescent="0.25">
      <c r="A816" s="2">
        <v>40989</v>
      </c>
      <c r="B816">
        <v>4.7081920769609376E-3</v>
      </c>
      <c r="D816">
        <v>2.8510181053347239E-3</v>
      </c>
    </row>
    <row r="817" spans="1:4" x14ac:dyDescent="0.25">
      <c r="A817" s="2">
        <v>40990</v>
      </c>
      <c r="B817">
        <v>2.8115779363067084E-3</v>
      </c>
      <c r="D817">
        <v>7.1072555257356562E-4</v>
      </c>
    </row>
    <row r="818" spans="1:4" x14ac:dyDescent="0.25">
      <c r="A818" s="2">
        <v>40991</v>
      </c>
      <c r="B818">
        <v>9.3452374536506788E-4</v>
      </c>
      <c r="D818">
        <v>4.2614315957585358E-3</v>
      </c>
    </row>
    <row r="819" spans="1:4" x14ac:dyDescent="0.25">
      <c r="A819" s="2">
        <v>40994</v>
      </c>
      <c r="B819">
        <v>-2.8010774555474738E-3</v>
      </c>
      <c r="D819">
        <v>6.5669121096407768E-3</v>
      </c>
    </row>
    <row r="820" spans="1:4" x14ac:dyDescent="0.25">
      <c r="A820" s="2">
        <v>40995</v>
      </c>
      <c r="B820">
        <v>2.8089455295441379E-3</v>
      </c>
      <c r="D820">
        <v>4.0150298043140076E-4</v>
      </c>
    </row>
    <row r="821" spans="1:4" x14ac:dyDescent="0.25">
      <c r="A821" s="2">
        <v>40996</v>
      </c>
      <c r="B821">
        <v>1.8674262294231525E-3</v>
      </c>
      <c r="D821">
        <v>2.0070263684202061E-4</v>
      </c>
    </row>
    <row r="822" spans="1:4" x14ac:dyDescent="0.25">
      <c r="A822" s="2">
        <v>40997</v>
      </c>
      <c r="B822">
        <v>1.8639454488016405E-3</v>
      </c>
      <c r="D822">
        <v>-4.4137052478747663E-3</v>
      </c>
    </row>
    <row r="823" spans="1:4" x14ac:dyDescent="0.25">
      <c r="A823" s="2">
        <v>40998</v>
      </c>
      <c r="B823">
        <v>2.0506318249573496E-3</v>
      </c>
      <c r="D823">
        <v>5.843849428289527E-3</v>
      </c>
    </row>
    <row r="824" spans="1:4" x14ac:dyDescent="0.25">
      <c r="A824" s="2">
        <v>41001</v>
      </c>
      <c r="B824">
        <v>9.3036569648163869E-4</v>
      </c>
      <c r="D824">
        <v>6.179510622708051E-3</v>
      </c>
    </row>
    <row r="825" spans="1:4" x14ac:dyDescent="0.25">
      <c r="A825" s="2">
        <v>41002</v>
      </c>
      <c r="B825">
        <v>0</v>
      </c>
      <c r="D825">
        <v>-7.577289416830113E-3</v>
      </c>
    </row>
    <row r="826" spans="1:4" x14ac:dyDescent="0.25">
      <c r="A826" s="2">
        <v>41003</v>
      </c>
      <c r="B826">
        <v>9.2937797085257401E-4</v>
      </c>
      <c r="D826">
        <v>-5.1235863508306556E-3</v>
      </c>
    </row>
    <row r="827" spans="1:4" x14ac:dyDescent="0.25">
      <c r="A827" s="2">
        <v>41004</v>
      </c>
      <c r="B827">
        <v>9.2839219374241111E-4</v>
      </c>
      <c r="D827">
        <v>-5.1499833055269617E-3</v>
      </c>
    </row>
    <row r="828" spans="1:4" x14ac:dyDescent="0.25">
      <c r="A828" s="2">
        <v>41008</v>
      </c>
      <c r="B828">
        <v>0</v>
      </c>
      <c r="D828">
        <v>8.7292050008422883E-3</v>
      </c>
    </row>
    <row r="829" spans="1:4" x14ac:dyDescent="0.25">
      <c r="A829" s="2">
        <v>41009</v>
      </c>
      <c r="B829">
        <v>2.7829614086691823E-3</v>
      </c>
      <c r="D829">
        <v>-4.3268326908582067E-3</v>
      </c>
    </row>
    <row r="830" spans="1:4" x14ac:dyDescent="0.25">
      <c r="A830" s="2">
        <v>41010</v>
      </c>
      <c r="B830">
        <v>-9.2507934277863413E-4</v>
      </c>
      <c r="D830">
        <v>4.0424622881825023E-3</v>
      </c>
    </row>
    <row r="831" spans="1:4" x14ac:dyDescent="0.25">
      <c r="A831" s="2">
        <v>41011</v>
      </c>
      <c r="B831">
        <v>-9.2593590695932981E-4</v>
      </c>
      <c r="D831">
        <v>6.240593966018837E-3</v>
      </c>
    </row>
    <row r="832" spans="1:4" x14ac:dyDescent="0.25">
      <c r="A832" s="2">
        <v>41012</v>
      </c>
      <c r="B832">
        <v>1.8535881177130786E-3</v>
      </c>
      <c r="D832">
        <v>-9.7029247620852299E-3</v>
      </c>
    </row>
    <row r="833" spans="1:4" x14ac:dyDescent="0.25">
      <c r="A833" s="2">
        <v>41015</v>
      </c>
      <c r="B833">
        <v>-9.2507934277863413E-4</v>
      </c>
      <c r="D833">
        <v>6.0605829362572194E-3</v>
      </c>
    </row>
    <row r="834" spans="1:4" x14ac:dyDescent="0.25">
      <c r="A834" s="2">
        <v>41016</v>
      </c>
      <c r="B834">
        <v>0</v>
      </c>
      <c r="D834">
        <v>-2.0079928205140041E-3</v>
      </c>
    </row>
    <row r="835" spans="1:4" x14ac:dyDescent="0.25">
      <c r="A835" s="2">
        <v>41017</v>
      </c>
      <c r="B835">
        <v>0</v>
      </c>
      <c r="D835">
        <v>8.0484070938147134E-4</v>
      </c>
    </row>
    <row r="836" spans="1:4" x14ac:dyDescent="0.25">
      <c r="A836" s="2">
        <v>41018</v>
      </c>
      <c r="B836">
        <v>0</v>
      </c>
      <c r="D836">
        <v>1.0052180291559853E-3</v>
      </c>
    </row>
    <row r="837" spans="1:4" x14ac:dyDescent="0.25">
      <c r="A837" s="2">
        <v>41019</v>
      </c>
      <c r="B837">
        <v>0</v>
      </c>
      <c r="D837">
        <v>3.7155580120040721E-3</v>
      </c>
    </row>
    <row r="838" spans="1:4" x14ac:dyDescent="0.25">
      <c r="A838" s="2">
        <v>41022</v>
      </c>
      <c r="B838">
        <v>9.2593590695888572E-4</v>
      </c>
      <c r="D838">
        <v>-1.800903104397622E-3</v>
      </c>
    </row>
    <row r="839" spans="1:4" x14ac:dyDescent="0.25">
      <c r="A839" s="2">
        <v>41023</v>
      </c>
      <c r="B839">
        <v>0</v>
      </c>
      <c r="D839">
        <v>-1.3029777243644958E-3</v>
      </c>
    </row>
    <row r="840" spans="1:4" x14ac:dyDescent="0.25">
      <c r="A840" s="2">
        <v>41024</v>
      </c>
      <c r="B840">
        <v>0</v>
      </c>
      <c r="D840">
        <v>2.4086536066263431E-3</v>
      </c>
    </row>
    <row r="841" spans="1:4" x14ac:dyDescent="0.25">
      <c r="A841" s="2">
        <v>41025</v>
      </c>
      <c r="B841">
        <v>9.2507934277885617E-4</v>
      </c>
      <c r="D841">
        <v>6.3076205236991534E-3</v>
      </c>
    </row>
    <row r="842" spans="1:4" x14ac:dyDescent="0.25">
      <c r="A842" s="2">
        <v>41026</v>
      </c>
      <c r="B842">
        <v>-9.2422436191352819E-4</v>
      </c>
      <c r="D842">
        <v>1.7908691301278257E-3</v>
      </c>
    </row>
    <row r="843" spans="1:4" x14ac:dyDescent="0.25">
      <c r="A843" s="2">
        <v>41029</v>
      </c>
      <c r="B843">
        <v>2.8732653538512398E-3</v>
      </c>
      <c r="D843">
        <v>2.5821239086756265E-3</v>
      </c>
    </row>
    <row r="844" spans="1:4" x14ac:dyDescent="0.25">
      <c r="A844" s="2">
        <v>41030</v>
      </c>
      <c r="B844">
        <v>1.8485188358430271E-3</v>
      </c>
      <c r="D844">
        <v>-3.9627803826158825E-5</v>
      </c>
    </row>
    <row r="845" spans="1:4" x14ac:dyDescent="0.25">
      <c r="A845" s="2">
        <v>41031</v>
      </c>
      <c r="B845">
        <v>9.2243225397115047E-4</v>
      </c>
      <c r="D845">
        <v>-2.3810041003581306E-3</v>
      </c>
    </row>
    <row r="846" spans="1:4" x14ac:dyDescent="0.25">
      <c r="A846" s="2">
        <v>41032</v>
      </c>
      <c r="B846">
        <v>9.2158215686488631E-4</v>
      </c>
      <c r="D846">
        <v>1.1933486298081331E-3</v>
      </c>
    </row>
    <row r="847" spans="1:4" x14ac:dyDescent="0.25">
      <c r="A847" s="2">
        <v>41033</v>
      </c>
      <c r="B847">
        <v>0</v>
      </c>
      <c r="D847">
        <v>-1.3905388777494254E-3</v>
      </c>
    </row>
    <row r="848" spans="1:4" x14ac:dyDescent="0.25">
      <c r="A848" s="2">
        <v>41036</v>
      </c>
      <c r="B848">
        <v>9.2085520627849249E-4</v>
      </c>
      <c r="D848">
        <v>-3.8790499128380507E-3</v>
      </c>
    </row>
    <row r="849" spans="1:4" x14ac:dyDescent="0.25">
      <c r="A849" s="2">
        <v>41037</v>
      </c>
      <c r="B849">
        <v>0</v>
      </c>
      <c r="D849">
        <v>-9.9848635570021216E-4</v>
      </c>
    </row>
    <row r="850" spans="1:4" x14ac:dyDescent="0.25">
      <c r="A850" s="2">
        <v>41038</v>
      </c>
      <c r="B850">
        <v>-9.2000801211078453E-4</v>
      </c>
      <c r="D850">
        <v>-3.6981739216774834E-3</v>
      </c>
    </row>
    <row r="851" spans="1:4" x14ac:dyDescent="0.25">
      <c r="A851" s="2">
        <v>41039</v>
      </c>
      <c r="B851">
        <v>0</v>
      </c>
      <c r="D851">
        <v>-9.0293390910411997E-4</v>
      </c>
    </row>
    <row r="852" spans="1:4" x14ac:dyDescent="0.25">
      <c r="A852" s="2">
        <v>41040</v>
      </c>
      <c r="B852">
        <v>0</v>
      </c>
      <c r="D852">
        <v>2.1087111665467617E-3</v>
      </c>
    </row>
    <row r="853" spans="1:4" x14ac:dyDescent="0.25">
      <c r="A853" s="2">
        <v>41043</v>
      </c>
      <c r="B853">
        <v>-1.8414672503695995E-3</v>
      </c>
      <c r="D853">
        <v>-6.9138501781309536E-3</v>
      </c>
    </row>
    <row r="854" spans="1:4" x14ac:dyDescent="0.25">
      <c r="A854" s="2">
        <v>41044</v>
      </c>
      <c r="B854">
        <v>0</v>
      </c>
      <c r="D854">
        <v>-8.8789902100948614E-3</v>
      </c>
    </row>
    <row r="855" spans="1:4" x14ac:dyDescent="0.25">
      <c r="A855" s="2">
        <v>41045</v>
      </c>
      <c r="B855">
        <v>0</v>
      </c>
      <c r="D855">
        <v>-3.0547782384482414E-4</v>
      </c>
    </row>
    <row r="856" spans="1:4" x14ac:dyDescent="0.25">
      <c r="A856" s="2">
        <v>41046</v>
      </c>
      <c r="B856">
        <v>-9.225540593656989E-4</v>
      </c>
      <c r="D856">
        <v>-1.3237993559359618E-3</v>
      </c>
    </row>
    <row r="857" spans="1:4" x14ac:dyDescent="0.25">
      <c r="A857" s="2">
        <v>41047</v>
      </c>
      <c r="B857">
        <v>0</v>
      </c>
      <c r="D857">
        <v>2.2433113689332984E-3</v>
      </c>
    </row>
    <row r="858" spans="1:4" x14ac:dyDescent="0.25">
      <c r="A858" s="2">
        <v>41050</v>
      </c>
      <c r="B858">
        <v>-1.8466899846784068E-3</v>
      </c>
      <c r="D858">
        <v>1.8313205607454197E-3</v>
      </c>
    </row>
    <row r="859" spans="1:4" x14ac:dyDescent="0.25">
      <c r="A859" s="2">
        <v>41051</v>
      </c>
      <c r="B859">
        <v>1.8501065579294984E-3</v>
      </c>
      <c r="D859">
        <v>-5.4839188688581286E-3</v>
      </c>
    </row>
    <row r="860" spans="1:4" x14ac:dyDescent="0.25">
      <c r="A860" s="2">
        <v>41052</v>
      </c>
      <c r="B860">
        <v>0</v>
      </c>
      <c r="D860">
        <v>-1.0211213089132976E-3</v>
      </c>
    </row>
    <row r="861" spans="1:4" x14ac:dyDescent="0.25">
      <c r="A861" s="2">
        <v>41053</v>
      </c>
      <c r="B861">
        <v>9.234059512746029E-4</v>
      </c>
      <c r="D861">
        <v>-3.8843367863765632E-3</v>
      </c>
    </row>
    <row r="862" spans="1:4" x14ac:dyDescent="0.25">
      <c r="A862" s="2">
        <v>41054</v>
      </c>
      <c r="B862">
        <v>-1.8451081187312868E-3</v>
      </c>
      <c r="D862">
        <v>2.1550184040008968E-3</v>
      </c>
    </row>
    <row r="863" spans="1:4" x14ac:dyDescent="0.25">
      <c r="A863" s="2">
        <v>41058</v>
      </c>
      <c r="B863">
        <v>9.2425941792129152E-4</v>
      </c>
      <c r="D863">
        <v>-3.3790938503381884E-3</v>
      </c>
    </row>
    <row r="864" spans="1:4" x14ac:dyDescent="0.25">
      <c r="A864" s="2">
        <v>41059</v>
      </c>
      <c r="B864">
        <v>-9.2340595127438085E-4</v>
      </c>
      <c r="D864">
        <v>-1.8493727214311528E-3</v>
      </c>
    </row>
    <row r="865" spans="1:4" x14ac:dyDescent="0.25">
      <c r="A865" s="2">
        <v>41060</v>
      </c>
      <c r="B865">
        <v>5.095019701222725E-3</v>
      </c>
      <c r="D865">
        <v>2.5733316738938417E-3</v>
      </c>
    </row>
    <row r="866" spans="1:4" x14ac:dyDescent="0.25">
      <c r="A866" s="2">
        <v>41061</v>
      </c>
      <c r="B866">
        <v>1.8432763453930523E-3</v>
      </c>
      <c r="D866">
        <v>-3.3612217456111537E-3</v>
      </c>
    </row>
    <row r="867" spans="1:4" x14ac:dyDescent="0.25">
      <c r="A867" s="2">
        <v>41064</v>
      </c>
      <c r="B867">
        <v>0</v>
      </c>
      <c r="D867">
        <v>2.990930834789296E-3</v>
      </c>
    </row>
    <row r="868" spans="1:4" x14ac:dyDescent="0.25">
      <c r="A868" s="2">
        <v>41065</v>
      </c>
      <c r="B868">
        <v>-9.1994246451265749E-4</v>
      </c>
      <c r="D868">
        <v>-5.0385334082102551E-3</v>
      </c>
    </row>
    <row r="869" spans="1:4" x14ac:dyDescent="0.25">
      <c r="A869" s="2">
        <v>41066</v>
      </c>
      <c r="B869">
        <v>-1.8415790758188333E-3</v>
      </c>
      <c r="D869">
        <v>8.9912627699231251E-3</v>
      </c>
    </row>
    <row r="870" spans="1:4" x14ac:dyDescent="0.25">
      <c r="A870" s="2">
        <v>41067</v>
      </c>
      <c r="B870">
        <v>-2.7675866435447061E-3</v>
      </c>
      <c r="D870">
        <v>-4.3019365034824286E-3</v>
      </c>
    </row>
    <row r="871" spans="1:4" x14ac:dyDescent="0.25">
      <c r="A871" s="2">
        <v>41068</v>
      </c>
      <c r="B871">
        <v>1.8500970502759451E-3</v>
      </c>
      <c r="D871">
        <v>3.0860570977342405E-4</v>
      </c>
    </row>
    <row r="872" spans="1:4" x14ac:dyDescent="0.25">
      <c r="A872" s="2">
        <v>41071</v>
      </c>
      <c r="B872">
        <v>-2.7700207681617961E-3</v>
      </c>
      <c r="D872">
        <v>-2.9823293395472295E-3</v>
      </c>
    </row>
    <row r="873" spans="1:4" x14ac:dyDescent="0.25">
      <c r="A873" s="2">
        <v>41072</v>
      </c>
      <c r="B873">
        <v>-2.7777150966673547E-3</v>
      </c>
      <c r="D873">
        <v>-3.7132541286039045E-3</v>
      </c>
    </row>
    <row r="874" spans="1:4" x14ac:dyDescent="0.25">
      <c r="A874" s="2">
        <v>41073</v>
      </c>
      <c r="B874">
        <v>-3.7141810136683828E-3</v>
      </c>
      <c r="D874">
        <v>1.0355422525587521E-4</v>
      </c>
    </row>
    <row r="875" spans="1:4" x14ac:dyDescent="0.25">
      <c r="A875" s="2">
        <v>41074</v>
      </c>
      <c r="B875">
        <v>9.3206828063130409E-4</v>
      </c>
      <c r="D875">
        <v>5.3830671249899265E-3</v>
      </c>
    </row>
    <row r="876" spans="1:4" x14ac:dyDescent="0.25">
      <c r="A876" s="2">
        <v>41075</v>
      </c>
      <c r="B876">
        <v>2.793355704055811E-3</v>
      </c>
      <c r="D876">
        <v>1.019354420285179E-2</v>
      </c>
    </row>
    <row r="877" spans="1:4" x14ac:dyDescent="0.25">
      <c r="A877" s="2">
        <v>41078</v>
      </c>
      <c r="B877">
        <v>9.2836178270916392E-4</v>
      </c>
      <c r="D877">
        <v>-9.377206386873671E-3</v>
      </c>
    </row>
    <row r="878" spans="1:4" x14ac:dyDescent="0.25">
      <c r="A878" s="2">
        <v>41079</v>
      </c>
      <c r="B878">
        <v>9.2774512719961955E-4</v>
      </c>
      <c r="D878">
        <v>9.2601516869530442E-3</v>
      </c>
    </row>
    <row r="879" spans="1:4" x14ac:dyDescent="0.25">
      <c r="A879" s="2">
        <v>41080</v>
      </c>
      <c r="B879">
        <v>9.2676312686501561E-4</v>
      </c>
      <c r="D879">
        <v>-3.3641974605292946E-3</v>
      </c>
    </row>
    <row r="880" spans="1:4" x14ac:dyDescent="0.25">
      <c r="A880" s="2">
        <v>41081</v>
      </c>
      <c r="B880">
        <v>2.7777150966676878E-3</v>
      </c>
      <c r="D880">
        <v>-6.8535828755625916E-3</v>
      </c>
    </row>
    <row r="881" spans="1:4" x14ac:dyDescent="0.25">
      <c r="A881" s="2">
        <v>41082</v>
      </c>
      <c r="B881">
        <v>0</v>
      </c>
      <c r="D881">
        <v>5.2528787277019706E-3</v>
      </c>
    </row>
    <row r="882" spans="1:4" x14ac:dyDescent="0.25">
      <c r="A882" s="2">
        <v>41085</v>
      </c>
      <c r="B882">
        <v>0</v>
      </c>
      <c r="D882">
        <v>-4.6106205550346946E-3</v>
      </c>
    </row>
    <row r="883" spans="1:4" x14ac:dyDescent="0.25">
      <c r="A883" s="2">
        <v>41086</v>
      </c>
      <c r="B883">
        <v>-1.846680512107679E-3</v>
      </c>
      <c r="D883">
        <v>-2.7792530802447368E-3</v>
      </c>
    </row>
    <row r="884" spans="1:4" x14ac:dyDescent="0.25">
      <c r="A884" s="2">
        <v>41087</v>
      </c>
      <c r="B884">
        <v>0</v>
      </c>
      <c r="D884">
        <v>-3.5094594304168059E-3</v>
      </c>
    </row>
    <row r="885" spans="1:4" x14ac:dyDescent="0.25">
      <c r="A885" s="2">
        <v>41088</v>
      </c>
      <c r="B885">
        <v>0</v>
      </c>
      <c r="D885">
        <v>7.250810448002909E-4</v>
      </c>
    </row>
    <row r="886" spans="1:4" x14ac:dyDescent="0.25">
      <c r="A886" s="2">
        <v>41089</v>
      </c>
      <c r="B886">
        <v>5.0065463847674962E-3</v>
      </c>
      <c r="D886">
        <v>1.67684873015157E-2</v>
      </c>
    </row>
    <row r="887" spans="1:4" x14ac:dyDescent="0.25">
      <c r="A887" s="2">
        <v>41092</v>
      </c>
      <c r="B887">
        <v>3.6900064749718631E-3</v>
      </c>
      <c r="D887">
        <v>1.457445106068711E-3</v>
      </c>
    </row>
    <row r="888" spans="1:4" x14ac:dyDescent="0.25">
      <c r="A888" s="2">
        <v>41093</v>
      </c>
      <c r="B888">
        <v>9.1911009653578013E-4</v>
      </c>
      <c r="D888">
        <v>8.1411052943947126E-4</v>
      </c>
    </row>
    <row r="889" spans="1:4" x14ac:dyDescent="0.25">
      <c r="A889" s="2">
        <v>41095</v>
      </c>
      <c r="B889">
        <v>0</v>
      </c>
      <c r="D889">
        <v>-8.5417560299161366E-3</v>
      </c>
    </row>
    <row r="890" spans="1:4" x14ac:dyDescent="0.25">
      <c r="A890" s="2">
        <v>41096</v>
      </c>
      <c r="B890">
        <v>1.8365322177671395E-3</v>
      </c>
      <c r="D890">
        <v>-4.307673107700638E-3</v>
      </c>
    </row>
    <row r="891" spans="1:4" x14ac:dyDescent="0.25">
      <c r="A891" s="2">
        <v>41099</v>
      </c>
      <c r="B891">
        <v>0</v>
      </c>
      <c r="D891">
        <v>-9.2711335457873467E-4</v>
      </c>
    </row>
    <row r="892" spans="1:4" x14ac:dyDescent="0.25">
      <c r="A892" s="2">
        <v>41100</v>
      </c>
      <c r="B892">
        <v>1.8332860263534645E-3</v>
      </c>
      <c r="D892">
        <v>1.1341420328678797E-3</v>
      </c>
    </row>
    <row r="893" spans="1:4" x14ac:dyDescent="0.25">
      <c r="A893" s="2">
        <v>41101</v>
      </c>
      <c r="B893">
        <v>2.7447164749005992E-3</v>
      </c>
      <c r="D893">
        <v>8.2389674294429671E-3</v>
      </c>
    </row>
    <row r="894" spans="1:4" x14ac:dyDescent="0.25">
      <c r="A894" s="2">
        <v>41102</v>
      </c>
      <c r="B894">
        <v>1.8246824914551762E-3</v>
      </c>
      <c r="D894">
        <v>-1.0214418085255916E-3</v>
      </c>
    </row>
    <row r="895" spans="1:4" x14ac:dyDescent="0.25">
      <c r="A895" s="2">
        <v>41103</v>
      </c>
      <c r="B895">
        <v>0</v>
      </c>
      <c r="D895">
        <v>2.9651746640912968E-3</v>
      </c>
    </row>
    <row r="896" spans="1:4" x14ac:dyDescent="0.25">
      <c r="A896" s="2">
        <v>41106</v>
      </c>
      <c r="B896">
        <v>1.8215985056595496E-3</v>
      </c>
      <c r="D896">
        <v>4.2818378979885274E-3</v>
      </c>
    </row>
    <row r="897" spans="1:4" x14ac:dyDescent="0.25">
      <c r="A897" s="2">
        <v>41107</v>
      </c>
      <c r="B897">
        <v>9.0908341378037605E-4</v>
      </c>
      <c r="D897">
        <v>2.2332845526367162E-3</v>
      </c>
    </row>
    <row r="898" spans="1:4" x14ac:dyDescent="0.25">
      <c r="A898" s="2">
        <v>41108</v>
      </c>
      <c r="B898">
        <v>1.816515463481716E-3</v>
      </c>
      <c r="D898">
        <v>0</v>
      </c>
    </row>
    <row r="899" spans="1:4" x14ac:dyDescent="0.25">
      <c r="A899" s="2">
        <v>41109</v>
      </c>
      <c r="B899">
        <v>9.0661085909604644E-4</v>
      </c>
      <c r="D899">
        <v>2.1270088267761889E-3</v>
      </c>
    </row>
    <row r="900" spans="1:4" x14ac:dyDescent="0.25">
      <c r="A900" s="2">
        <v>41110</v>
      </c>
      <c r="B900">
        <v>0</v>
      </c>
      <c r="D900">
        <v>-5.1546622215157267E-3</v>
      </c>
    </row>
    <row r="901" spans="1:4" x14ac:dyDescent="0.25">
      <c r="A901" s="2">
        <v>41113</v>
      </c>
      <c r="B901">
        <v>-2.7173689810614521E-3</v>
      </c>
      <c r="D901">
        <v>-7.010080643078509E-3</v>
      </c>
    </row>
    <row r="902" spans="1:4" x14ac:dyDescent="0.25">
      <c r="A902" s="2">
        <v>41114</v>
      </c>
      <c r="B902">
        <v>-3.6330309269637651E-3</v>
      </c>
      <c r="D902">
        <v>-4.6040288319573186E-3</v>
      </c>
    </row>
    <row r="903" spans="1:4" x14ac:dyDescent="0.25">
      <c r="A903" s="2">
        <v>41115</v>
      </c>
      <c r="B903">
        <v>0</v>
      </c>
      <c r="D903">
        <v>3.9058305556729511E-3</v>
      </c>
    </row>
    <row r="904" spans="1:4" x14ac:dyDescent="0.25">
      <c r="A904" s="2">
        <v>41116</v>
      </c>
      <c r="B904">
        <v>3.6462779675883183E-3</v>
      </c>
      <c r="D904">
        <v>9.8290061299253217E-3</v>
      </c>
    </row>
    <row r="905" spans="1:4" x14ac:dyDescent="0.25">
      <c r="A905" s="2">
        <v>41117</v>
      </c>
      <c r="B905">
        <v>-9.0825773174108004E-4</v>
      </c>
      <c r="D905">
        <v>4.0556545485270767E-4</v>
      </c>
    </row>
    <row r="906" spans="1:4" x14ac:dyDescent="0.25">
      <c r="A906" s="2">
        <v>41120</v>
      </c>
      <c r="B906">
        <v>0</v>
      </c>
      <c r="D906">
        <v>5.0676192146248411E-4</v>
      </c>
    </row>
    <row r="907" spans="1:4" x14ac:dyDescent="0.25">
      <c r="A907" s="2">
        <v>41121</v>
      </c>
      <c r="B907">
        <v>3.9172557247579842E-3</v>
      </c>
      <c r="D907">
        <v>4.3557582147562002E-3</v>
      </c>
    </row>
    <row r="908" spans="1:4" x14ac:dyDescent="0.25">
      <c r="A908" s="2">
        <v>41122</v>
      </c>
      <c r="B908">
        <v>9.0732156009298848E-4</v>
      </c>
      <c r="D908">
        <v>-7.2397743425979266E-3</v>
      </c>
    </row>
    <row r="909" spans="1:4" x14ac:dyDescent="0.25">
      <c r="A909" s="2">
        <v>41123</v>
      </c>
      <c r="B909">
        <v>0</v>
      </c>
      <c r="D909">
        <v>-6.1022039775060488E-4</v>
      </c>
    </row>
    <row r="910" spans="1:4" x14ac:dyDescent="0.25">
      <c r="A910" s="2">
        <v>41124</v>
      </c>
      <c r="B910">
        <v>1.8133548968253255E-3</v>
      </c>
      <c r="D910">
        <v>1.1703648651443688E-2</v>
      </c>
    </row>
    <row r="911" spans="1:4" x14ac:dyDescent="0.25">
      <c r="A911" s="2">
        <v>41127</v>
      </c>
      <c r="B911">
        <v>2.7149308376355208E-3</v>
      </c>
      <c r="D911">
        <v>4.0231437831583783E-4</v>
      </c>
    </row>
    <row r="912" spans="1:4" x14ac:dyDescent="0.25">
      <c r="A912" s="2">
        <v>41128</v>
      </c>
      <c r="B912">
        <v>-2.7075799453466498E-3</v>
      </c>
      <c r="D912">
        <v>-3.016549741796104E-3</v>
      </c>
    </row>
    <row r="913" spans="1:4" x14ac:dyDescent="0.25">
      <c r="A913" s="2">
        <v>41129</v>
      </c>
      <c r="B913">
        <v>0</v>
      </c>
      <c r="D913">
        <v>3.5299915217137379E-3</v>
      </c>
    </row>
    <row r="914" spans="1:4" x14ac:dyDescent="0.25">
      <c r="A914" s="2">
        <v>41130</v>
      </c>
      <c r="B914">
        <v>1.8098351906885579E-3</v>
      </c>
      <c r="D914">
        <v>-2.0100155197696479E-3</v>
      </c>
    </row>
    <row r="915" spans="1:4" x14ac:dyDescent="0.25">
      <c r="A915" s="2">
        <v>41131</v>
      </c>
      <c r="B915">
        <v>9.0346053228240741E-4</v>
      </c>
      <c r="D915">
        <v>1.812689070227913E-3</v>
      </c>
    </row>
    <row r="916" spans="1:4" x14ac:dyDescent="0.25">
      <c r="A916" s="2">
        <v>41134</v>
      </c>
      <c r="B916">
        <v>-9.0264502812476E-4</v>
      </c>
      <c r="D916">
        <v>-2.4125981913548644E-3</v>
      </c>
    </row>
    <row r="917" spans="1:4" x14ac:dyDescent="0.25">
      <c r="A917" s="2">
        <v>41135</v>
      </c>
      <c r="B917">
        <v>0</v>
      </c>
      <c r="D917">
        <v>1.0076408092702938E-3</v>
      </c>
    </row>
    <row r="918" spans="1:4" x14ac:dyDescent="0.25">
      <c r="A918" s="2">
        <v>41136</v>
      </c>
      <c r="B918">
        <v>-9.032235590279436E-4</v>
      </c>
      <c r="D918">
        <v>-5.4358146733437529E-3</v>
      </c>
    </row>
    <row r="919" spans="1:4" x14ac:dyDescent="0.25">
      <c r="A919" s="2">
        <v>41137</v>
      </c>
      <c r="B919">
        <v>-1.8083174061934715E-3</v>
      </c>
      <c r="D919">
        <v>3.2388633333118033E-3</v>
      </c>
    </row>
    <row r="920" spans="1:4" x14ac:dyDescent="0.25">
      <c r="A920" s="2">
        <v>41138</v>
      </c>
      <c r="B920">
        <v>2.7172712043626035E-3</v>
      </c>
      <c r="D920">
        <v>-3.6319617962036199E-3</v>
      </c>
    </row>
    <row r="921" spans="1:4" x14ac:dyDescent="0.25">
      <c r="A921" s="2">
        <v>41141</v>
      </c>
      <c r="B921">
        <v>0</v>
      </c>
      <c r="D921">
        <v>1.3162943212730038E-3</v>
      </c>
    </row>
    <row r="922" spans="1:4" x14ac:dyDescent="0.25">
      <c r="A922" s="2">
        <v>41142</v>
      </c>
      <c r="B922">
        <v>0</v>
      </c>
      <c r="D922">
        <v>6.5729680729600393E-3</v>
      </c>
    </row>
    <row r="923" spans="1:4" x14ac:dyDescent="0.25">
      <c r="A923" s="2">
        <v>41143</v>
      </c>
      <c r="B923">
        <v>1.8068025779371943E-3</v>
      </c>
      <c r="D923">
        <v>8.1374125198858671E-3</v>
      </c>
    </row>
    <row r="924" spans="1:4" x14ac:dyDescent="0.25">
      <c r="A924" s="2">
        <v>41144</v>
      </c>
      <c r="B924">
        <v>9.0171282859197177E-4</v>
      </c>
      <c r="D924">
        <v>2.2920167650308798E-3</v>
      </c>
    </row>
    <row r="925" spans="1:4" x14ac:dyDescent="0.25">
      <c r="A925" s="2">
        <v>41145</v>
      </c>
      <c r="B925">
        <v>9.0078230869683473E-4</v>
      </c>
      <c r="D925">
        <v>-7.9541463574794857E-4</v>
      </c>
    </row>
    <row r="926" spans="1:4" x14ac:dyDescent="0.25">
      <c r="A926" s="2">
        <v>41148</v>
      </c>
      <c r="B926">
        <v>0</v>
      </c>
      <c r="D926">
        <v>-2.1890585868715728E-3</v>
      </c>
    </row>
    <row r="927" spans="1:4" x14ac:dyDescent="0.25">
      <c r="A927" s="2">
        <v>41149</v>
      </c>
      <c r="B927">
        <v>0</v>
      </c>
      <c r="D927">
        <v>4.1882527115792989E-3</v>
      </c>
    </row>
    <row r="928" spans="1:4" x14ac:dyDescent="0.25">
      <c r="A928" s="2">
        <v>41150</v>
      </c>
      <c r="B928">
        <v>0</v>
      </c>
      <c r="D928">
        <v>0</v>
      </c>
    </row>
    <row r="929" spans="1:4" x14ac:dyDescent="0.25">
      <c r="A929" s="2">
        <v>41151</v>
      </c>
      <c r="B929">
        <v>0</v>
      </c>
      <c r="D929">
        <v>9.93291471811375E-5</v>
      </c>
    </row>
    <row r="930" spans="1:4" x14ac:dyDescent="0.25">
      <c r="A930" s="2">
        <v>41152</v>
      </c>
      <c r="B930">
        <v>1.9842349715777363E-3</v>
      </c>
      <c r="D930">
        <v>5.2626223573681852E-3</v>
      </c>
    </row>
    <row r="931" spans="1:4" x14ac:dyDescent="0.25">
      <c r="A931" s="2">
        <v>41156</v>
      </c>
      <c r="B931">
        <v>2.7002238934172862E-3</v>
      </c>
      <c r="D931">
        <v>-8.5073128523305286E-4</v>
      </c>
    </row>
    <row r="932" spans="1:4" x14ac:dyDescent="0.25">
      <c r="A932" s="2">
        <v>41157</v>
      </c>
      <c r="B932">
        <v>8.9765077307357721E-4</v>
      </c>
      <c r="D932">
        <v>8.9104836374276353E-4</v>
      </c>
    </row>
    <row r="933" spans="1:4" x14ac:dyDescent="0.25">
      <c r="A933" s="2">
        <v>41158</v>
      </c>
      <c r="B933">
        <v>0</v>
      </c>
      <c r="D933">
        <v>1.0881458762872498E-3</v>
      </c>
    </row>
    <row r="934" spans="1:4" x14ac:dyDescent="0.25">
      <c r="A934" s="2">
        <v>41159</v>
      </c>
      <c r="B934">
        <v>3.5875002788332555E-3</v>
      </c>
      <c r="D934">
        <v>1.3834011980209837E-2</v>
      </c>
    </row>
    <row r="935" spans="1:4" x14ac:dyDescent="0.25">
      <c r="A935" s="2">
        <v>41162</v>
      </c>
      <c r="B935">
        <v>-8.9363978583989478E-4</v>
      </c>
      <c r="D935">
        <v>-3.7036815884587959E-3</v>
      </c>
    </row>
    <row r="936" spans="1:4" x14ac:dyDescent="0.25">
      <c r="A936" s="2">
        <v>41163</v>
      </c>
      <c r="B936">
        <v>8.9443909219877327E-4</v>
      </c>
      <c r="D936">
        <v>7.532735917937794E-3</v>
      </c>
    </row>
    <row r="937" spans="1:4" x14ac:dyDescent="0.25">
      <c r="A937" s="2">
        <v>41164</v>
      </c>
      <c r="B937">
        <v>1.7872795716800116E-3</v>
      </c>
      <c r="D937">
        <v>9.7095639412914103E-4</v>
      </c>
    </row>
    <row r="938" spans="1:4" x14ac:dyDescent="0.25">
      <c r="A938" s="2">
        <v>41165</v>
      </c>
      <c r="B938">
        <v>8.9204545122800738E-4</v>
      </c>
      <c r="D938">
        <v>5.9171688843799863E-3</v>
      </c>
    </row>
    <row r="939" spans="1:4" x14ac:dyDescent="0.25">
      <c r="A939" s="2">
        <v>41166</v>
      </c>
      <c r="B939">
        <v>0</v>
      </c>
      <c r="D939">
        <v>3.8573956069010151E-4</v>
      </c>
    </row>
    <row r="940" spans="1:4" x14ac:dyDescent="0.25">
      <c r="A940" s="2">
        <v>41169</v>
      </c>
      <c r="B940">
        <v>-8.9125041534920957E-4</v>
      </c>
      <c r="D940">
        <v>-2.8918102411842339E-3</v>
      </c>
    </row>
    <row r="941" spans="1:4" x14ac:dyDescent="0.25">
      <c r="A941" s="2">
        <v>41170</v>
      </c>
      <c r="B941">
        <v>8.9204545122800738E-4</v>
      </c>
      <c r="D941">
        <v>-5.8009398925451539E-4</v>
      </c>
    </row>
    <row r="942" spans="1:4" x14ac:dyDescent="0.25">
      <c r="A942" s="2">
        <v>41171</v>
      </c>
      <c r="B942">
        <v>1.7825008306981971E-3</v>
      </c>
      <c r="D942">
        <v>1.0640420363854375E-3</v>
      </c>
    </row>
    <row r="943" spans="1:4" x14ac:dyDescent="0.25">
      <c r="A943" s="2">
        <v>41172</v>
      </c>
      <c r="B943">
        <v>1.7794456384538915E-3</v>
      </c>
      <c r="D943">
        <v>-6.7638876004638693E-4</v>
      </c>
    </row>
    <row r="944" spans="1:4" x14ac:dyDescent="0.25">
      <c r="A944" s="2">
        <v>41173</v>
      </c>
      <c r="B944">
        <v>8.8808428976672182E-4</v>
      </c>
      <c r="D944">
        <v>-2.1272609640911044E-3</v>
      </c>
    </row>
    <row r="945" spans="1:4" x14ac:dyDescent="0.25">
      <c r="A945" s="2">
        <v>41176</v>
      </c>
      <c r="B945">
        <v>8.8729629586614678E-4</v>
      </c>
      <c r="D945">
        <v>-4.8445485158266077E-4</v>
      </c>
    </row>
    <row r="946" spans="1:4" x14ac:dyDescent="0.25">
      <c r="A946" s="2">
        <v>41177</v>
      </c>
      <c r="B946">
        <v>-1.7730193981877473E-3</v>
      </c>
      <c r="D946">
        <v>-3.8778618944603771E-3</v>
      </c>
    </row>
    <row r="947" spans="1:4" x14ac:dyDescent="0.25">
      <c r="A947" s="2">
        <v>41178</v>
      </c>
      <c r="B947">
        <v>3.5523371590673314E-3</v>
      </c>
      <c r="D947">
        <v>-3.4063104872545935E-3</v>
      </c>
    </row>
    <row r="948" spans="1:4" x14ac:dyDescent="0.25">
      <c r="A948" s="2">
        <v>41179</v>
      </c>
      <c r="B948">
        <v>-8.8494068209832299E-4</v>
      </c>
      <c r="D948">
        <v>3.7109152544145818E-3</v>
      </c>
    </row>
    <row r="949" spans="1:4" x14ac:dyDescent="0.25">
      <c r="A949" s="2">
        <v>41180</v>
      </c>
      <c r="B949">
        <v>3.6384388894159514E-3</v>
      </c>
      <c r="D949">
        <v>0</v>
      </c>
    </row>
    <row r="950" spans="1:4" x14ac:dyDescent="0.25">
      <c r="A950" s="2">
        <v>41183</v>
      </c>
      <c r="B950">
        <v>-8.8424643465234709E-4</v>
      </c>
      <c r="D950">
        <v>1.4043861497885501E-3</v>
      </c>
    </row>
    <row r="951" spans="1:4" x14ac:dyDescent="0.25">
      <c r="A951" s="2">
        <v>41184</v>
      </c>
      <c r="B951">
        <v>8.8502901840636916E-4</v>
      </c>
      <c r="D951">
        <v>4.1877779036969542E-3</v>
      </c>
    </row>
    <row r="952" spans="1:4" x14ac:dyDescent="0.25">
      <c r="A952" s="2">
        <v>41185</v>
      </c>
      <c r="B952">
        <v>8.8401537992677248E-4</v>
      </c>
      <c r="D952">
        <v>-2.036654645117153E-3</v>
      </c>
    </row>
    <row r="953" spans="1:4" x14ac:dyDescent="0.25">
      <c r="A953" s="2">
        <v>41186</v>
      </c>
      <c r="B953">
        <v>-8.832345869678182E-4</v>
      </c>
      <c r="D953">
        <v>4.3731477602477753E-3</v>
      </c>
    </row>
    <row r="954" spans="1:4" x14ac:dyDescent="0.25">
      <c r="A954" s="2">
        <v>41187</v>
      </c>
      <c r="B954">
        <v>-8.8424643465234709E-4</v>
      </c>
      <c r="D954">
        <v>1.4513924167645076E-3</v>
      </c>
    </row>
    <row r="955" spans="1:4" x14ac:dyDescent="0.25">
      <c r="A955" s="2">
        <v>41190</v>
      </c>
      <c r="B955">
        <v>1.7698267775971832E-3</v>
      </c>
      <c r="D955">
        <v>-4.5410737386771816E-3</v>
      </c>
    </row>
    <row r="956" spans="1:4" x14ac:dyDescent="0.25">
      <c r="A956" s="2">
        <v>41191</v>
      </c>
      <c r="B956">
        <v>-8.832345869678182E-4</v>
      </c>
      <c r="D956">
        <v>-1.7470681887949979E-3</v>
      </c>
    </row>
    <row r="957" spans="1:4" x14ac:dyDescent="0.25">
      <c r="A957" s="2">
        <v>41192</v>
      </c>
      <c r="B957">
        <v>0</v>
      </c>
      <c r="D957">
        <v>-9.7227181737835622E-4</v>
      </c>
    </row>
    <row r="958" spans="1:4" x14ac:dyDescent="0.25">
      <c r="A958" s="2">
        <v>41193</v>
      </c>
      <c r="B958">
        <v>0</v>
      </c>
      <c r="D958">
        <v>7.7861098200404655E-4</v>
      </c>
    </row>
    <row r="959" spans="1:4" x14ac:dyDescent="0.25">
      <c r="A959" s="2">
        <v>41194</v>
      </c>
      <c r="B959">
        <v>1.7682618145791196E-3</v>
      </c>
      <c r="D959">
        <v>3.209197992205759E-3</v>
      </c>
    </row>
    <row r="960" spans="1:4" x14ac:dyDescent="0.25">
      <c r="A960" s="2">
        <v>41197</v>
      </c>
      <c r="B960">
        <v>0</v>
      </c>
      <c r="D960">
        <v>-2.0357382188299633E-3</v>
      </c>
    </row>
    <row r="961" spans="1:4" x14ac:dyDescent="0.25">
      <c r="A961" s="2">
        <v>41198</v>
      </c>
      <c r="B961">
        <v>-1.7651405838873258E-3</v>
      </c>
      <c r="D961">
        <v>2.3312749434647451E-3</v>
      </c>
    </row>
    <row r="962" spans="1:4" x14ac:dyDescent="0.25">
      <c r="A962" s="2">
        <v>41199</v>
      </c>
      <c r="B962">
        <v>-1.7683773419417959E-3</v>
      </c>
      <c r="D962">
        <v>5.039219580163623E-3</v>
      </c>
    </row>
    <row r="963" spans="1:4" x14ac:dyDescent="0.25">
      <c r="A963" s="2">
        <v>41200</v>
      </c>
      <c r="B963">
        <v>-8.8581288608935438E-4</v>
      </c>
      <c r="D963">
        <v>9.6443063173135002E-5</v>
      </c>
    </row>
    <row r="964" spans="1:4" x14ac:dyDescent="0.25">
      <c r="A964" s="2">
        <v>41201</v>
      </c>
      <c r="B964">
        <v>8.8659824624071071E-4</v>
      </c>
      <c r="D964">
        <v>-2.0246766256161175E-3</v>
      </c>
    </row>
    <row r="965" spans="1:4" x14ac:dyDescent="0.25">
      <c r="A965" s="2">
        <v>41204</v>
      </c>
      <c r="B965">
        <v>-8.8581288608935438E-4</v>
      </c>
      <c r="D965">
        <v>-3.9609995656111341E-3</v>
      </c>
    </row>
    <row r="966" spans="1:4" x14ac:dyDescent="0.25">
      <c r="A966" s="2">
        <v>41205</v>
      </c>
      <c r="B966">
        <v>8.8659824624071071E-4</v>
      </c>
      <c r="D966">
        <v>-1.4549117908451148E-3</v>
      </c>
    </row>
    <row r="967" spans="1:4" x14ac:dyDescent="0.25">
      <c r="A967" s="2">
        <v>41206</v>
      </c>
      <c r="B967">
        <v>0</v>
      </c>
      <c r="D967">
        <v>-1.0684925733641659E-3</v>
      </c>
    </row>
    <row r="968" spans="1:4" x14ac:dyDescent="0.25">
      <c r="A968" s="2">
        <v>41207</v>
      </c>
      <c r="B968">
        <v>0</v>
      </c>
      <c r="D968">
        <v>-3.3060639454166596E-3</v>
      </c>
    </row>
    <row r="969" spans="1:4" x14ac:dyDescent="0.25">
      <c r="A969" s="2">
        <v>41208</v>
      </c>
      <c r="B969">
        <v>1.7715100401578532E-3</v>
      </c>
      <c r="D969">
        <v>2.0487650570180094E-3</v>
      </c>
    </row>
    <row r="970" spans="1:4" x14ac:dyDescent="0.25">
      <c r="A970" s="2">
        <v>41213</v>
      </c>
      <c r="B970">
        <v>2.4795637871626308E-3</v>
      </c>
      <c r="D970">
        <v>1.2559643965547096E-2</v>
      </c>
    </row>
    <row r="971" spans="1:4" x14ac:dyDescent="0.25">
      <c r="A971" s="2">
        <v>41214</v>
      </c>
      <c r="B971">
        <v>8.8332697007542649E-4</v>
      </c>
      <c r="D971">
        <v>-1.5513078478896158E-2</v>
      </c>
    </row>
    <row r="972" spans="1:4" x14ac:dyDescent="0.25">
      <c r="A972" s="2">
        <v>41215</v>
      </c>
      <c r="B972">
        <v>-8.8254739216164779E-4</v>
      </c>
      <c r="D972">
        <v>-8.6021958625775996E-3</v>
      </c>
    </row>
    <row r="973" spans="1:4" x14ac:dyDescent="0.25">
      <c r="A973" s="2">
        <v>41218</v>
      </c>
      <c r="B973">
        <v>8.8332697007542649E-4</v>
      </c>
      <c r="D973">
        <v>0</v>
      </c>
    </row>
    <row r="974" spans="1:4" x14ac:dyDescent="0.25">
      <c r="A974" s="2">
        <v>41219</v>
      </c>
      <c r="B974">
        <v>8.8266253206947809E-4</v>
      </c>
      <c r="D974">
        <v>1.2818471915958529E-3</v>
      </c>
    </row>
    <row r="975" spans="1:4" x14ac:dyDescent="0.25">
      <c r="A975" s="2">
        <v>41220</v>
      </c>
      <c r="B975">
        <v>8.8188412599343735E-4</v>
      </c>
      <c r="D975">
        <v>4.0373790973839974E-3</v>
      </c>
    </row>
    <row r="976" spans="1:4" x14ac:dyDescent="0.25">
      <c r="A976" s="2">
        <v>41221</v>
      </c>
      <c r="B976">
        <v>8.8099215463000036E-4</v>
      </c>
      <c r="D976">
        <v>1.6673036983998468E-3</v>
      </c>
    </row>
    <row r="977" spans="1:4" x14ac:dyDescent="0.25">
      <c r="A977" s="2">
        <v>41222</v>
      </c>
      <c r="B977">
        <v>8.803315264680478E-4</v>
      </c>
      <c r="D977">
        <v>-3.9165170611052957E-3</v>
      </c>
    </row>
    <row r="978" spans="1:4" x14ac:dyDescent="0.25">
      <c r="A978" s="2">
        <v>41225</v>
      </c>
      <c r="B978">
        <v>0</v>
      </c>
      <c r="D978">
        <v>-1.3762598877575805E-3</v>
      </c>
    </row>
    <row r="979" spans="1:4" x14ac:dyDescent="0.25">
      <c r="A979" s="2">
        <v>41226</v>
      </c>
      <c r="B979">
        <v>0</v>
      </c>
      <c r="D979">
        <v>0</v>
      </c>
    </row>
    <row r="980" spans="1:4" x14ac:dyDescent="0.25">
      <c r="A980" s="2">
        <v>41227</v>
      </c>
      <c r="B980">
        <v>-8.7955722451393825E-4</v>
      </c>
      <c r="D980">
        <v>5.9065465771790393E-4</v>
      </c>
    </row>
    <row r="981" spans="1:4" x14ac:dyDescent="0.25">
      <c r="A981" s="2">
        <v>41228</v>
      </c>
      <c r="B981">
        <v>8.803315264680478E-4</v>
      </c>
      <c r="D981">
        <v>9.839629216368273E-5</v>
      </c>
    </row>
    <row r="982" spans="1:4" x14ac:dyDescent="0.25">
      <c r="A982" s="2">
        <v>41229</v>
      </c>
      <c r="B982">
        <v>8.7944248968163663E-4</v>
      </c>
      <c r="D982">
        <v>-3.5412209559093633E-3</v>
      </c>
    </row>
    <row r="983" spans="1:4" x14ac:dyDescent="0.25">
      <c r="A983" s="2">
        <v>41232</v>
      </c>
      <c r="B983">
        <v>-1.757454134356129E-3</v>
      </c>
      <c r="D983">
        <v>2.0730396480701518E-3</v>
      </c>
    </row>
    <row r="984" spans="1:4" x14ac:dyDescent="0.25">
      <c r="A984" s="2">
        <v>41233</v>
      </c>
      <c r="B984">
        <v>-8.8021669063109709E-4</v>
      </c>
      <c r="D984">
        <v>2.3642854421663806E-3</v>
      </c>
    </row>
    <row r="985" spans="1:4" x14ac:dyDescent="0.25">
      <c r="A985" s="2">
        <v>41234</v>
      </c>
      <c r="B985">
        <v>0</v>
      </c>
      <c r="D985">
        <v>-5.0123060884931236E-3</v>
      </c>
    </row>
    <row r="986" spans="1:4" x14ac:dyDescent="0.25">
      <c r="A986" s="2">
        <v>41236</v>
      </c>
      <c r="B986">
        <v>8.8099215463000036E-4</v>
      </c>
      <c r="D986">
        <v>1.2742004619762604E-2</v>
      </c>
    </row>
    <row r="987" spans="1:4" x14ac:dyDescent="0.25">
      <c r="A987" s="2">
        <v>41239</v>
      </c>
      <c r="B987">
        <v>0</v>
      </c>
      <c r="D987">
        <v>1.0728662353571838E-3</v>
      </c>
    </row>
    <row r="988" spans="1:4" x14ac:dyDescent="0.25">
      <c r="A988" s="2">
        <v>41240</v>
      </c>
      <c r="B988">
        <v>8.803315264680478E-4</v>
      </c>
      <c r="D988">
        <v>-4.0919611033884973E-3</v>
      </c>
    </row>
    <row r="989" spans="1:4" x14ac:dyDescent="0.25">
      <c r="A989" s="2">
        <v>41241</v>
      </c>
      <c r="B989">
        <v>2.6384422038769895E-3</v>
      </c>
      <c r="D989">
        <v>6.6523226834900306E-3</v>
      </c>
    </row>
    <row r="990" spans="1:4" x14ac:dyDescent="0.25">
      <c r="A990" s="2">
        <v>41242</v>
      </c>
      <c r="B990">
        <v>0</v>
      </c>
      <c r="D990">
        <v>1.4577415959871054E-3</v>
      </c>
    </row>
    <row r="991" spans="1:4" x14ac:dyDescent="0.25">
      <c r="A991" s="2">
        <v>41243</v>
      </c>
      <c r="B991">
        <v>2.5480775557586988E-3</v>
      </c>
      <c r="D991">
        <v>-4.852267844902558E-4</v>
      </c>
    </row>
    <row r="992" spans="1:4" x14ac:dyDescent="0.25">
      <c r="A992" s="2">
        <v>41246</v>
      </c>
      <c r="B992">
        <v>-1.7527655480895632E-3</v>
      </c>
      <c r="D992">
        <v>6.2172425726729763E-3</v>
      </c>
    </row>
    <row r="993" spans="1:4" x14ac:dyDescent="0.25">
      <c r="A993" s="2">
        <v>41247</v>
      </c>
      <c r="B993">
        <v>2.6338790366327025E-3</v>
      </c>
      <c r="D993">
        <v>1.9308364004619882E-3</v>
      </c>
    </row>
    <row r="994" spans="1:4" x14ac:dyDescent="0.25">
      <c r="A994" s="2">
        <v>41248</v>
      </c>
      <c r="B994">
        <v>0</v>
      </c>
      <c r="D994">
        <v>2.8906230062308857E-4</v>
      </c>
    </row>
    <row r="995" spans="1:4" x14ac:dyDescent="0.25">
      <c r="A995" s="2">
        <v>41249</v>
      </c>
      <c r="B995">
        <v>1.7512305998692579E-3</v>
      </c>
      <c r="D995">
        <v>-4.14218618176454E-3</v>
      </c>
    </row>
    <row r="996" spans="1:4" x14ac:dyDescent="0.25">
      <c r="A996" s="2">
        <v>41250</v>
      </c>
      <c r="B996">
        <v>0</v>
      </c>
      <c r="D996">
        <v>-1.9345819917275797E-3</v>
      </c>
    </row>
    <row r="997" spans="1:4" x14ac:dyDescent="0.25">
      <c r="A997" s="2">
        <v>41253</v>
      </c>
      <c r="B997">
        <v>-8.7397073353534527E-4</v>
      </c>
      <c r="D997">
        <v>-3.1983066074970923E-3</v>
      </c>
    </row>
    <row r="998" spans="1:4" x14ac:dyDescent="0.25">
      <c r="A998" s="2">
        <v>41254</v>
      </c>
      <c r="B998">
        <v>0</v>
      </c>
      <c r="D998">
        <v>4.667019910265191E-3</v>
      </c>
    </row>
    <row r="999" spans="1:4" x14ac:dyDescent="0.25">
      <c r="A999" s="2">
        <v>41255</v>
      </c>
      <c r="B999">
        <v>2.734615792177042E-4</v>
      </c>
      <c r="D999">
        <v>2.8065520335551764E-3</v>
      </c>
    </row>
    <row r="1000" spans="1:4" x14ac:dyDescent="0.25">
      <c r="A1000" s="2">
        <v>41256</v>
      </c>
      <c r="B1000">
        <v>-9.1163112827885584E-4</v>
      </c>
      <c r="D1000">
        <v>-1.4476135117267308E-3</v>
      </c>
    </row>
    <row r="1001" spans="1:4" x14ac:dyDescent="0.25">
      <c r="A1001" s="2">
        <v>41257</v>
      </c>
      <c r="B1001">
        <v>0</v>
      </c>
      <c r="D1001">
        <v>4.3490659448963687E-3</v>
      </c>
    </row>
    <row r="1002" spans="1:4" x14ac:dyDescent="0.25">
      <c r="A1002" s="2">
        <v>41260</v>
      </c>
      <c r="B1002">
        <v>0</v>
      </c>
      <c r="D1002">
        <v>-5.773457555140471E-4</v>
      </c>
    </row>
    <row r="1003" spans="1:4" x14ac:dyDescent="0.25">
      <c r="A1003" s="2">
        <v>41261</v>
      </c>
      <c r="B1003">
        <v>-9.1234894280045609E-4</v>
      </c>
      <c r="D1003">
        <v>1.0591221266513795E-3</v>
      </c>
    </row>
    <row r="1004" spans="1:4" x14ac:dyDescent="0.25">
      <c r="A1004" s="2">
        <v>41262</v>
      </c>
      <c r="B1004">
        <v>0</v>
      </c>
      <c r="D1004">
        <v>1.44274034658598E-3</v>
      </c>
    </row>
    <row r="1005" spans="1:4" x14ac:dyDescent="0.25">
      <c r="A1005" s="2">
        <v>41263</v>
      </c>
      <c r="B1005">
        <v>9.1318208350887886E-4</v>
      </c>
      <c r="D1005">
        <v>1.152463458536257E-3</v>
      </c>
    </row>
    <row r="1006" spans="1:4" x14ac:dyDescent="0.25">
      <c r="A1006" s="2">
        <v>41264</v>
      </c>
      <c r="B1006">
        <v>9.1246295791469478E-4</v>
      </c>
      <c r="D1006">
        <v>-4.31693041052994E-3</v>
      </c>
    </row>
    <row r="1007" spans="1:4" x14ac:dyDescent="0.25">
      <c r="A1007" s="2">
        <v>41267</v>
      </c>
      <c r="B1007">
        <v>0</v>
      </c>
      <c r="D1007">
        <v>-3.8539598185338697E-4</v>
      </c>
    </row>
    <row r="1008" spans="1:4" x14ac:dyDescent="0.25">
      <c r="A1008" s="2">
        <v>41269</v>
      </c>
      <c r="B1008">
        <v>-9.1163112827885584E-4</v>
      </c>
      <c r="D1008">
        <v>-1.9689103733704361E-3</v>
      </c>
    </row>
    <row r="1009" spans="1:4" x14ac:dyDescent="0.25">
      <c r="A1009" s="2">
        <v>41270</v>
      </c>
      <c r="B1009">
        <v>9.2945120991139163E-4</v>
      </c>
      <c r="D1009">
        <v>4.4703555667162664E-3</v>
      </c>
    </row>
    <row r="1010" spans="1:4" x14ac:dyDescent="0.25">
      <c r="A1010" s="2">
        <v>41271</v>
      </c>
      <c r="B1010">
        <v>9.2847422330688545E-4</v>
      </c>
      <c r="D1010">
        <v>9.67477900628122E-4</v>
      </c>
    </row>
    <row r="1011" spans="1:4" x14ac:dyDescent="0.25">
      <c r="A1011" s="2">
        <v>41274</v>
      </c>
      <c r="B1011">
        <v>2.6948687105030622E-3</v>
      </c>
      <c r="D1011">
        <v>-5.1227428215181448E-3</v>
      </c>
    </row>
    <row r="1012" spans="1:4" x14ac:dyDescent="0.25">
      <c r="A1012" s="2">
        <v>41276</v>
      </c>
      <c r="B1012">
        <v>-1.8535311976847213E-3</v>
      </c>
      <c r="D1012">
        <v>1.9430392741675018E-3</v>
      </c>
    </row>
    <row r="1013" spans="1:4" x14ac:dyDescent="0.25">
      <c r="A1013" s="2">
        <v>41277</v>
      </c>
      <c r="B1013">
        <v>-9.2854343191961508E-4</v>
      </c>
      <c r="D1013">
        <v>-1.1441876674511464E-2</v>
      </c>
    </row>
    <row r="1014" spans="1:4" x14ac:dyDescent="0.25">
      <c r="A1014" s="2">
        <v>41278</v>
      </c>
      <c r="B1014">
        <v>-1.8586990381452839E-3</v>
      </c>
      <c r="D1014">
        <v>-3.4330350607102433E-3</v>
      </c>
    </row>
    <row r="1015" spans="1:4" x14ac:dyDescent="0.25">
      <c r="A1015" s="2">
        <v>41281</v>
      </c>
      <c r="B1015">
        <v>9.311371298399429E-4</v>
      </c>
      <c r="D1015">
        <v>4.8228120590378953E-3</v>
      </c>
    </row>
    <row r="1016" spans="1:4" x14ac:dyDescent="0.25">
      <c r="A1016" s="2">
        <v>41282</v>
      </c>
      <c r="B1016">
        <v>1.8604279200662432E-3</v>
      </c>
      <c r="D1016">
        <v>2.9392092213309517E-4</v>
      </c>
    </row>
    <row r="1017" spans="1:4" x14ac:dyDescent="0.25">
      <c r="A1017" s="2">
        <v>41283</v>
      </c>
      <c r="B1017">
        <v>9.2842972344175934E-4</v>
      </c>
      <c r="D1017">
        <v>-3.9169731700022803E-3</v>
      </c>
    </row>
    <row r="1018" spans="1:4" x14ac:dyDescent="0.25">
      <c r="A1018" s="2">
        <v>41284</v>
      </c>
      <c r="B1018">
        <v>1.8553642884862054E-3</v>
      </c>
      <c r="D1018">
        <v>9.4376560323705672E-3</v>
      </c>
    </row>
    <row r="1019" spans="1:4" x14ac:dyDescent="0.25">
      <c r="A1019" s="2">
        <v>41285</v>
      </c>
      <c r="B1019">
        <v>-9.2596414343881772E-4</v>
      </c>
      <c r="D1019">
        <v>1.6556186921823368E-3</v>
      </c>
    </row>
    <row r="1020" spans="1:4" x14ac:dyDescent="0.25">
      <c r="A1020" s="2">
        <v>41288</v>
      </c>
      <c r="B1020">
        <v>9.2682234770014027E-4</v>
      </c>
      <c r="D1020">
        <v>3.2085649428257312E-3</v>
      </c>
    </row>
    <row r="1021" spans="1:4" x14ac:dyDescent="0.25">
      <c r="A1021" s="2">
        <v>41289</v>
      </c>
      <c r="B1021">
        <v>9.2596414343915079E-4</v>
      </c>
      <c r="D1021">
        <v>-6.1058000772401533E-3</v>
      </c>
    </row>
    <row r="1022" spans="1:4" x14ac:dyDescent="0.25">
      <c r="A1022" s="2">
        <v>41290</v>
      </c>
      <c r="B1022">
        <v>9.2499423931946545E-4</v>
      </c>
      <c r="D1022">
        <v>4.2905342449870432E-3</v>
      </c>
    </row>
    <row r="1023" spans="1:4" x14ac:dyDescent="0.25">
      <c r="A1023" s="2">
        <v>41291</v>
      </c>
      <c r="B1023">
        <v>-1.8483920143942401E-3</v>
      </c>
      <c r="D1023">
        <v>-2.3302968578958749E-3</v>
      </c>
    </row>
    <row r="1024" spans="1:4" x14ac:dyDescent="0.25">
      <c r="A1024" s="2">
        <v>41292</v>
      </c>
      <c r="B1024">
        <v>0</v>
      </c>
      <c r="D1024">
        <v>-1.9464431389724091E-3</v>
      </c>
    </row>
    <row r="1025" spans="1:4" x14ac:dyDescent="0.25">
      <c r="A1025" s="2">
        <v>41296</v>
      </c>
      <c r="B1025">
        <v>0</v>
      </c>
      <c r="D1025">
        <v>3.2178804986902065E-3</v>
      </c>
    </row>
    <row r="1026" spans="1:4" x14ac:dyDescent="0.25">
      <c r="A1026" s="2">
        <v>41297</v>
      </c>
      <c r="B1026">
        <v>1.851814894257009E-3</v>
      </c>
      <c r="D1026">
        <v>-8.7477051534234906E-4</v>
      </c>
    </row>
    <row r="1027" spans="1:4" x14ac:dyDescent="0.25">
      <c r="A1027" s="2">
        <v>41298</v>
      </c>
      <c r="B1027">
        <v>-9.2413941568358915E-4</v>
      </c>
      <c r="D1027">
        <v>-3.0158349711840726E-3</v>
      </c>
    </row>
    <row r="1028" spans="1:4" x14ac:dyDescent="0.25">
      <c r="A1028" s="2">
        <v>41299</v>
      </c>
      <c r="B1028">
        <v>-1.8502150540802287E-3</v>
      </c>
      <c r="D1028">
        <v>1.268517309767736E-3</v>
      </c>
    </row>
    <row r="1029" spans="1:4" x14ac:dyDescent="0.25">
      <c r="A1029" s="2">
        <v>41302</v>
      </c>
      <c r="B1029">
        <v>-2.7803535453849726E-3</v>
      </c>
      <c r="D1029">
        <v>-5.0677719750438222E-3</v>
      </c>
    </row>
    <row r="1030" spans="1:4" x14ac:dyDescent="0.25">
      <c r="A1030" s="2">
        <v>41303</v>
      </c>
      <c r="B1030">
        <v>0</v>
      </c>
      <c r="D1030">
        <v>6.3669484300981072E-3</v>
      </c>
    </row>
    <row r="1031" spans="1:4" x14ac:dyDescent="0.25">
      <c r="A1031" s="2">
        <v>41304</v>
      </c>
      <c r="B1031">
        <v>-9.2929261199281576E-4</v>
      </c>
      <c r="D1031">
        <v>1.2653776986715215E-3</v>
      </c>
    </row>
    <row r="1032" spans="1:4" x14ac:dyDescent="0.25">
      <c r="A1032" s="2">
        <v>41305</v>
      </c>
      <c r="B1032">
        <v>3.2603911011144238E-3</v>
      </c>
      <c r="D1032">
        <v>2.1385535519842236E-3</v>
      </c>
    </row>
    <row r="1033" spans="1:4" x14ac:dyDescent="0.25">
      <c r="A1033" s="2">
        <v>41306</v>
      </c>
      <c r="B1033">
        <v>1.8569935553671701E-3</v>
      </c>
      <c r="D1033">
        <v>-6.2128425920915387E-4</v>
      </c>
    </row>
    <row r="1034" spans="1:4" x14ac:dyDescent="0.25">
      <c r="A1034" s="2">
        <v>41309</v>
      </c>
      <c r="B1034">
        <v>-9.2688910040539252E-4</v>
      </c>
      <c r="D1034">
        <v>-4.8571931469234553E-3</v>
      </c>
    </row>
    <row r="1035" spans="1:4" x14ac:dyDescent="0.25">
      <c r="A1035" s="2">
        <v>41310</v>
      </c>
      <c r="B1035">
        <v>0</v>
      </c>
      <c r="D1035">
        <v>0</v>
      </c>
    </row>
    <row r="1036" spans="1:4" x14ac:dyDescent="0.25">
      <c r="A1036" s="2">
        <v>41311</v>
      </c>
      <c r="B1036">
        <v>0</v>
      </c>
      <c r="D1036">
        <v>-4.392861036256801E-3</v>
      </c>
    </row>
    <row r="1037" spans="1:4" x14ac:dyDescent="0.25">
      <c r="A1037" s="2">
        <v>41312</v>
      </c>
      <c r="B1037">
        <v>9.2774902086079081E-4</v>
      </c>
      <c r="D1037">
        <v>-4.7062983338651554E-3</v>
      </c>
    </row>
    <row r="1038" spans="1:4" x14ac:dyDescent="0.25">
      <c r="A1038" s="2">
        <v>41313</v>
      </c>
      <c r="B1038">
        <v>0</v>
      </c>
      <c r="D1038">
        <v>1.3791627888253277E-3</v>
      </c>
    </row>
    <row r="1039" spans="1:4" x14ac:dyDescent="0.25">
      <c r="A1039" s="2">
        <v>41316</v>
      </c>
      <c r="B1039">
        <v>0</v>
      </c>
      <c r="D1039">
        <v>-2.3610199250415631E-3</v>
      </c>
    </row>
    <row r="1040" spans="1:4" x14ac:dyDescent="0.25">
      <c r="A1040" s="2">
        <v>41317</v>
      </c>
      <c r="B1040">
        <v>0</v>
      </c>
      <c r="D1040">
        <v>3.6485105983845578E-3</v>
      </c>
    </row>
    <row r="1041" spans="1:4" x14ac:dyDescent="0.25">
      <c r="A1041" s="2">
        <v>41318</v>
      </c>
      <c r="B1041">
        <v>-1.8535515221359544E-3</v>
      </c>
      <c r="D1041">
        <v>-1.1789716832105723E-3</v>
      </c>
    </row>
    <row r="1042" spans="1:4" x14ac:dyDescent="0.25">
      <c r="A1042" s="2">
        <v>41319</v>
      </c>
      <c r="B1042">
        <v>1.8569935553671701E-3</v>
      </c>
      <c r="D1042">
        <v>-1.0820369886975767E-3</v>
      </c>
    </row>
    <row r="1043" spans="1:4" x14ac:dyDescent="0.25">
      <c r="A1043" s="2">
        <v>41320</v>
      </c>
      <c r="B1043">
        <v>-9.2688910040539252E-4</v>
      </c>
      <c r="D1043">
        <v>9.841245055186576E-5</v>
      </c>
    </row>
    <row r="1044" spans="1:4" x14ac:dyDescent="0.25">
      <c r="A1044" s="2">
        <v>41324</v>
      </c>
      <c r="B1044">
        <v>9.2774902086079081E-4</v>
      </c>
      <c r="D1044">
        <v>8.8621547796718936E-4</v>
      </c>
    </row>
    <row r="1045" spans="1:4" x14ac:dyDescent="0.25">
      <c r="A1045" s="2">
        <v>41325</v>
      </c>
      <c r="B1045">
        <v>-1.8535515221359544E-3</v>
      </c>
      <c r="D1045">
        <v>-8.3620074559755952E-3</v>
      </c>
    </row>
    <row r="1046" spans="1:4" x14ac:dyDescent="0.25">
      <c r="A1046" s="2">
        <v>41326</v>
      </c>
      <c r="B1046">
        <v>1.8569935553671701E-3</v>
      </c>
      <c r="D1046">
        <v>-1.2897324330727322E-3</v>
      </c>
    </row>
    <row r="1047" spans="1:4" x14ac:dyDescent="0.25">
      <c r="A1047" s="2">
        <v>41327</v>
      </c>
      <c r="B1047">
        <v>1.8535515221358434E-3</v>
      </c>
      <c r="D1047">
        <v>-2.4833589015721413E-3</v>
      </c>
    </row>
    <row r="1048" spans="1:4" x14ac:dyDescent="0.25">
      <c r="A1048" s="2">
        <v>41330</v>
      </c>
      <c r="B1048">
        <v>-9.2506111263457313E-4</v>
      </c>
      <c r="D1048">
        <v>0</v>
      </c>
    </row>
    <row r="1049" spans="1:4" x14ac:dyDescent="0.25">
      <c r="A1049" s="2">
        <v>41331</v>
      </c>
      <c r="B1049">
        <v>9.2591764303961988E-4</v>
      </c>
      <c r="D1049">
        <v>1.9920449809207597E-4</v>
      </c>
    </row>
    <row r="1050" spans="1:4" x14ac:dyDescent="0.25">
      <c r="A1050" s="2">
        <v>41332</v>
      </c>
      <c r="B1050">
        <v>9.2506111263457313E-4</v>
      </c>
      <c r="D1050">
        <v>3.2854885764652675E-3</v>
      </c>
    </row>
    <row r="1051" spans="1:4" x14ac:dyDescent="0.25">
      <c r="A1051" s="2">
        <v>41333</v>
      </c>
      <c r="B1051">
        <v>2.4065302280520395E-3</v>
      </c>
      <c r="D1051">
        <v>-5.1602401321202418E-3</v>
      </c>
    </row>
    <row r="1052" spans="1:4" x14ac:dyDescent="0.25">
      <c r="A1052" s="2">
        <v>41334</v>
      </c>
      <c r="B1052">
        <v>9.2334041990627114E-4</v>
      </c>
      <c r="D1052">
        <v>2.1664739807116806E-3</v>
      </c>
    </row>
    <row r="1053" spans="1:4" x14ac:dyDescent="0.25">
      <c r="A1053" s="2">
        <v>41337</v>
      </c>
      <c r="B1053">
        <v>0</v>
      </c>
      <c r="D1053">
        <v>-1.9923959469890784E-3</v>
      </c>
    </row>
    <row r="1054" spans="1:4" x14ac:dyDescent="0.25">
      <c r="A1054" s="2">
        <v>41338</v>
      </c>
      <c r="B1054">
        <v>-1.8449772976996126E-3</v>
      </c>
      <c r="D1054">
        <v>1.6969252217464703E-3</v>
      </c>
    </row>
    <row r="1055" spans="1:4" x14ac:dyDescent="0.25">
      <c r="A1055" s="2">
        <v>41339</v>
      </c>
      <c r="B1055">
        <v>9.2419376536567732E-4</v>
      </c>
      <c r="D1055">
        <v>-4.5839475040062583E-3</v>
      </c>
    </row>
    <row r="1056" spans="1:4" x14ac:dyDescent="0.25">
      <c r="A1056" s="2">
        <v>41340</v>
      </c>
      <c r="B1056">
        <v>-2.7700212597188134E-3</v>
      </c>
      <c r="D1056">
        <v>4.805320328794993E-3</v>
      </c>
    </row>
    <row r="1057" spans="1:4" x14ac:dyDescent="0.25">
      <c r="A1057" s="2">
        <v>41341</v>
      </c>
      <c r="B1057">
        <v>0</v>
      </c>
      <c r="D1057">
        <v>-8.3690712340355189E-3</v>
      </c>
    </row>
    <row r="1058" spans="1:4" x14ac:dyDescent="0.25">
      <c r="A1058" s="2">
        <v>41344</v>
      </c>
      <c r="B1058">
        <v>9.2590519698654283E-4</v>
      </c>
      <c r="D1058">
        <v>-1.1052099243291647E-3</v>
      </c>
    </row>
    <row r="1059" spans="1:4" x14ac:dyDescent="0.25">
      <c r="A1059" s="2">
        <v>41345</v>
      </c>
      <c r="B1059">
        <v>9.2504868959708553E-4</v>
      </c>
      <c r="D1059">
        <v>4.0234769019842354E-4</v>
      </c>
    </row>
    <row r="1060" spans="1:4" x14ac:dyDescent="0.25">
      <c r="A1060" s="2">
        <v>41346</v>
      </c>
      <c r="B1060">
        <v>0</v>
      </c>
      <c r="D1060">
        <v>-2.6141406412463208E-3</v>
      </c>
    </row>
    <row r="1061" spans="1:4" x14ac:dyDescent="0.25">
      <c r="A1061" s="2">
        <v>41347</v>
      </c>
      <c r="B1061">
        <v>-1.8483875307313546E-3</v>
      </c>
      <c r="D1061">
        <v>0</v>
      </c>
    </row>
    <row r="1062" spans="1:4" x14ac:dyDescent="0.25">
      <c r="A1062" s="2">
        <v>41348</v>
      </c>
      <c r="B1062">
        <v>1.8518103939728636E-3</v>
      </c>
      <c r="D1062">
        <v>7.157330290200159E-3</v>
      </c>
    </row>
    <row r="1063" spans="1:4" x14ac:dyDescent="0.25">
      <c r="A1063" s="2">
        <v>41351</v>
      </c>
      <c r="B1063">
        <v>2.7726941540482386E-3</v>
      </c>
      <c r="D1063">
        <v>-2.8025896771662895E-3</v>
      </c>
    </row>
    <row r="1064" spans="1:4" x14ac:dyDescent="0.25">
      <c r="A1064" s="2">
        <v>41352</v>
      </c>
      <c r="B1064">
        <v>9.2152579822046832E-4</v>
      </c>
      <c r="D1064">
        <v>-2.3084958015420209E-3</v>
      </c>
    </row>
    <row r="1065" spans="1:4" x14ac:dyDescent="0.25">
      <c r="A1065" s="2">
        <v>41353</v>
      </c>
      <c r="B1065">
        <v>-9.2067737027201613E-4</v>
      </c>
      <c r="D1065">
        <v>1.006014403192701E-3</v>
      </c>
    </row>
    <row r="1066" spans="1:4" x14ac:dyDescent="0.25">
      <c r="A1066" s="2">
        <v>41354</v>
      </c>
      <c r="B1066">
        <v>0</v>
      </c>
      <c r="D1066">
        <v>2.2110759174520656E-3</v>
      </c>
    </row>
    <row r="1067" spans="1:4" x14ac:dyDescent="0.25">
      <c r="A1067" s="2">
        <v>41355</v>
      </c>
      <c r="B1067">
        <v>0</v>
      </c>
      <c r="D1067">
        <v>6.4179575699685465E-3</v>
      </c>
    </row>
    <row r="1068" spans="1:4" x14ac:dyDescent="0.25">
      <c r="A1068" s="2">
        <v>41358</v>
      </c>
      <c r="B1068">
        <v>9.2152579822046832E-4</v>
      </c>
      <c r="D1068">
        <v>-6.5763556839666393E-3</v>
      </c>
    </row>
    <row r="1069" spans="1:4" x14ac:dyDescent="0.25">
      <c r="A1069" s="2">
        <v>41359</v>
      </c>
      <c r="B1069">
        <v>9.2090225482732713E-4</v>
      </c>
      <c r="D1069">
        <v>-5.014625715311638E-4</v>
      </c>
    </row>
    <row r="1070" spans="1:4" x14ac:dyDescent="0.25">
      <c r="A1070" s="2">
        <v>41360</v>
      </c>
      <c r="B1070">
        <v>2.7598279059077857E-3</v>
      </c>
      <c r="D1070">
        <v>-3.2112381483924146E-3</v>
      </c>
    </row>
    <row r="1071" spans="1:4" x14ac:dyDescent="0.25">
      <c r="A1071" s="2">
        <v>41361</v>
      </c>
      <c r="B1071">
        <v>1.2859882622062724E-3</v>
      </c>
      <c r="D1071">
        <v>3.6242956501721935E-3</v>
      </c>
    </row>
    <row r="1072" spans="1:4" x14ac:dyDescent="0.25">
      <c r="A1072" s="2">
        <v>41365</v>
      </c>
      <c r="B1072">
        <v>-9.1735133291737103E-4</v>
      </c>
      <c r="D1072">
        <v>4.5460043771579084E-3</v>
      </c>
    </row>
    <row r="1073" spans="1:4" x14ac:dyDescent="0.25">
      <c r="A1073" s="2">
        <v>41366</v>
      </c>
      <c r="B1073">
        <v>9.1819363907608142E-4</v>
      </c>
      <c r="D1073">
        <v>-3.996071673044721E-4</v>
      </c>
    </row>
    <row r="1074" spans="1:4" x14ac:dyDescent="0.25">
      <c r="A1074" s="2">
        <v>41367</v>
      </c>
      <c r="B1074">
        <v>0</v>
      </c>
      <c r="D1074">
        <v>2.5984591566272641E-3</v>
      </c>
    </row>
    <row r="1075" spans="1:4" x14ac:dyDescent="0.25">
      <c r="A1075" s="2">
        <v>41368</v>
      </c>
      <c r="B1075">
        <v>5.5046674262964057E-3</v>
      </c>
      <c r="D1075">
        <v>0</v>
      </c>
    </row>
    <row r="1076" spans="1:4" x14ac:dyDescent="0.25">
      <c r="A1076" s="2">
        <v>41369</v>
      </c>
      <c r="B1076">
        <v>1.8247698007107793E-3</v>
      </c>
      <c r="D1076">
        <v>5.5821183938709051E-3</v>
      </c>
    </row>
    <row r="1077" spans="1:4" x14ac:dyDescent="0.25">
      <c r="A1077" s="2">
        <v>41372</v>
      </c>
      <c r="B1077">
        <v>0</v>
      </c>
      <c r="D1077">
        <v>-3.7668285077343544E-3</v>
      </c>
    </row>
    <row r="1078" spans="1:4" x14ac:dyDescent="0.25">
      <c r="A1078" s="2">
        <v>41373</v>
      </c>
      <c r="B1078">
        <v>-2.7322246566420239E-3</v>
      </c>
      <c r="D1078">
        <v>-9.9500574406585773E-4</v>
      </c>
    </row>
    <row r="1079" spans="1:4" x14ac:dyDescent="0.25">
      <c r="A1079" s="2">
        <v>41374</v>
      </c>
      <c r="B1079">
        <v>-2.7397101602938401E-3</v>
      </c>
      <c r="D1079">
        <v>-3.0876990150932038E-3</v>
      </c>
    </row>
    <row r="1080" spans="1:4" x14ac:dyDescent="0.25">
      <c r="A1080" s="2">
        <v>41375</v>
      </c>
      <c r="B1080">
        <v>0</v>
      </c>
      <c r="D1080">
        <v>4.2961314932745687E-3</v>
      </c>
    </row>
    <row r="1081" spans="1:4" x14ac:dyDescent="0.25">
      <c r="A1081" s="2">
        <v>41376</v>
      </c>
      <c r="B1081">
        <v>0</v>
      </c>
      <c r="D1081">
        <v>2.0892052986316578E-3</v>
      </c>
    </row>
    <row r="1082" spans="1:4" x14ac:dyDescent="0.25">
      <c r="A1082" s="2">
        <v>41379</v>
      </c>
      <c r="B1082">
        <v>-2.7472367928481622E-3</v>
      </c>
      <c r="D1082">
        <v>-2.9788985424705761E-4</v>
      </c>
    </row>
    <row r="1083" spans="1:4" x14ac:dyDescent="0.25">
      <c r="A1083" s="2">
        <v>41380</v>
      </c>
      <c r="B1083">
        <v>9.1819363907608142E-4</v>
      </c>
      <c r="D1083">
        <v>5.7597029198088734E-3</v>
      </c>
    </row>
    <row r="1084" spans="1:4" x14ac:dyDescent="0.25">
      <c r="A1084" s="2">
        <v>41381</v>
      </c>
      <c r="B1084">
        <v>0</v>
      </c>
      <c r="D1084">
        <v>-9.1824694811306617E-3</v>
      </c>
    </row>
    <row r="1085" spans="1:4" x14ac:dyDescent="0.25">
      <c r="A1085" s="2">
        <v>41382</v>
      </c>
      <c r="B1085">
        <v>9.1746321867591796E-4</v>
      </c>
      <c r="D1085">
        <v>2.2920143128859483E-3</v>
      </c>
    </row>
    <row r="1086" spans="1:4" x14ac:dyDescent="0.25">
      <c r="A1086" s="2">
        <v>41383</v>
      </c>
      <c r="B1086">
        <v>1.833244502949416E-3</v>
      </c>
      <c r="D1086">
        <v>-1.9885107582748862E-3</v>
      </c>
    </row>
    <row r="1087" spans="1:4" x14ac:dyDescent="0.25">
      <c r="A1087" s="2">
        <v>41386</v>
      </c>
      <c r="B1087">
        <v>0</v>
      </c>
      <c r="D1087">
        <v>1.6936162943235189E-3</v>
      </c>
    </row>
    <row r="1088" spans="1:4" x14ac:dyDescent="0.25">
      <c r="A1088" s="2">
        <v>41387</v>
      </c>
      <c r="B1088">
        <v>9.1483335505393448E-4</v>
      </c>
      <c r="D1088">
        <v>-2.8841474368000997E-3</v>
      </c>
    </row>
    <row r="1089" spans="1:4" x14ac:dyDescent="0.25">
      <c r="A1089" s="2">
        <v>41388</v>
      </c>
      <c r="B1089">
        <v>0</v>
      </c>
      <c r="D1089">
        <v>8.9763230782424763E-4</v>
      </c>
    </row>
    <row r="1090" spans="1:4" x14ac:dyDescent="0.25">
      <c r="A1090" s="2">
        <v>41389</v>
      </c>
      <c r="B1090">
        <v>0</v>
      </c>
      <c r="D1090">
        <v>0</v>
      </c>
    </row>
    <row r="1091" spans="1:4" x14ac:dyDescent="0.25">
      <c r="A1091" s="2">
        <v>41390</v>
      </c>
      <c r="B1091">
        <v>9.1410867659669215E-4</v>
      </c>
      <c r="D1091">
        <v>5.0822339883318524E-3</v>
      </c>
    </row>
    <row r="1092" spans="1:4" x14ac:dyDescent="0.25">
      <c r="A1092" s="2">
        <v>41393</v>
      </c>
      <c r="B1092">
        <v>9.1327384505102138E-4</v>
      </c>
      <c r="D1092">
        <v>6.2462519288501994E-3</v>
      </c>
    </row>
    <row r="1093" spans="1:4" x14ac:dyDescent="0.25">
      <c r="A1093" s="2">
        <v>41394</v>
      </c>
      <c r="B1093">
        <v>1.6449522509851544E-3</v>
      </c>
      <c r="D1093">
        <v>4.6310129795830157E-3</v>
      </c>
    </row>
    <row r="1094" spans="1:4" x14ac:dyDescent="0.25">
      <c r="A1094" s="2">
        <v>41395</v>
      </c>
      <c r="B1094">
        <v>9.1249734771436941E-4</v>
      </c>
      <c r="D1094">
        <v>3.4340100560303899E-3</v>
      </c>
    </row>
    <row r="1095" spans="1:4" x14ac:dyDescent="0.25">
      <c r="A1095" s="2">
        <v>41396</v>
      </c>
      <c r="B1095">
        <v>2.7346633985521063E-3</v>
      </c>
      <c r="D1095">
        <v>-4.693412955391385E-3</v>
      </c>
    </row>
    <row r="1096" spans="1:4" x14ac:dyDescent="0.25">
      <c r="A1096" s="2">
        <v>41397</v>
      </c>
      <c r="B1096">
        <v>-2.7272054097378096E-3</v>
      </c>
      <c r="D1096">
        <v>-2.25958562694617E-3</v>
      </c>
    </row>
    <row r="1097" spans="1:4" x14ac:dyDescent="0.25">
      <c r="A1097" s="2">
        <v>41400</v>
      </c>
      <c r="B1097">
        <v>-9.116654554043313E-4</v>
      </c>
      <c r="D1097">
        <v>-2.8554631609712944E-3</v>
      </c>
    </row>
    <row r="1098" spans="1:4" x14ac:dyDescent="0.25">
      <c r="A1098" s="2">
        <v>41401</v>
      </c>
      <c r="B1098">
        <v>-2.737158771650039E-3</v>
      </c>
      <c r="D1098">
        <v>-2.8635688199082354E-3</v>
      </c>
    </row>
    <row r="1099" spans="1:4" x14ac:dyDescent="0.25">
      <c r="A1099" s="2">
        <v>41402</v>
      </c>
      <c r="B1099">
        <v>9.148904576579131E-4</v>
      </c>
      <c r="D1099">
        <v>2.9708384035029844E-3</v>
      </c>
    </row>
    <row r="1100" spans="1:4" x14ac:dyDescent="0.25">
      <c r="A1100" s="2">
        <v>41403</v>
      </c>
      <c r="B1100">
        <v>-9.1405419819423628E-4</v>
      </c>
      <c r="D1100">
        <v>-8.1951228024840228E-3</v>
      </c>
    </row>
    <row r="1101" spans="1:4" x14ac:dyDescent="0.25">
      <c r="A1101" s="2">
        <v>41404</v>
      </c>
      <c r="B1101">
        <v>-5.489454141352601E-3</v>
      </c>
      <c r="D1101">
        <v>-1.2045787088607152E-2</v>
      </c>
    </row>
    <row r="1102" spans="1:4" x14ac:dyDescent="0.25">
      <c r="A1102" s="2">
        <v>41407</v>
      </c>
      <c r="B1102">
        <v>-1.8398808569056735E-3</v>
      </c>
      <c r="D1102">
        <v>-2.1160707780232269E-3</v>
      </c>
    </row>
    <row r="1103" spans="1:4" x14ac:dyDescent="0.25">
      <c r="A1103" s="2">
        <v>41408</v>
      </c>
      <c r="B1103">
        <v>-1.8433844749926598E-3</v>
      </c>
      <c r="D1103">
        <v>-4.3421228112645593E-3</v>
      </c>
    </row>
    <row r="1104" spans="1:4" x14ac:dyDescent="0.25">
      <c r="A1104" s="2">
        <v>41409</v>
      </c>
      <c r="B1104">
        <v>-9.2345062040621873E-4</v>
      </c>
      <c r="D1104">
        <v>-4.4624225523696159E-3</v>
      </c>
    </row>
    <row r="1105" spans="1:4" x14ac:dyDescent="0.25">
      <c r="A1105" s="2">
        <v>41410</v>
      </c>
      <c r="B1105">
        <v>1.8484958114302064E-3</v>
      </c>
      <c r="D1105">
        <v>3.7693109983207851E-3</v>
      </c>
    </row>
    <row r="1106" spans="1:4" x14ac:dyDescent="0.25">
      <c r="A1106" s="2">
        <v>41411</v>
      </c>
      <c r="B1106">
        <v>9.2259874974032208E-4</v>
      </c>
      <c r="D1106">
        <v>-4.3641573194289629E-3</v>
      </c>
    </row>
    <row r="1107" spans="1:4" x14ac:dyDescent="0.25">
      <c r="A1107" s="2">
        <v>41414</v>
      </c>
      <c r="B1107">
        <v>-2.7651328208617709E-3</v>
      </c>
      <c r="D1107">
        <v>4.5872047682549155E-3</v>
      </c>
    </row>
    <row r="1108" spans="1:4" x14ac:dyDescent="0.25">
      <c r="A1108" s="2">
        <v>41415</v>
      </c>
      <c r="B1108">
        <v>-1.8483832835304304E-3</v>
      </c>
      <c r="D1108">
        <v>-1.3191794952441827E-3</v>
      </c>
    </row>
    <row r="1109" spans="1:4" x14ac:dyDescent="0.25">
      <c r="A1109" s="2">
        <v>41416</v>
      </c>
      <c r="B1109">
        <v>0</v>
      </c>
      <c r="D1109">
        <v>-5.2834468554461278E-3</v>
      </c>
    </row>
    <row r="1110" spans="1:4" x14ac:dyDescent="0.25">
      <c r="A1110" s="2">
        <v>41417</v>
      </c>
      <c r="B1110">
        <v>0</v>
      </c>
      <c r="D1110">
        <v>3.6772332555659037E-3</v>
      </c>
    </row>
    <row r="1111" spans="1:4" x14ac:dyDescent="0.25">
      <c r="A1111" s="2">
        <v>41418</v>
      </c>
      <c r="B1111">
        <v>0</v>
      </c>
      <c r="D1111">
        <v>1.6282890815881856E-3</v>
      </c>
    </row>
    <row r="1112" spans="1:4" x14ac:dyDescent="0.25">
      <c r="A1112" s="2">
        <v>41422</v>
      </c>
      <c r="B1112">
        <v>-3.703612262054401E-3</v>
      </c>
      <c r="D1112">
        <v>-7.3155990886679678E-3</v>
      </c>
    </row>
    <row r="1113" spans="1:4" x14ac:dyDescent="0.25">
      <c r="A1113" s="2">
        <v>41423</v>
      </c>
      <c r="B1113">
        <v>-3.7174931515546739E-3</v>
      </c>
      <c r="D1113">
        <v>4.7083568251014007E-3</v>
      </c>
    </row>
    <row r="1114" spans="1:4" x14ac:dyDescent="0.25">
      <c r="A1114" s="2">
        <v>41424</v>
      </c>
      <c r="B1114">
        <v>9.3269914637361673E-4</v>
      </c>
      <c r="D1114">
        <v>7.4367936380685951E-3</v>
      </c>
    </row>
    <row r="1115" spans="1:4" x14ac:dyDescent="0.25">
      <c r="A1115" s="2">
        <v>41425</v>
      </c>
      <c r="B1115">
        <v>1.4934017310797021E-3</v>
      </c>
      <c r="D1115">
        <v>-1.7190550824016659E-3</v>
      </c>
    </row>
    <row r="1116" spans="1:4" x14ac:dyDescent="0.25">
      <c r="A1116" s="2">
        <v>41428</v>
      </c>
      <c r="B1116">
        <v>0</v>
      </c>
      <c r="D1116">
        <v>-2.0261648947472732E-4</v>
      </c>
    </row>
    <row r="1117" spans="1:4" x14ac:dyDescent="0.25">
      <c r="A1117" s="2">
        <v>41429</v>
      </c>
      <c r="B1117">
        <v>-2.7958536253473998E-3</v>
      </c>
      <c r="D1117">
        <v>-3.6489028162015602E-3</v>
      </c>
    </row>
    <row r="1118" spans="1:4" x14ac:dyDescent="0.25">
      <c r="A1118" s="2">
        <v>41430</v>
      </c>
      <c r="B1118">
        <v>9.3463985972030983E-4</v>
      </c>
      <c r="D1118">
        <v>3.8656868023869695E-3</v>
      </c>
    </row>
    <row r="1119" spans="1:4" x14ac:dyDescent="0.25">
      <c r="A1119" s="2">
        <v>41431</v>
      </c>
      <c r="B1119">
        <v>-2.8011878571225779E-3</v>
      </c>
      <c r="D1119">
        <v>1.3275212502600997E-2</v>
      </c>
    </row>
    <row r="1120" spans="1:4" x14ac:dyDescent="0.25">
      <c r="A1120" s="2">
        <v>41432</v>
      </c>
      <c r="B1120">
        <v>0</v>
      </c>
      <c r="D1120">
        <v>-1.0000883960817886E-3</v>
      </c>
    </row>
    <row r="1121" spans="1:4" x14ac:dyDescent="0.25">
      <c r="A1121" s="2">
        <v>41435</v>
      </c>
      <c r="B1121">
        <v>-2.8089427192422578E-3</v>
      </c>
      <c r="D1121">
        <v>-5.9064615465101999E-3</v>
      </c>
    </row>
    <row r="1122" spans="1:4" x14ac:dyDescent="0.25">
      <c r="A1122" s="2">
        <v>41436</v>
      </c>
      <c r="B1122">
        <v>-3.7558829075937661E-3</v>
      </c>
      <c r="D1122">
        <v>6.7472205296579268E-3</v>
      </c>
    </row>
    <row r="1123" spans="1:4" x14ac:dyDescent="0.25">
      <c r="A1123" s="2">
        <v>41437</v>
      </c>
      <c r="B1123">
        <v>0</v>
      </c>
      <c r="D1123">
        <v>1.3003584509694299E-3</v>
      </c>
    </row>
    <row r="1124" spans="1:4" x14ac:dyDescent="0.25">
      <c r="A1124" s="2">
        <v>41438</v>
      </c>
      <c r="B1124">
        <v>9.4245339467713407E-4</v>
      </c>
      <c r="D1124">
        <v>5.794225071829473E-3</v>
      </c>
    </row>
    <row r="1125" spans="1:4" x14ac:dyDescent="0.25">
      <c r="A1125" s="2">
        <v>41439</v>
      </c>
      <c r="B1125">
        <v>3.7664930025904653E-3</v>
      </c>
      <c r="D1125">
        <v>6.9526918294444684E-3</v>
      </c>
    </row>
    <row r="1126" spans="1:4" x14ac:dyDescent="0.25">
      <c r="A1126" s="2">
        <v>41442</v>
      </c>
      <c r="B1126">
        <v>-1.876065836339369E-3</v>
      </c>
      <c r="D1126">
        <v>-8.8771025619305277E-4</v>
      </c>
    </row>
    <row r="1127" spans="1:4" x14ac:dyDescent="0.25">
      <c r="A1127" s="2">
        <v>41443</v>
      </c>
      <c r="B1127">
        <v>-1.8798205966498172E-3</v>
      </c>
      <c r="D1127">
        <v>-6.9108306721288315E-4</v>
      </c>
    </row>
    <row r="1128" spans="1:4" x14ac:dyDescent="0.25">
      <c r="A1128" s="2">
        <v>41444</v>
      </c>
      <c r="B1128">
        <v>0</v>
      </c>
      <c r="D1128">
        <v>-1.5708401378240588E-2</v>
      </c>
    </row>
    <row r="1129" spans="1:4" x14ac:dyDescent="0.25">
      <c r="A1129" s="2">
        <v>41445</v>
      </c>
      <c r="B1129">
        <v>-8.4745520177732514E-3</v>
      </c>
      <c r="D1129">
        <v>-1.4553814997574577E-2</v>
      </c>
    </row>
    <row r="1130" spans="1:4" x14ac:dyDescent="0.25">
      <c r="A1130" s="2">
        <v>41446</v>
      </c>
      <c r="B1130">
        <v>-4.7482987196784121E-3</v>
      </c>
      <c r="D1130">
        <v>-2.3426759766879135E-3</v>
      </c>
    </row>
    <row r="1131" spans="1:4" x14ac:dyDescent="0.25">
      <c r="A1131" s="2">
        <v>41449</v>
      </c>
      <c r="B1131">
        <v>-7.6336170089849054E-3</v>
      </c>
      <c r="D1131">
        <v>-1.1638584648145267E-2</v>
      </c>
    </row>
    <row r="1132" spans="1:4" x14ac:dyDescent="0.25">
      <c r="A1132" s="2">
        <v>41450</v>
      </c>
      <c r="B1132">
        <v>3.846168683171669E-3</v>
      </c>
      <c r="D1132">
        <v>-1.1362522553771681E-3</v>
      </c>
    </row>
    <row r="1133" spans="1:4" x14ac:dyDescent="0.25">
      <c r="A1133" s="2">
        <v>41451</v>
      </c>
      <c r="B1133">
        <v>3.8314323480630463E-3</v>
      </c>
      <c r="D1133">
        <v>6.2053039656095876E-4</v>
      </c>
    </row>
    <row r="1134" spans="1:4" x14ac:dyDescent="0.25">
      <c r="A1134" s="2">
        <v>41452</v>
      </c>
      <c r="B1134">
        <v>2.8625483756870018E-3</v>
      </c>
      <c r="D1134">
        <v>2.3769705275833442E-3</v>
      </c>
    </row>
    <row r="1135" spans="1:4" x14ac:dyDescent="0.25">
      <c r="A1135" s="2">
        <v>41453</v>
      </c>
      <c r="B1135">
        <v>1.7156803490403494E-3</v>
      </c>
      <c r="D1135">
        <v>-5.3613428785359574E-3</v>
      </c>
    </row>
    <row r="1136" spans="1:4" x14ac:dyDescent="0.25">
      <c r="A1136" s="2">
        <v>41456</v>
      </c>
      <c r="B1136">
        <v>0</v>
      </c>
      <c r="D1136">
        <v>1.0164849341557591E-2</v>
      </c>
    </row>
    <row r="1137" spans="1:4" x14ac:dyDescent="0.25">
      <c r="A1137" s="2">
        <v>41457</v>
      </c>
      <c r="B1137">
        <v>9.515232397425688E-4</v>
      </c>
      <c r="D1137">
        <v>-4.8259668742016704E-3</v>
      </c>
    </row>
    <row r="1138" spans="1:4" x14ac:dyDescent="0.25">
      <c r="A1138" s="2">
        <v>41458</v>
      </c>
      <c r="B1138">
        <v>0</v>
      </c>
      <c r="D1138">
        <v>1.1349591092300049E-3</v>
      </c>
    </row>
    <row r="1139" spans="1:4" x14ac:dyDescent="0.25">
      <c r="A1139" s="2">
        <v>41460</v>
      </c>
      <c r="B1139">
        <v>0</v>
      </c>
      <c r="D1139">
        <v>-1.3294865565006808E-2</v>
      </c>
    </row>
    <row r="1140" spans="1:4" x14ac:dyDescent="0.25">
      <c r="A1140" s="2">
        <v>41463</v>
      </c>
      <c r="B1140">
        <v>9.5050333760604566E-4</v>
      </c>
      <c r="D1140">
        <v>3.7601909713254056E-3</v>
      </c>
    </row>
    <row r="1141" spans="1:4" x14ac:dyDescent="0.25">
      <c r="A1141" s="2">
        <v>41464</v>
      </c>
      <c r="B1141">
        <v>1.8993167346643691E-3</v>
      </c>
      <c r="D1141">
        <v>-5.7231529220270749E-3</v>
      </c>
    </row>
    <row r="1142" spans="1:4" x14ac:dyDescent="0.25">
      <c r="A1142" s="2">
        <v>41465</v>
      </c>
      <c r="B1142">
        <v>0</v>
      </c>
      <c r="D1142">
        <v>3.6629819179057055E-3</v>
      </c>
    </row>
    <row r="1143" spans="1:4" x14ac:dyDescent="0.25">
      <c r="A1143" s="2">
        <v>41466</v>
      </c>
      <c r="B1143">
        <v>1.8957161692199076E-3</v>
      </c>
      <c r="D1143">
        <v>1.8143881684429264E-2</v>
      </c>
    </row>
    <row r="1144" spans="1:4" x14ac:dyDescent="0.25">
      <c r="A1144" s="2">
        <v>41467</v>
      </c>
      <c r="B1144">
        <v>1.8922440498798654E-3</v>
      </c>
      <c r="D1144">
        <v>-4.6087412304812725E-3</v>
      </c>
    </row>
    <row r="1145" spans="1:4" x14ac:dyDescent="0.25">
      <c r="A1145" s="2">
        <v>41470</v>
      </c>
      <c r="B1145">
        <v>-9.4433511244240709E-4</v>
      </c>
      <c r="D1145">
        <v>2.7780289424226279E-3</v>
      </c>
    </row>
    <row r="1146" spans="1:4" x14ac:dyDescent="0.25">
      <c r="A1146" s="2">
        <v>41471</v>
      </c>
      <c r="B1146">
        <v>1.890455448342987E-3</v>
      </c>
      <c r="D1146">
        <v>6.7720553223828972E-3</v>
      </c>
    </row>
    <row r="1147" spans="1:4" x14ac:dyDescent="0.25">
      <c r="A1147" s="2">
        <v>41472</v>
      </c>
      <c r="B1147">
        <v>9.4332968931820638E-4</v>
      </c>
      <c r="D1147">
        <v>2.037932943819154E-4</v>
      </c>
    </row>
    <row r="1148" spans="1:4" x14ac:dyDescent="0.25">
      <c r="A1148" s="2">
        <v>41473</v>
      </c>
      <c r="B1148">
        <v>1.8849957018804986E-3</v>
      </c>
      <c r="D1148">
        <v>-3.566312784094805E-3</v>
      </c>
    </row>
    <row r="1149" spans="1:4" x14ac:dyDescent="0.25">
      <c r="A1149" s="2">
        <v>41474</v>
      </c>
      <c r="B1149">
        <v>-9.4078167539979329E-4</v>
      </c>
      <c r="D1149">
        <v>1.840677155400039E-3</v>
      </c>
    </row>
    <row r="1150" spans="1:4" x14ac:dyDescent="0.25">
      <c r="A1150" s="2">
        <v>41477</v>
      </c>
      <c r="B1150">
        <v>9.4166757900238096E-4</v>
      </c>
      <c r="D1150">
        <v>4.695306671326005E-3</v>
      </c>
    </row>
    <row r="1151" spans="1:4" x14ac:dyDescent="0.25">
      <c r="A1151" s="2">
        <v>41478</v>
      </c>
      <c r="B1151">
        <v>-1.8814491782662701E-3</v>
      </c>
      <c r="D1151">
        <v>4.470201853490563E-3</v>
      </c>
    </row>
    <row r="1152" spans="1:4" x14ac:dyDescent="0.25">
      <c r="A1152" s="2">
        <v>41479</v>
      </c>
      <c r="B1152">
        <v>-1.8849957018801655E-3</v>
      </c>
      <c r="D1152">
        <v>-4.146890072359577E-3</v>
      </c>
    </row>
    <row r="1153" spans="1:4" x14ac:dyDescent="0.25">
      <c r="A1153" s="2">
        <v>41480</v>
      </c>
      <c r="B1153">
        <v>-9.4433511244240709E-4</v>
      </c>
      <c r="D1153">
        <v>5.9923206187750822E-3</v>
      </c>
    </row>
    <row r="1154" spans="1:4" x14ac:dyDescent="0.25">
      <c r="A1154" s="2">
        <v>41481</v>
      </c>
      <c r="B1154">
        <v>0</v>
      </c>
      <c r="D1154">
        <v>8.0761306374643738E-4</v>
      </c>
    </row>
    <row r="1155" spans="1:4" x14ac:dyDescent="0.25">
      <c r="A1155" s="2">
        <v>41484</v>
      </c>
      <c r="B1155">
        <v>0</v>
      </c>
      <c r="D1155">
        <v>-2.7236623196801313E-3</v>
      </c>
    </row>
    <row r="1156" spans="1:4" x14ac:dyDescent="0.25">
      <c r="A1156" s="2">
        <v>41485</v>
      </c>
      <c r="B1156">
        <v>0</v>
      </c>
      <c r="D1156">
        <v>2.7311009163373257E-3</v>
      </c>
    </row>
    <row r="1157" spans="1:4" x14ac:dyDescent="0.25">
      <c r="A1157" s="2">
        <v>41486</v>
      </c>
      <c r="B1157">
        <v>1.6092960852431837E-3</v>
      </c>
      <c r="D1157">
        <v>-2.8245571973196659E-3</v>
      </c>
    </row>
    <row r="1158" spans="1:4" x14ac:dyDescent="0.25">
      <c r="A1158" s="2">
        <v>41487</v>
      </c>
      <c r="B1158">
        <v>9.4519787825797508E-4</v>
      </c>
      <c r="D1158">
        <v>-1.0124952700019119E-3</v>
      </c>
    </row>
    <row r="1159" spans="1:4" x14ac:dyDescent="0.25">
      <c r="A1159" s="2">
        <v>41488</v>
      </c>
      <c r="B1159">
        <v>0</v>
      </c>
      <c r="D1159">
        <v>-1.7231514854686436E-3</v>
      </c>
    </row>
    <row r="1160" spans="1:4" x14ac:dyDescent="0.25">
      <c r="A1160" s="2">
        <v>41491</v>
      </c>
      <c r="B1160">
        <v>0</v>
      </c>
      <c r="D1160">
        <v>1.9291570302184535E-3</v>
      </c>
    </row>
    <row r="1161" spans="1:4" x14ac:dyDescent="0.25">
      <c r="A1161" s="2">
        <v>41492</v>
      </c>
      <c r="B1161">
        <v>-9.4430532287048674E-4</v>
      </c>
      <c r="D1161">
        <v>3.7495179893729524E-3</v>
      </c>
    </row>
    <row r="1162" spans="1:4" x14ac:dyDescent="0.25">
      <c r="A1162" s="2">
        <v>41493</v>
      </c>
      <c r="B1162">
        <v>9.4519787825797508E-4</v>
      </c>
      <c r="D1162">
        <v>5.9565501662730558E-3</v>
      </c>
    </row>
    <row r="1163" spans="1:4" x14ac:dyDescent="0.25">
      <c r="A1163" s="2">
        <v>41494</v>
      </c>
      <c r="B1163">
        <v>0</v>
      </c>
      <c r="D1163">
        <v>4.3155389536015942E-3</v>
      </c>
    </row>
    <row r="1164" spans="1:4" x14ac:dyDescent="0.25">
      <c r="A1164" s="2">
        <v>41495</v>
      </c>
      <c r="B1164">
        <v>9.4430532287037572E-4</v>
      </c>
      <c r="D1164">
        <v>1.6988000450453011E-3</v>
      </c>
    </row>
    <row r="1165" spans="1:4" x14ac:dyDescent="0.25">
      <c r="A1165" s="2">
        <v>41498</v>
      </c>
      <c r="B1165">
        <v>9.4341445158208082E-4</v>
      </c>
      <c r="D1165">
        <v>-3.8906625373712478E-3</v>
      </c>
    </row>
    <row r="1166" spans="1:4" x14ac:dyDescent="0.25">
      <c r="A1166" s="2">
        <v>41499</v>
      </c>
      <c r="B1166">
        <v>-3.7701010385250422E-3</v>
      </c>
      <c r="D1166">
        <v>-1.1417121300394628E-2</v>
      </c>
    </row>
    <row r="1167" spans="1:4" x14ac:dyDescent="0.25">
      <c r="A1167" s="2">
        <v>41500</v>
      </c>
      <c r="B1167">
        <v>-9.4597748637781365E-4</v>
      </c>
      <c r="D1167">
        <v>-2.2287619234039324E-3</v>
      </c>
    </row>
    <row r="1168" spans="1:4" x14ac:dyDescent="0.25">
      <c r="A1168" s="2">
        <v>41501</v>
      </c>
      <c r="B1168">
        <v>-3.787837062535826E-3</v>
      </c>
      <c r="D1168">
        <v>1.0864045393781163E-2</v>
      </c>
    </row>
    <row r="1169" spans="1:4" x14ac:dyDescent="0.25">
      <c r="A1169" s="2">
        <v>41502</v>
      </c>
      <c r="B1169">
        <v>0</v>
      </c>
      <c r="D1169">
        <v>-1.3057211845373118E-3</v>
      </c>
    </row>
    <row r="1170" spans="1:4" x14ac:dyDescent="0.25">
      <c r="A1170" s="2">
        <v>41505</v>
      </c>
      <c r="B1170">
        <v>-2.8517658799152024E-3</v>
      </c>
      <c r="D1170">
        <v>-1.8103164566182217E-3</v>
      </c>
    </row>
    <row r="1171" spans="1:4" x14ac:dyDescent="0.25">
      <c r="A1171" s="2">
        <v>41506</v>
      </c>
      <c r="B1171">
        <v>1.9066144713724142E-3</v>
      </c>
      <c r="D1171">
        <v>6.3475831882022771E-3</v>
      </c>
    </row>
    <row r="1172" spans="1:4" x14ac:dyDescent="0.25">
      <c r="A1172" s="2">
        <v>41507</v>
      </c>
      <c r="B1172">
        <v>-9.5149310516251528E-4</v>
      </c>
      <c r="D1172">
        <v>-7.4088777271289485E-3</v>
      </c>
    </row>
    <row r="1173" spans="1:4" x14ac:dyDescent="0.25">
      <c r="A1173" s="2">
        <v>41508</v>
      </c>
      <c r="B1173">
        <v>-9.5239930653601146E-4</v>
      </c>
      <c r="D1173">
        <v>-4.3373038279757026E-3</v>
      </c>
    </row>
    <row r="1174" spans="1:4" x14ac:dyDescent="0.25">
      <c r="A1174" s="2">
        <v>41509</v>
      </c>
      <c r="B1174">
        <v>-9.5330723568620712E-4</v>
      </c>
      <c r="D1174">
        <v>2.4313510221063428E-3</v>
      </c>
    </row>
    <row r="1175" spans="1:4" x14ac:dyDescent="0.25">
      <c r="A1175" s="2">
        <v>41512</v>
      </c>
      <c r="B1175">
        <v>9.5421689755914585E-4</v>
      </c>
      <c r="D1175">
        <v>-1.5158579187576349E-3</v>
      </c>
    </row>
    <row r="1176" spans="1:4" x14ac:dyDescent="0.25">
      <c r="A1176" s="2">
        <v>41513</v>
      </c>
      <c r="B1176">
        <v>1.9066144713724142E-3</v>
      </c>
      <c r="D1176">
        <v>5.8703888189426401E-3</v>
      </c>
    </row>
    <row r="1177" spans="1:4" x14ac:dyDescent="0.25">
      <c r="A1177" s="2">
        <v>41514</v>
      </c>
      <c r="B1177">
        <v>0</v>
      </c>
      <c r="D1177">
        <v>-3.5218222236645946E-3</v>
      </c>
    </row>
    <row r="1178" spans="1:4" x14ac:dyDescent="0.25">
      <c r="A1178" s="2">
        <v>41515</v>
      </c>
      <c r="B1178">
        <v>1.9028709197512761E-3</v>
      </c>
      <c r="D1178">
        <v>-5.5538324212398571E-3</v>
      </c>
    </row>
    <row r="1179" spans="1:4" x14ac:dyDescent="0.25">
      <c r="A1179" s="2">
        <v>41516</v>
      </c>
      <c r="B1179">
        <v>6.6591939164850622E-4</v>
      </c>
      <c r="D1179">
        <v>-4.4679341992557298E-3</v>
      </c>
    </row>
    <row r="1180" spans="1:4" x14ac:dyDescent="0.25">
      <c r="A1180" s="2">
        <v>41520</v>
      </c>
      <c r="B1180">
        <v>-3.8023106641329463E-3</v>
      </c>
      <c r="D1180">
        <v>-4.0845372526556734E-3</v>
      </c>
    </row>
    <row r="1181" spans="1:4" x14ac:dyDescent="0.25">
      <c r="A1181" s="2">
        <v>41521</v>
      </c>
      <c r="B1181">
        <v>-9.5417699463806738E-4</v>
      </c>
      <c r="D1181">
        <v>1.6405599704021334E-3</v>
      </c>
    </row>
    <row r="1182" spans="1:4" x14ac:dyDescent="0.25">
      <c r="A1182" s="2">
        <v>41522</v>
      </c>
      <c r="B1182">
        <v>-4.7755571338892189E-3</v>
      </c>
      <c r="D1182">
        <v>-1.1260172346616026E-2</v>
      </c>
    </row>
    <row r="1183" spans="1:4" x14ac:dyDescent="0.25">
      <c r="A1183" s="2">
        <v>41523</v>
      </c>
      <c r="B1183">
        <v>1.9193425659607133E-3</v>
      </c>
      <c r="D1183">
        <v>1.0146010837163155E-2</v>
      </c>
    </row>
    <row r="1184" spans="1:4" x14ac:dyDescent="0.25">
      <c r="A1184" s="2">
        <v>41526</v>
      </c>
      <c r="B1184">
        <v>9.5783287357509295E-4</v>
      </c>
      <c r="D1184">
        <v>5.2270362336832576E-3</v>
      </c>
    </row>
    <row r="1185" spans="1:4" x14ac:dyDescent="0.25">
      <c r="A1185" s="2">
        <v>41527</v>
      </c>
      <c r="B1185">
        <v>-9.5691630767846814E-4</v>
      </c>
      <c r="D1185">
        <v>-7.0350985951839196E-3</v>
      </c>
    </row>
    <row r="1186" spans="1:4" x14ac:dyDescent="0.25">
      <c r="A1186" s="2">
        <v>41528</v>
      </c>
      <c r="B1186">
        <v>9.5783287357509295E-4</v>
      </c>
      <c r="D1186">
        <v>3.9018160460746465E-3</v>
      </c>
    </row>
    <row r="1187" spans="1:4" x14ac:dyDescent="0.25">
      <c r="A1187" s="2">
        <v>41529</v>
      </c>
      <c r="B1187">
        <v>1.9139483806975832E-3</v>
      </c>
      <c r="D1187">
        <v>1.8410613010462207E-3</v>
      </c>
    </row>
    <row r="1188" spans="1:4" x14ac:dyDescent="0.25">
      <c r="A1188" s="2">
        <v>41530</v>
      </c>
      <c r="B1188">
        <v>-9.5508831793889026E-4</v>
      </c>
      <c r="D1188">
        <v>9.1887053444317246E-4</v>
      </c>
    </row>
    <row r="1189" spans="1:4" x14ac:dyDescent="0.25">
      <c r="A1189" s="2">
        <v>41533</v>
      </c>
      <c r="B1189">
        <v>2.8680041510766863E-3</v>
      </c>
      <c r="D1189">
        <v>3.1619483147071747E-3</v>
      </c>
    </row>
    <row r="1190" spans="1:4" x14ac:dyDescent="0.25">
      <c r="A1190" s="2">
        <v>41534</v>
      </c>
      <c r="B1190">
        <v>9.5326740880685712E-4</v>
      </c>
      <c r="D1190">
        <v>2.7453478216892258E-3</v>
      </c>
    </row>
    <row r="1191" spans="1:4" x14ac:dyDescent="0.25">
      <c r="A1191" s="2">
        <v>41535</v>
      </c>
      <c r="B1191">
        <v>-1.9047191109619055E-3</v>
      </c>
      <c r="D1191">
        <v>1.0748299566789798E-2</v>
      </c>
    </row>
    <row r="1192" spans="1:4" x14ac:dyDescent="0.25">
      <c r="A1192" s="2">
        <v>41536</v>
      </c>
      <c r="B1192">
        <v>6.6794698303569433E-3</v>
      </c>
      <c r="D1192">
        <v>4.1131174782056412E-3</v>
      </c>
    </row>
    <row r="1193" spans="1:4" x14ac:dyDescent="0.25">
      <c r="A1193" s="2">
        <v>41537</v>
      </c>
      <c r="B1193">
        <v>-9.4796055465840023E-4</v>
      </c>
      <c r="D1193">
        <v>-1.1988698902152262E-3</v>
      </c>
    </row>
    <row r="1194" spans="1:4" x14ac:dyDescent="0.25">
      <c r="A1194" s="2">
        <v>41540</v>
      </c>
      <c r="B1194">
        <v>1.8976052962618173E-3</v>
      </c>
      <c r="D1194">
        <v>1.4004187285459047E-3</v>
      </c>
    </row>
    <row r="1195" spans="1:4" x14ac:dyDescent="0.25">
      <c r="A1195" s="2">
        <v>41541</v>
      </c>
      <c r="B1195">
        <v>9.4683376612003656E-4</v>
      </c>
      <c r="D1195">
        <v>9.9888258884073267E-4</v>
      </c>
    </row>
    <row r="1196" spans="1:4" x14ac:dyDescent="0.25">
      <c r="A1196" s="2">
        <v>41542</v>
      </c>
      <c r="B1196">
        <v>0</v>
      </c>
      <c r="D1196">
        <v>4.5903528200481603E-3</v>
      </c>
    </row>
    <row r="1197" spans="1:4" x14ac:dyDescent="0.25">
      <c r="A1197" s="2">
        <v>41543</v>
      </c>
      <c r="B1197">
        <v>-1.891990691007539E-3</v>
      </c>
      <c r="D1197">
        <v>-4.7680143576970258E-3</v>
      </c>
    </row>
    <row r="1198" spans="1:4" x14ac:dyDescent="0.25">
      <c r="A1198" s="2">
        <v>41544</v>
      </c>
      <c r="B1198">
        <v>0</v>
      </c>
      <c r="D1198">
        <v>4.9905173759692278E-3</v>
      </c>
    </row>
    <row r="1199" spans="1:4" x14ac:dyDescent="0.25">
      <c r="A1199" s="2">
        <v>41547</v>
      </c>
      <c r="B1199">
        <v>2.5632890091731309E-3</v>
      </c>
      <c r="D1199">
        <v>6.9519728579070517E-4</v>
      </c>
    </row>
    <row r="1200" spans="1:4" x14ac:dyDescent="0.25">
      <c r="A1200" s="2">
        <v>41548</v>
      </c>
      <c r="B1200">
        <v>9.4690936856967056E-4</v>
      </c>
      <c r="D1200">
        <v>3.6272602500648787E-3</v>
      </c>
    </row>
    <row r="1201" spans="1:4" x14ac:dyDescent="0.25">
      <c r="A1201" s="2">
        <v>41549</v>
      </c>
      <c r="B1201">
        <v>9.4612784609648948E-4</v>
      </c>
      <c r="D1201">
        <v>2.6735714676828781E-3</v>
      </c>
    </row>
    <row r="1202" spans="1:4" x14ac:dyDescent="0.25">
      <c r="A1202" s="2">
        <v>41550</v>
      </c>
      <c r="B1202">
        <v>0</v>
      </c>
      <c r="D1202">
        <v>1.9750899920549791E-3</v>
      </c>
    </row>
    <row r="1203" spans="1:4" x14ac:dyDescent="0.25">
      <c r="A1203" s="2">
        <v>41551</v>
      </c>
      <c r="B1203">
        <v>-9.4523353432851565E-4</v>
      </c>
      <c r="D1203">
        <v>-3.6467848108241441E-3</v>
      </c>
    </row>
    <row r="1204" spans="1:4" x14ac:dyDescent="0.25">
      <c r="A1204" s="2">
        <v>41554</v>
      </c>
      <c r="B1204">
        <v>9.4612784609648948E-4</v>
      </c>
      <c r="D1204">
        <v>3.363380962775997E-3</v>
      </c>
    </row>
    <row r="1205" spans="1:4" x14ac:dyDescent="0.25">
      <c r="A1205" s="2">
        <v>41555</v>
      </c>
      <c r="B1205">
        <v>-9.4523353432851565E-4</v>
      </c>
      <c r="D1205">
        <v>-7.8874227896952309E-4</v>
      </c>
    </row>
    <row r="1206" spans="1:4" x14ac:dyDescent="0.25">
      <c r="A1206" s="2">
        <v>41556</v>
      </c>
      <c r="B1206">
        <v>0</v>
      </c>
      <c r="D1206">
        <v>-4.7360270423115747E-3</v>
      </c>
    </row>
    <row r="1207" spans="1:4" x14ac:dyDescent="0.25">
      <c r="A1207" s="2">
        <v>41557</v>
      </c>
      <c r="B1207">
        <v>-9.4601357944845699E-4</v>
      </c>
      <c r="D1207">
        <v>-1.8836308348496589E-3</v>
      </c>
    </row>
    <row r="1208" spans="1:4" x14ac:dyDescent="0.25">
      <c r="A1208" s="2">
        <v>41558</v>
      </c>
      <c r="B1208">
        <v>0</v>
      </c>
      <c r="D1208">
        <v>1.7878417694083826E-3</v>
      </c>
    </row>
    <row r="1209" spans="1:4" x14ac:dyDescent="0.25">
      <c r="A1209" s="2">
        <v>41561</v>
      </c>
      <c r="B1209">
        <v>0</v>
      </c>
      <c r="D1209">
        <v>2.9742826155887414E-4</v>
      </c>
    </row>
    <row r="1210" spans="1:4" x14ac:dyDescent="0.25">
      <c r="A1210" s="2">
        <v>41562</v>
      </c>
      <c r="B1210">
        <v>-1.8939331119873781E-3</v>
      </c>
      <c r="D1210">
        <v>-2.9735612470016548E-3</v>
      </c>
    </row>
    <row r="1211" spans="1:4" x14ac:dyDescent="0.25">
      <c r="A1211" s="2">
        <v>41563</v>
      </c>
      <c r="B1211">
        <v>0</v>
      </c>
      <c r="D1211">
        <v>-1.8888026500620825E-3</v>
      </c>
    </row>
    <row r="1212" spans="1:4" x14ac:dyDescent="0.25">
      <c r="A1212" s="2">
        <v>41564</v>
      </c>
      <c r="B1212">
        <v>1.8975269010161888E-3</v>
      </c>
      <c r="D1212">
        <v>1.4143400790861405E-2</v>
      </c>
    </row>
    <row r="1213" spans="1:4" x14ac:dyDescent="0.25">
      <c r="A1213" s="2">
        <v>41565</v>
      </c>
      <c r="B1213">
        <v>1.8939331119873781E-3</v>
      </c>
      <c r="D1213">
        <v>2.1606903436031111E-3</v>
      </c>
    </row>
    <row r="1214" spans="1:4" x14ac:dyDescent="0.25">
      <c r="A1214" s="2">
        <v>41568</v>
      </c>
      <c r="B1214">
        <v>0</v>
      </c>
      <c r="D1214">
        <v>-1.3720046859306834E-3</v>
      </c>
    </row>
    <row r="1215" spans="1:4" x14ac:dyDescent="0.25">
      <c r="A1215" s="2">
        <v>41569</v>
      </c>
      <c r="B1215">
        <v>9.4523353432873769E-4</v>
      </c>
      <c r="D1215">
        <v>7.9489453331269555E-3</v>
      </c>
    </row>
    <row r="1216" spans="1:4" x14ac:dyDescent="0.25">
      <c r="A1216" s="2">
        <v>41570</v>
      </c>
      <c r="B1216">
        <v>1.8884537215928532E-3</v>
      </c>
      <c r="D1216">
        <v>2.628799333806553E-3</v>
      </c>
    </row>
    <row r="1217" spans="1:4" x14ac:dyDescent="0.25">
      <c r="A1217" s="2">
        <v>41571</v>
      </c>
      <c r="B1217">
        <v>-9.4244709307611529E-4</v>
      </c>
      <c r="D1217">
        <v>-5.8268034936947988E-4</v>
      </c>
    </row>
    <row r="1218" spans="1:4" x14ac:dyDescent="0.25">
      <c r="A1218" s="2">
        <v>41572</v>
      </c>
      <c r="B1218">
        <v>0</v>
      </c>
      <c r="D1218">
        <v>1.1659802065393521E-3</v>
      </c>
    </row>
    <row r="1219" spans="1:4" x14ac:dyDescent="0.25">
      <c r="A1219" s="2">
        <v>41575</v>
      </c>
      <c r="B1219">
        <v>9.4333613747665801E-4</v>
      </c>
      <c r="D1219">
        <v>-2.814447317340818E-3</v>
      </c>
    </row>
    <row r="1220" spans="1:4" x14ac:dyDescent="0.25">
      <c r="A1220" s="2">
        <v>41576</v>
      </c>
      <c r="B1220">
        <v>9.425609289370751E-4</v>
      </c>
      <c r="D1220">
        <v>-2.9197432380134725E-3</v>
      </c>
    </row>
    <row r="1221" spans="1:4" x14ac:dyDescent="0.25">
      <c r="A1221" s="2">
        <v>41577</v>
      </c>
      <c r="B1221">
        <v>9.4167334443473472E-4</v>
      </c>
      <c r="D1221">
        <v>4.8807727610955531E-4</v>
      </c>
    </row>
    <row r="1222" spans="1:4" x14ac:dyDescent="0.25">
      <c r="A1222" s="2">
        <v>41578</v>
      </c>
      <c r="B1222">
        <v>1.9794031180968563E-3</v>
      </c>
      <c r="D1222">
        <v>-4.7804709181760163E-3</v>
      </c>
    </row>
    <row r="1223" spans="1:4" x14ac:dyDescent="0.25">
      <c r="A1223" s="2">
        <v>41579</v>
      </c>
      <c r="B1223">
        <v>0</v>
      </c>
      <c r="D1223">
        <v>-5.3066139801867251E-3</v>
      </c>
    </row>
    <row r="1224" spans="1:4" x14ac:dyDescent="0.25">
      <c r="A1224" s="2">
        <v>41582</v>
      </c>
      <c r="B1224">
        <v>0</v>
      </c>
      <c r="D1224">
        <v>0</v>
      </c>
    </row>
    <row r="1225" spans="1:4" x14ac:dyDescent="0.25">
      <c r="A1225" s="2">
        <v>41583</v>
      </c>
      <c r="B1225">
        <v>-1.8814865331173714E-3</v>
      </c>
      <c r="D1225">
        <v>-4.1493597298624119E-3</v>
      </c>
    </row>
    <row r="1226" spans="1:4" x14ac:dyDescent="0.25">
      <c r="A1226" s="2">
        <v>41584</v>
      </c>
      <c r="B1226">
        <v>0</v>
      </c>
      <c r="D1226">
        <v>-2.1825559191713806E-3</v>
      </c>
    </row>
    <row r="1227" spans="1:4" x14ac:dyDescent="0.25">
      <c r="A1227" s="2">
        <v>41585</v>
      </c>
      <c r="B1227">
        <v>1.8850331976933976E-3</v>
      </c>
      <c r="D1227">
        <v>1.2924806804022193E-3</v>
      </c>
    </row>
    <row r="1228" spans="1:4" x14ac:dyDescent="0.25">
      <c r="A1228" s="2">
        <v>41586</v>
      </c>
      <c r="B1228">
        <v>0</v>
      </c>
      <c r="D1228">
        <v>-9.3337540374089922E-3</v>
      </c>
    </row>
    <row r="1229" spans="1:4" x14ac:dyDescent="0.25">
      <c r="A1229" s="2">
        <v>41589</v>
      </c>
      <c r="B1229">
        <v>0</v>
      </c>
      <c r="D1229">
        <v>2.3053288323093835E-3</v>
      </c>
    </row>
    <row r="1230" spans="1:4" x14ac:dyDescent="0.25">
      <c r="A1230" s="2">
        <v>41590</v>
      </c>
      <c r="B1230">
        <v>0</v>
      </c>
      <c r="D1230">
        <v>1.2999770942698774E-3</v>
      </c>
    </row>
    <row r="1231" spans="1:4" x14ac:dyDescent="0.25">
      <c r="A1231" s="2">
        <v>41591</v>
      </c>
      <c r="B1231">
        <v>0</v>
      </c>
      <c r="D1231">
        <v>2.6965306018564839E-3</v>
      </c>
    </row>
    <row r="1232" spans="1:4" x14ac:dyDescent="0.25">
      <c r="A1232" s="2">
        <v>41592</v>
      </c>
      <c r="B1232">
        <v>9.4074326655868568E-4</v>
      </c>
      <c r="D1232">
        <v>4.9796619295561229E-4</v>
      </c>
    </row>
    <row r="1233" spans="1:4" x14ac:dyDescent="0.25">
      <c r="A1233" s="2">
        <v>41593</v>
      </c>
      <c r="B1233">
        <v>-9.3985910043836718E-4</v>
      </c>
      <c r="D1233">
        <v>6.9686284536585319E-4</v>
      </c>
    </row>
    <row r="1234" spans="1:4" x14ac:dyDescent="0.25">
      <c r="A1234" s="2">
        <v>41596</v>
      </c>
      <c r="B1234">
        <v>9.4074326655868568E-4</v>
      </c>
      <c r="D1234">
        <v>6.9637756571405696E-4</v>
      </c>
    </row>
    <row r="1235" spans="1:4" x14ac:dyDescent="0.25">
      <c r="A1235" s="2">
        <v>41597</v>
      </c>
      <c r="B1235">
        <v>0</v>
      </c>
      <c r="D1235">
        <v>1.8888727101777913E-3</v>
      </c>
    </row>
    <row r="1236" spans="1:4" x14ac:dyDescent="0.25">
      <c r="A1236" s="2">
        <v>41598</v>
      </c>
      <c r="B1236">
        <v>9.3985910043836718E-4</v>
      </c>
      <c r="D1236">
        <v>-5.1597139487379318E-3</v>
      </c>
    </row>
    <row r="1237" spans="1:4" x14ac:dyDescent="0.25">
      <c r="A1237" s="2">
        <v>41599</v>
      </c>
      <c r="B1237">
        <v>0</v>
      </c>
      <c r="D1237">
        <v>-2.8924945932484736E-3</v>
      </c>
    </row>
    <row r="1238" spans="1:4" x14ac:dyDescent="0.25">
      <c r="A1238" s="2">
        <v>41600</v>
      </c>
      <c r="B1238">
        <v>0</v>
      </c>
      <c r="D1238">
        <v>5.4016309712434651E-3</v>
      </c>
    </row>
    <row r="1239" spans="1:4" x14ac:dyDescent="0.25">
      <c r="A1239" s="2">
        <v>41603</v>
      </c>
      <c r="B1239">
        <v>0</v>
      </c>
      <c r="D1239">
        <v>-4.3776962945920594E-3</v>
      </c>
    </row>
    <row r="1240" spans="1:4" x14ac:dyDescent="0.25">
      <c r="A1240" s="2">
        <v>41604</v>
      </c>
      <c r="B1240">
        <v>9.3897659474073691E-4</v>
      </c>
      <c r="D1240">
        <v>5.9957918799347087E-3</v>
      </c>
    </row>
    <row r="1241" spans="1:4" x14ac:dyDescent="0.25">
      <c r="A1241" s="2">
        <v>41605</v>
      </c>
      <c r="B1241">
        <v>9.3809574479264413E-4</v>
      </c>
      <c r="D1241">
        <v>-1.3906798781968543E-3</v>
      </c>
    </row>
    <row r="1242" spans="1:4" x14ac:dyDescent="0.25">
      <c r="A1242" s="2">
        <v>41607</v>
      </c>
      <c r="B1242">
        <v>1.407745344617517E-3</v>
      </c>
      <c r="D1242">
        <v>1.1937019364236523E-3</v>
      </c>
    </row>
    <row r="1243" spans="1:4" x14ac:dyDescent="0.25">
      <c r="A1243" s="2">
        <v>41610</v>
      </c>
      <c r="B1243">
        <v>-9.3725279788214877E-4</v>
      </c>
      <c r="D1243">
        <v>-7.3705030008518468E-3</v>
      </c>
    </row>
    <row r="1244" spans="1:4" x14ac:dyDescent="0.25">
      <c r="A1244" s="2">
        <v>41611</v>
      </c>
      <c r="B1244">
        <v>0</v>
      </c>
      <c r="D1244">
        <v>6.7228335980535903E-3</v>
      </c>
    </row>
    <row r="1245" spans="1:4" x14ac:dyDescent="0.25">
      <c r="A1245" s="2">
        <v>41612</v>
      </c>
      <c r="B1245">
        <v>-9.3801914566316036E-4</v>
      </c>
      <c r="D1245">
        <v>-1.8937733918289457E-3</v>
      </c>
    </row>
    <row r="1246" spans="1:4" x14ac:dyDescent="0.25">
      <c r="A1246" s="2">
        <v>41613</v>
      </c>
      <c r="B1246">
        <v>-1.8779127285408759E-3</v>
      </c>
      <c r="D1246">
        <v>3.6948556231513052E-3</v>
      </c>
    </row>
    <row r="1247" spans="1:4" x14ac:dyDescent="0.25">
      <c r="A1247" s="2">
        <v>41614</v>
      </c>
      <c r="B1247">
        <v>9.4077957878702101E-4</v>
      </c>
      <c r="D1247">
        <v>-9.9491534071505239E-4</v>
      </c>
    </row>
    <row r="1248" spans="1:4" x14ac:dyDescent="0.25">
      <c r="A1248" s="2">
        <v>41617</v>
      </c>
      <c r="B1248">
        <v>9.3978221308010923E-4</v>
      </c>
      <c r="D1248">
        <v>2.8880994100408675E-3</v>
      </c>
    </row>
    <row r="1249" spans="1:4" x14ac:dyDescent="0.25">
      <c r="A1249" s="2">
        <v>41618</v>
      </c>
      <c r="B1249">
        <v>0</v>
      </c>
      <c r="D1249">
        <v>3.3764029741905066E-3</v>
      </c>
    </row>
    <row r="1250" spans="1:4" x14ac:dyDescent="0.25">
      <c r="A1250" s="2">
        <v>41619</v>
      </c>
      <c r="B1250">
        <v>4.7504467036163511E-4</v>
      </c>
      <c r="D1250">
        <v>2.1773689072626112E-3</v>
      </c>
    </row>
    <row r="1251" spans="1:4" x14ac:dyDescent="0.25">
      <c r="A1251" s="2">
        <v>41620</v>
      </c>
      <c r="B1251">
        <v>0</v>
      </c>
      <c r="D1251">
        <v>-5.3328228674081046E-3</v>
      </c>
    </row>
    <row r="1252" spans="1:4" x14ac:dyDescent="0.25">
      <c r="A1252" s="2">
        <v>41621</v>
      </c>
      <c r="B1252">
        <v>-9.4952524867275567E-4</v>
      </c>
      <c r="D1252">
        <v>-7.942971455263681E-4</v>
      </c>
    </row>
    <row r="1253" spans="1:4" x14ac:dyDescent="0.25">
      <c r="A1253" s="2">
        <v>41624</v>
      </c>
      <c r="B1253">
        <v>9.504277037746256E-4</v>
      </c>
      <c r="D1253">
        <v>4.9685575369928792E-4</v>
      </c>
    </row>
    <row r="1254" spans="1:4" x14ac:dyDescent="0.25">
      <c r="A1254" s="2">
        <v>41625</v>
      </c>
      <c r="B1254">
        <v>9.4975119162321597E-4</v>
      </c>
      <c r="D1254">
        <v>2.9793899642316379E-3</v>
      </c>
    </row>
    <row r="1255" spans="1:4" x14ac:dyDescent="0.25">
      <c r="A1255" s="2">
        <v>41626</v>
      </c>
      <c r="B1255">
        <v>0</v>
      </c>
      <c r="D1255">
        <v>-6.0402071747632791E-3</v>
      </c>
    </row>
    <row r="1256" spans="1:4" x14ac:dyDescent="0.25">
      <c r="A1256" s="2">
        <v>41627</v>
      </c>
      <c r="B1256">
        <v>0</v>
      </c>
      <c r="D1256">
        <v>-3.6859401123453539E-3</v>
      </c>
    </row>
    <row r="1257" spans="1:4" x14ac:dyDescent="0.25">
      <c r="A1257" s="2">
        <v>41628</v>
      </c>
      <c r="B1257">
        <v>-1.8974743118072013E-3</v>
      </c>
      <c r="D1257">
        <v>1.4998648075301713E-3</v>
      </c>
    </row>
    <row r="1258" spans="1:4" x14ac:dyDescent="0.25">
      <c r="A1258" s="2">
        <v>41631</v>
      </c>
      <c r="B1258">
        <v>0</v>
      </c>
      <c r="D1258">
        <v>-1.3978324850391077E-3</v>
      </c>
    </row>
    <row r="1259" spans="1:4" x14ac:dyDescent="0.25">
      <c r="A1259" s="2">
        <v>41632</v>
      </c>
      <c r="B1259">
        <v>-9.506538614673099E-4</v>
      </c>
      <c r="D1259">
        <v>-2.499504435842459E-3</v>
      </c>
    </row>
    <row r="1260" spans="1:4" x14ac:dyDescent="0.25">
      <c r="A1260" s="2">
        <v>41634</v>
      </c>
      <c r="B1260">
        <v>0</v>
      </c>
      <c r="D1260">
        <v>2.6094599926402839E-3</v>
      </c>
    </row>
    <row r="1261" spans="1:4" x14ac:dyDescent="0.25">
      <c r="A1261" s="2">
        <v>41635</v>
      </c>
      <c r="B1261">
        <v>0</v>
      </c>
      <c r="D1261">
        <v>-2.0020510681197923E-3</v>
      </c>
    </row>
    <row r="1262" spans="1:4" x14ac:dyDescent="0.25">
      <c r="A1262" s="2">
        <v>41638</v>
      </c>
      <c r="B1262">
        <v>0</v>
      </c>
      <c r="D1262">
        <v>5.316017944388296E-3</v>
      </c>
    </row>
    <row r="1263" spans="1:4" x14ac:dyDescent="0.25">
      <c r="A1263" s="2">
        <v>41639</v>
      </c>
      <c r="B1263">
        <v>2.3821219742432564E-3</v>
      </c>
      <c r="D1263">
        <v>-3.990898456505132E-4</v>
      </c>
    </row>
    <row r="1264" spans="1:4" x14ac:dyDescent="0.25">
      <c r="A1264" s="2">
        <v>41641</v>
      </c>
      <c r="B1264">
        <v>9.5042629730301975E-4</v>
      </c>
      <c r="D1264">
        <v>-1.3973364540581512E-3</v>
      </c>
    </row>
    <row r="1265" spans="1:4" x14ac:dyDescent="0.25">
      <c r="A1265" s="2">
        <v>41642</v>
      </c>
      <c r="B1265">
        <v>9.4974946536408034E-4</v>
      </c>
      <c r="D1265">
        <v>-4.7976431296221644E-3</v>
      </c>
    </row>
    <row r="1266" spans="1:4" x14ac:dyDescent="0.25">
      <c r="A1266" s="2">
        <v>41645</v>
      </c>
      <c r="B1266">
        <v>0</v>
      </c>
      <c r="D1266">
        <v>3.0129885808138912E-3</v>
      </c>
    </row>
    <row r="1267" spans="1:4" x14ac:dyDescent="0.25">
      <c r="A1267" s="2">
        <v>41646</v>
      </c>
      <c r="B1267">
        <v>1.8975838911954312E-3</v>
      </c>
      <c r="D1267">
        <v>-1.1014353187988046E-3</v>
      </c>
    </row>
    <row r="1268" spans="1:4" x14ac:dyDescent="0.25">
      <c r="A1268" s="2">
        <v>41647</v>
      </c>
      <c r="B1268">
        <v>0</v>
      </c>
      <c r="D1268">
        <v>-1.8043295472184306E-3</v>
      </c>
    </row>
    <row r="1269" spans="1:4" x14ac:dyDescent="0.25">
      <c r="A1269" s="2">
        <v>41648</v>
      </c>
      <c r="B1269">
        <v>0</v>
      </c>
      <c r="D1269">
        <v>1.3054544924511191E-3</v>
      </c>
    </row>
    <row r="1270" spans="1:4" x14ac:dyDescent="0.25">
      <c r="A1270" s="2">
        <v>41649</v>
      </c>
      <c r="B1270">
        <v>0</v>
      </c>
      <c r="D1270">
        <v>6.7194659044307326E-3</v>
      </c>
    </row>
    <row r="1271" spans="1:4" x14ac:dyDescent="0.25">
      <c r="A1271" s="2">
        <v>41652</v>
      </c>
      <c r="B1271">
        <v>0</v>
      </c>
      <c r="D1271">
        <v>5.1803544586515038E-3</v>
      </c>
    </row>
    <row r="1272" spans="1:4" x14ac:dyDescent="0.25">
      <c r="A1272" s="2">
        <v>41653</v>
      </c>
      <c r="B1272">
        <v>1.8938773967487332E-3</v>
      </c>
      <c r="D1272">
        <v>-4.3607770855870198E-3</v>
      </c>
    </row>
    <row r="1273" spans="1:4" x14ac:dyDescent="0.25">
      <c r="A1273" s="2">
        <v>41654</v>
      </c>
      <c r="B1273">
        <v>0</v>
      </c>
      <c r="D1273">
        <v>-4.5789292448152885E-3</v>
      </c>
    </row>
    <row r="1274" spans="1:4" x14ac:dyDescent="0.25">
      <c r="A1274" s="2">
        <v>41655</v>
      </c>
      <c r="B1274">
        <v>0</v>
      </c>
      <c r="D1274">
        <v>3.2000008498416221E-3</v>
      </c>
    </row>
    <row r="1275" spans="1:4" x14ac:dyDescent="0.25">
      <c r="A1275" s="2">
        <v>41656</v>
      </c>
      <c r="B1275">
        <v>9.4514870260997697E-4</v>
      </c>
      <c r="D1275">
        <v>-1.1962056565100188E-3</v>
      </c>
    </row>
    <row r="1276" spans="1:4" x14ac:dyDescent="0.25">
      <c r="A1276" s="2">
        <v>41660</v>
      </c>
      <c r="B1276">
        <v>-9.4425624004979003E-4</v>
      </c>
      <c r="D1276">
        <v>-3.3931725341553864E-3</v>
      </c>
    </row>
    <row r="1277" spans="1:4" x14ac:dyDescent="0.25">
      <c r="A1277" s="2">
        <v>41661</v>
      </c>
      <c r="B1277">
        <v>0</v>
      </c>
      <c r="D1277">
        <v>-3.0040851937651603E-4</v>
      </c>
    </row>
    <row r="1278" spans="1:4" x14ac:dyDescent="0.25">
      <c r="A1278" s="2">
        <v>41662</v>
      </c>
      <c r="B1278">
        <v>0</v>
      </c>
      <c r="D1278">
        <v>1.0117147360027889E-2</v>
      </c>
    </row>
    <row r="1279" spans="1:4" x14ac:dyDescent="0.25">
      <c r="A1279" s="2">
        <v>41663</v>
      </c>
      <c r="B1279">
        <v>0</v>
      </c>
      <c r="D1279">
        <v>2.0825752987696511E-3</v>
      </c>
    </row>
    <row r="1280" spans="1:4" x14ac:dyDescent="0.25">
      <c r="A1280" s="2">
        <v>41666</v>
      </c>
      <c r="B1280">
        <v>9.4514870260997697E-4</v>
      </c>
      <c r="D1280">
        <v>-1.4844348435317789E-3</v>
      </c>
    </row>
    <row r="1281" spans="1:4" x14ac:dyDescent="0.25">
      <c r="A1281" s="2">
        <v>41667</v>
      </c>
      <c r="B1281">
        <v>0</v>
      </c>
      <c r="D1281">
        <v>-1.2884470733882658E-3</v>
      </c>
    </row>
    <row r="1282" spans="1:4" x14ac:dyDescent="0.25">
      <c r="A1282" s="2">
        <v>41668</v>
      </c>
      <c r="B1282">
        <v>-1.8885124800995801E-3</v>
      </c>
      <c r="D1282">
        <v>2.2824519660955556E-3</v>
      </c>
    </row>
    <row r="1283" spans="1:4" x14ac:dyDescent="0.25">
      <c r="A1283" s="2">
        <v>41669</v>
      </c>
      <c r="B1283">
        <v>1.8920857075717112E-3</v>
      </c>
      <c r="D1283">
        <v>-5.0495246213817513E-3</v>
      </c>
    </row>
    <row r="1284" spans="1:4" x14ac:dyDescent="0.25">
      <c r="A1284" s="2">
        <v>41670</v>
      </c>
      <c r="B1284">
        <v>2.4589024754253508E-3</v>
      </c>
      <c r="D1284">
        <v>2.4878148889753149E-3</v>
      </c>
    </row>
    <row r="1285" spans="1:4" x14ac:dyDescent="0.25">
      <c r="A1285" s="2">
        <v>41673</v>
      </c>
      <c r="B1285">
        <v>-9.433947485442129E-4</v>
      </c>
      <c r="D1285">
        <v>1.5801865858395825E-3</v>
      </c>
    </row>
    <row r="1286" spans="1:4" x14ac:dyDescent="0.25">
      <c r="A1286" s="2">
        <v>41674</v>
      </c>
      <c r="B1286">
        <v>1.8885711652079085E-3</v>
      </c>
      <c r="D1286">
        <v>-7.9382748739253994E-4</v>
      </c>
    </row>
    <row r="1287" spans="1:4" x14ac:dyDescent="0.25">
      <c r="A1287" s="2">
        <v>41675</v>
      </c>
      <c r="B1287">
        <v>9.4250559371622522E-4</v>
      </c>
      <c r="D1287">
        <v>2.9791750042220677E-3</v>
      </c>
    </row>
    <row r="1288" spans="1:4" x14ac:dyDescent="0.25">
      <c r="A1288" s="2">
        <v>41676</v>
      </c>
      <c r="B1288">
        <v>0</v>
      </c>
      <c r="D1288">
        <v>-1.287105524743315E-3</v>
      </c>
    </row>
    <row r="1289" spans="1:4" x14ac:dyDescent="0.25">
      <c r="A1289" s="2">
        <v>41677</v>
      </c>
      <c r="B1289">
        <v>0</v>
      </c>
      <c r="D1289">
        <v>4.857724746145875E-3</v>
      </c>
    </row>
    <row r="1290" spans="1:4" x14ac:dyDescent="0.25">
      <c r="A1290" s="2">
        <v>41680</v>
      </c>
      <c r="B1290">
        <v>0</v>
      </c>
      <c r="D1290">
        <v>0</v>
      </c>
    </row>
    <row r="1291" spans="1:4" x14ac:dyDescent="0.25">
      <c r="A1291" s="2">
        <v>41681</v>
      </c>
      <c r="B1291">
        <v>0</v>
      </c>
      <c r="D1291">
        <v>-1.1839326063403099E-3</v>
      </c>
    </row>
    <row r="1292" spans="1:4" x14ac:dyDescent="0.25">
      <c r="A1292" s="2">
        <v>41682</v>
      </c>
      <c r="B1292">
        <v>-9.4161811337722945E-4</v>
      </c>
      <c r="D1292">
        <v>8.8901960865728213E-4</v>
      </c>
    </row>
    <row r="1293" spans="1:4" x14ac:dyDescent="0.25">
      <c r="A1293" s="2">
        <v>41683</v>
      </c>
      <c r="B1293">
        <v>9.4250559371622522E-4</v>
      </c>
      <c r="D1293">
        <v>2.269764375052663E-3</v>
      </c>
    </row>
    <row r="1294" spans="1:4" x14ac:dyDescent="0.25">
      <c r="A1294" s="2">
        <v>41684</v>
      </c>
      <c r="B1294">
        <v>9.4161811337745149E-4</v>
      </c>
      <c r="D1294">
        <v>2.4615995948140679E-3</v>
      </c>
    </row>
    <row r="1295" spans="1:4" x14ac:dyDescent="0.25">
      <c r="A1295" s="2">
        <v>41688</v>
      </c>
      <c r="B1295">
        <v>9.4073230280122822E-4</v>
      </c>
      <c r="D1295">
        <v>4.8129443215896295E-3</v>
      </c>
    </row>
    <row r="1296" spans="1:4" x14ac:dyDescent="0.25">
      <c r="A1296" s="2">
        <v>41689</v>
      </c>
      <c r="B1296">
        <v>0</v>
      </c>
      <c r="D1296">
        <v>-4.3988695767451791E-3</v>
      </c>
    </row>
    <row r="1297" spans="1:4" x14ac:dyDescent="0.25">
      <c r="A1297" s="2">
        <v>41690</v>
      </c>
      <c r="B1297">
        <v>0</v>
      </c>
      <c r="D1297">
        <v>3.9273890111424237E-4</v>
      </c>
    </row>
    <row r="1298" spans="1:4" x14ac:dyDescent="0.25">
      <c r="A1298" s="2">
        <v>41691</v>
      </c>
      <c r="B1298">
        <v>9.3984815727998772E-4</v>
      </c>
      <c r="D1298">
        <v>1.2758627836955139E-3</v>
      </c>
    </row>
    <row r="1299" spans="1:4" x14ac:dyDescent="0.25">
      <c r="A1299" s="2">
        <v>41694</v>
      </c>
      <c r="B1299">
        <v>0</v>
      </c>
      <c r="D1299">
        <v>-3.1366357732264261E-3</v>
      </c>
    </row>
    <row r="1300" spans="1:4" x14ac:dyDescent="0.25">
      <c r="A1300" s="2">
        <v>41695</v>
      </c>
      <c r="B1300">
        <v>9.3896567212348181E-4</v>
      </c>
      <c r="D1300">
        <v>6.096386455670233E-3</v>
      </c>
    </row>
    <row r="1301" spans="1:4" x14ac:dyDescent="0.25">
      <c r="A1301" s="2">
        <v>41696</v>
      </c>
      <c r="B1301">
        <v>0</v>
      </c>
      <c r="D1301">
        <v>-2.6387481046160621E-3</v>
      </c>
    </row>
    <row r="1302" spans="1:4" x14ac:dyDescent="0.25">
      <c r="A1302" s="2">
        <v>41697</v>
      </c>
      <c r="B1302">
        <v>2.8142545279756792E-3</v>
      </c>
      <c r="D1302">
        <v>4.6055254588519556E-3</v>
      </c>
    </row>
    <row r="1303" spans="1:4" x14ac:dyDescent="0.25">
      <c r="A1303" s="2">
        <v>41698</v>
      </c>
      <c r="B1303">
        <v>-9.3756036585013192E-5</v>
      </c>
      <c r="D1303">
        <v>3.1213380924388634E-3</v>
      </c>
    </row>
    <row r="1304" spans="1:4" x14ac:dyDescent="0.25">
      <c r="A1304" s="2">
        <v>41701</v>
      </c>
      <c r="B1304">
        <v>0</v>
      </c>
      <c r="D1304">
        <v>3.3780541145205234E-3</v>
      </c>
    </row>
    <row r="1305" spans="1:4" x14ac:dyDescent="0.25">
      <c r="A1305" s="2">
        <v>41702</v>
      </c>
      <c r="B1305">
        <v>2.8116132565936258E-3</v>
      </c>
      <c r="D1305">
        <v>-5.3362078282528369E-3</v>
      </c>
    </row>
    <row r="1306" spans="1:4" x14ac:dyDescent="0.25">
      <c r="A1306" s="2">
        <v>41703</v>
      </c>
      <c r="B1306">
        <v>9.3457675048314037E-4</v>
      </c>
      <c r="D1306">
        <v>3.2188994358737233E-3</v>
      </c>
    </row>
    <row r="1307" spans="1:4" x14ac:dyDescent="0.25">
      <c r="A1307" s="2">
        <v>41704</v>
      </c>
      <c r="B1307">
        <v>-9.3370413230930982E-4</v>
      </c>
      <c r="D1307">
        <v>3.3058221207125094E-3</v>
      </c>
    </row>
    <row r="1308" spans="1:4" x14ac:dyDescent="0.25">
      <c r="A1308" s="2">
        <v>41705</v>
      </c>
      <c r="B1308">
        <v>0</v>
      </c>
      <c r="D1308">
        <v>-4.8457258918999102E-4</v>
      </c>
    </row>
    <row r="1309" spans="1:4" x14ac:dyDescent="0.25">
      <c r="A1309" s="2">
        <v>41708</v>
      </c>
      <c r="B1309">
        <v>0</v>
      </c>
      <c r="D1309">
        <v>1.0665132946359179E-3</v>
      </c>
    </row>
    <row r="1310" spans="1:4" x14ac:dyDescent="0.25">
      <c r="A1310" s="2">
        <v>41709</v>
      </c>
      <c r="B1310">
        <v>-9.3457675048358446E-4</v>
      </c>
      <c r="D1310">
        <v>-3.8741010766969453E-3</v>
      </c>
    </row>
    <row r="1311" spans="1:4" x14ac:dyDescent="0.25">
      <c r="A1311" s="2">
        <v>41710</v>
      </c>
      <c r="B1311">
        <v>-9.3534024455077525E-4</v>
      </c>
      <c r="D1311">
        <v>2.6252253809742054E-3</v>
      </c>
    </row>
    <row r="1312" spans="1:4" x14ac:dyDescent="0.25">
      <c r="A1312" s="2">
        <v>41711</v>
      </c>
      <c r="B1312">
        <v>-1.8727644311118397E-3</v>
      </c>
      <c r="D1312">
        <v>1.5515524527425217E-3</v>
      </c>
    </row>
    <row r="1313" spans="1:4" x14ac:dyDescent="0.25">
      <c r="A1313" s="2">
        <v>41712</v>
      </c>
      <c r="B1313">
        <v>9.3808359495506366E-4</v>
      </c>
      <c r="D1313">
        <v>3.2920585145519432E-3</v>
      </c>
    </row>
    <row r="1314" spans="1:4" x14ac:dyDescent="0.25">
      <c r="A1314" s="2">
        <v>41715</v>
      </c>
      <c r="B1314">
        <v>9.3731538315755536E-4</v>
      </c>
      <c r="D1314">
        <v>1.1580320734434491E-3</v>
      </c>
    </row>
    <row r="1315" spans="1:4" x14ac:dyDescent="0.25">
      <c r="A1315" s="2">
        <v>41716</v>
      </c>
      <c r="B1315">
        <v>0</v>
      </c>
      <c r="D1315">
        <v>3.9522188288028115E-3</v>
      </c>
    </row>
    <row r="1316" spans="1:4" x14ac:dyDescent="0.25">
      <c r="A1316" s="2">
        <v>41717</v>
      </c>
      <c r="B1316">
        <v>9.3621592498305262E-4</v>
      </c>
      <c r="D1316">
        <v>-1.1809922149472518E-2</v>
      </c>
    </row>
    <row r="1317" spans="1:4" x14ac:dyDescent="0.25">
      <c r="A1317" s="2">
        <v>41718</v>
      </c>
      <c r="B1317">
        <v>-9.3534024455077525E-4</v>
      </c>
      <c r="D1317">
        <v>-5.1496159296892108E-3</v>
      </c>
    </row>
    <row r="1318" spans="1:4" x14ac:dyDescent="0.25">
      <c r="A1318" s="2">
        <v>41719</v>
      </c>
      <c r="B1318">
        <v>9.3621592498305262E-4</v>
      </c>
      <c r="D1318">
        <v>1.3673088009069634E-3</v>
      </c>
    </row>
    <row r="1319" spans="1:4" x14ac:dyDescent="0.25">
      <c r="A1319" s="2">
        <v>41722</v>
      </c>
      <c r="B1319">
        <v>0</v>
      </c>
      <c r="D1319">
        <v>4.6815914870570463E-3</v>
      </c>
    </row>
    <row r="1320" spans="1:4" x14ac:dyDescent="0.25">
      <c r="A1320" s="2">
        <v>41723</v>
      </c>
      <c r="B1320">
        <v>9.3545100124048375E-4</v>
      </c>
      <c r="D1320">
        <v>1.9415289473434516E-3</v>
      </c>
    </row>
    <row r="1321" spans="1:4" x14ac:dyDescent="0.25">
      <c r="A1321" s="2">
        <v>41724</v>
      </c>
      <c r="B1321">
        <v>0</v>
      </c>
      <c r="D1321">
        <v>-9.691153933455432E-5</v>
      </c>
    </row>
    <row r="1322" spans="1:4" x14ac:dyDescent="0.25">
      <c r="A1322" s="2">
        <v>41725</v>
      </c>
      <c r="B1322">
        <v>1.8692641541457888E-3</v>
      </c>
      <c r="D1322">
        <v>9.6905132448710241E-4</v>
      </c>
    </row>
    <row r="1323" spans="1:4" x14ac:dyDescent="0.25">
      <c r="A1323" s="2">
        <v>41726</v>
      </c>
      <c r="B1323">
        <v>0</v>
      </c>
      <c r="D1323">
        <v>-3.5818234093069057E-3</v>
      </c>
    </row>
    <row r="1324" spans="1:4" x14ac:dyDescent="0.25">
      <c r="A1324" s="2">
        <v>41729</v>
      </c>
      <c r="B1324">
        <v>2.0564075722717678E-3</v>
      </c>
      <c r="D1324">
        <v>1.942711264553143E-4</v>
      </c>
    </row>
    <row r="1325" spans="1:4" x14ac:dyDescent="0.25">
      <c r="A1325" s="2">
        <v>41730</v>
      </c>
      <c r="B1325">
        <v>9.3279243202570861E-4</v>
      </c>
      <c r="D1325">
        <v>3.8606831642373773E-3</v>
      </c>
    </row>
    <row r="1326" spans="1:4" x14ac:dyDescent="0.25">
      <c r="A1326" s="2">
        <v>41731</v>
      </c>
      <c r="B1326">
        <v>0</v>
      </c>
      <c r="D1326">
        <v>-6.8779081569881884E-3</v>
      </c>
    </row>
    <row r="1327" spans="1:4" x14ac:dyDescent="0.25">
      <c r="A1327" s="2">
        <v>41732</v>
      </c>
      <c r="B1327">
        <v>0</v>
      </c>
      <c r="D1327">
        <v>-2.7311639026694756E-3</v>
      </c>
    </row>
    <row r="1328" spans="1:4" x14ac:dyDescent="0.25">
      <c r="A1328" s="2">
        <v>41733</v>
      </c>
      <c r="B1328">
        <v>1.8639563996953878E-3</v>
      </c>
      <c r="D1328">
        <v>7.9225821787969331E-3</v>
      </c>
    </row>
    <row r="1329" spans="1:4" x14ac:dyDescent="0.25">
      <c r="A1329" s="2">
        <v>41736</v>
      </c>
      <c r="B1329">
        <v>0</v>
      </c>
      <c r="D1329">
        <v>4.8515360334500102E-4</v>
      </c>
    </row>
    <row r="1330" spans="1:4" x14ac:dyDescent="0.25">
      <c r="A1330" s="2">
        <v>41737</v>
      </c>
      <c r="B1330">
        <v>-9.3029922133602838E-4</v>
      </c>
      <c r="D1330">
        <v>3.5887807933514537E-3</v>
      </c>
    </row>
    <row r="1331" spans="1:4" x14ac:dyDescent="0.25">
      <c r="A1331" s="2">
        <v>41738</v>
      </c>
      <c r="B1331">
        <v>0</v>
      </c>
      <c r="D1331">
        <v>4.6389824771193577E-3</v>
      </c>
    </row>
    <row r="1332" spans="1:4" x14ac:dyDescent="0.25">
      <c r="A1332" s="2">
        <v>41739</v>
      </c>
      <c r="B1332">
        <v>0</v>
      </c>
      <c r="D1332">
        <v>4.9062217214177473E-3</v>
      </c>
    </row>
    <row r="1333" spans="1:4" x14ac:dyDescent="0.25">
      <c r="A1333" s="2">
        <v>41740</v>
      </c>
      <c r="B1333">
        <v>-9.3105546903493597E-4</v>
      </c>
      <c r="D1333">
        <v>-1.6273935099190284E-3</v>
      </c>
    </row>
    <row r="1334" spans="1:4" x14ac:dyDescent="0.25">
      <c r="A1334" s="2">
        <v>41743</v>
      </c>
      <c r="B1334">
        <v>9.3192314117218622E-4</v>
      </c>
      <c r="D1334">
        <v>-3.0683676851388508E-3</v>
      </c>
    </row>
    <row r="1335" spans="1:4" x14ac:dyDescent="0.25">
      <c r="A1335" s="2">
        <v>41744</v>
      </c>
      <c r="B1335">
        <v>9.3116548386062981E-4</v>
      </c>
      <c r="D1335">
        <v>1.5388715045425716E-3</v>
      </c>
    </row>
    <row r="1336" spans="1:4" x14ac:dyDescent="0.25">
      <c r="A1336" s="2">
        <v>41745</v>
      </c>
      <c r="B1336">
        <v>9.3029922133602838E-4</v>
      </c>
      <c r="D1336">
        <v>-7.682144069927066E-4</v>
      </c>
    </row>
    <row r="1337" spans="1:4" x14ac:dyDescent="0.25">
      <c r="A1337" s="2">
        <v>41746</v>
      </c>
      <c r="B1337">
        <v>9.2932475875762144E-4</v>
      </c>
      <c r="D1337">
        <v>-3.4598867037372028E-3</v>
      </c>
    </row>
    <row r="1338" spans="1:4" x14ac:dyDescent="0.25">
      <c r="A1338" s="2">
        <v>41750</v>
      </c>
      <c r="B1338">
        <v>0</v>
      </c>
      <c r="D1338">
        <v>7.7147422750289962E-4</v>
      </c>
    </row>
    <row r="1339" spans="1:4" x14ac:dyDescent="0.25">
      <c r="A1339" s="2">
        <v>41751</v>
      </c>
      <c r="B1339">
        <v>9.2846191611162254E-4</v>
      </c>
      <c r="D1339">
        <v>2.6019562364953952E-3</v>
      </c>
    </row>
    <row r="1340" spans="1:4" x14ac:dyDescent="0.25">
      <c r="A1340" s="2">
        <v>41752</v>
      </c>
      <c r="B1340">
        <v>-9.2760067421226999E-4</v>
      </c>
      <c r="D1340">
        <v>-1.7301096630368828E-3</v>
      </c>
    </row>
    <row r="1341" spans="1:4" x14ac:dyDescent="0.25">
      <c r="A1341" s="2">
        <v>41753</v>
      </c>
      <c r="B1341">
        <v>0</v>
      </c>
      <c r="D1341">
        <v>2.3107814375917801E-3</v>
      </c>
    </row>
    <row r="1342" spans="1:4" x14ac:dyDescent="0.25">
      <c r="A1342" s="2">
        <v>41754</v>
      </c>
      <c r="B1342">
        <v>0</v>
      </c>
      <c r="D1342">
        <v>-3.8425700695066123E-4</v>
      </c>
    </row>
    <row r="1343" spans="1:4" x14ac:dyDescent="0.25">
      <c r="A1343" s="2">
        <v>41757</v>
      </c>
      <c r="B1343">
        <v>-9.284619161114005E-4</v>
      </c>
      <c r="D1343">
        <v>-1.2492541930262391E-3</v>
      </c>
    </row>
    <row r="1344" spans="1:4" x14ac:dyDescent="0.25">
      <c r="A1344" s="2">
        <v>41758</v>
      </c>
      <c r="B1344">
        <v>9.2932475875762144E-4</v>
      </c>
      <c r="D1344">
        <v>-1.0584082925756411E-3</v>
      </c>
    </row>
    <row r="1345" spans="1:4" x14ac:dyDescent="0.25">
      <c r="A1345" s="2">
        <v>41759</v>
      </c>
      <c r="B1345">
        <v>2.04693872513384E-3</v>
      </c>
      <c r="D1345">
        <v>4.3344004943268732E-3</v>
      </c>
    </row>
    <row r="1346" spans="1:4" x14ac:dyDescent="0.25">
      <c r="A1346" s="2">
        <v>41760</v>
      </c>
      <c r="B1346">
        <v>0</v>
      </c>
      <c r="D1346">
        <v>-8.9290231981131729E-4</v>
      </c>
    </row>
    <row r="1347" spans="1:4" x14ac:dyDescent="0.25">
      <c r="A1347" s="2">
        <v>41761</v>
      </c>
      <c r="B1347">
        <v>1.8569625365663089E-3</v>
      </c>
      <c r="D1347">
        <v>1.2493278365124372E-3</v>
      </c>
    </row>
    <row r="1348" spans="1:4" x14ac:dyDescent="0.25">
      <c r="A1348" s="2">
        <v>41764</v>
      </c>
      <c r="B1348">
        <v>0</v>
      </c>
      <c r="D1348">
        <v>8.6376723583336812E-4</v>
      </c>
    </row>
    <row r="1349" spans="1:4" x14ac:dyDescent="0.25">
      <c r="A1349" s="2">
        <v>41765</v>
      </c>
      <c r="B1349">
        <v>9.2681494977320256E-4</v>
      </c>
      <c r="D1349">
        <v>6.5209134795674029E-3</v>
      </c>
    </row>
    <row r="1350" spans="1:4" x14ac:dyDescent="0.25">
      <c r="A1350" s="2">
        <v>41766</v>
      </c>
      <c r="B1350">
        <v>0</v>
      </c>
      <c r="D1350">
        <v>-9.5273398442485835E-4</v>
      </c>
    </row>
    <row r="1351" spans="1:4" x14ac:dyDescent="0.25">
      <c r="A1351" s="2">
        <v>41767</v>
      </c>
      <c r="B1351">
        <v>1.8518043382729221E-3</v>
      </c>
      <c r="D1351">
        <v>-1.6211894296039864E-3</v>
      </c>
    </row>
    <row r="1352" spans="1:4" x14ac:dyDescent="0.25">
      <c r="A1352" s="2">
        <v>41768</v>
      </c>
      <c r="B1352">
        <v>-9.2413625953235989E-4</v>
      </c>
      <c r="D1352">
        <v>-5.6357236284232393E-3</v>
      </c>
    </row>
    <row r="1353" spans="1:4" x14ac:dyDescent="0.25">
      <c r="A1353" s="2">
        <v>41771</v>
      </c>
      <c r="B1353">
        <v>0</v>
      </c>
      <c r="D1353">
        <v>-1.0566857924196871E-3</v>
      </c>
    </row>
    <row r="1354" spans="1:4" x14ac:dyDescent="0.25">
      <c r="A1354" s="2">
        <v>41772</v>
      </c>
      <c r="B1354">
        <v>0</v>
      </c>
      <c r="D1354">
        <v>-3.8466206155551852E-4</v>
      </c>
    </row>
    <row r="1355" spans="1:4" x14ac:dyDescent="0.25">
      <c r="A1355" s="2">
        <v>41773</v>
      </c>
      <c r="B1355">
        <v>0</v>
      </c>
      <c r="D1355">
        <v>3.9442422210500538E-3</v>
      </c>
    </row>
    <row r="1356" spans="1:4" x14ac:dyDescent="0.25">
      <c r="A1356" s="2">
        <v>41774</v>
      </c>
      <c r="B1356">
        <v>-2.7753004693892303E-3</v>
      </c>
      <c r="D1356">
        <v>-1.5331930488259315E-3</v>
      </c>
    </row>
    <row r="1357" spans="1:4" x14ac:dyDescent="0.25">
      <c r="A1357" s="2">
        <v>41775</v>
      </c>
      <c r="B1357">
        <v>9.2767473258392741E-4</v>
      </c>
      <c r="D1357">
        <v>1.0556717194087906E-3</v>
      </c>
    </row>
    <row r="1358" spans="1:4" x14ac:dyDescent="0.25">
      <c r="A1358" s="2">
        <v>41778</v>
      </c>
      <c r="B1358">
        <v>-9.2681494977320256E-4</v>
      </c>
      <c r="D1358">
        <v>-1.7256251523799504E-3</v>
      </c>
    </row>
    <row r="1359" spans="1:4" x14ac:dyDescent="0.25">
      <c r="A1359" s="2">
        <v>41779</v>
      </c>
      <c r="B1359">
        <v>-2.7829148150453342E-3</v>
      </c>
      <c r="D1359">
        <v>-2.4008543227768131E-3</v>
      </c>
    </row>
    <row r="1360" spans="1:4" x14ac:dyDescent="0.25">
      <c r="A1360" s="2">
        <v>41780</v>
      </c>
      <c r="B1360">
        <v>1.8605271537477375E-3</v>
      </c>
      <c r="D1360">
        <v>-1.2514143403595801E-3</v>
      </c>
    </row>
    <row r="1361" spans="1:4" x14ac:dyDescent="0.25">
      <c r="A1361" s="2">
        <v>41781</v>
      </c>
      <c r="B1361">
        <v>0</v>
      </c>
      <c r="D1361">
        <v>-3.7590254233343945E-3</v>
      </c>
    </row>
    <row r="1362" spans="1:4" x14ac:dyDescent="0.25">
      <c r="A1362" s="2">
        <v>41782</v>
      </c>
      <c r="B1362">
        <v>9.2842652615310328E-4</v>
      </c>
      <c r="D1362">
        <v>-1.0642510511035264E-3</v>
      </c>
    </row>
    <row r="1363" spans="1:4" x14ac:dyDescent="0.25">
      <c r="A1363" s="2">
        <v>41786</v>
      </c>
      <c r="B1363">
        <v>2.7830241977515602E-3</v>
      </c>
      <c r="D1363">
        <v>4.7457418480614244E-3</v>
      </c>
    </row>
    <row r="1364" spans="1:4" x14ac:dyDescent="0.25">
      <c r="A1364" s="2">
        <v>41787</v>
      </c>
      <c r="B1364">
        <v>9.2499107732679775E-4</v>
      </c>
      <c r="D1364">
        <v>-2.3134558737630817E-3</v>
      </c>
    </row>
    <row r="1365" spans="1:4" x14ac:dyDescent="0.25">
      <c r="A1365" s="2">
        <v>41788</v>
      </c>
      <c r="B1365">
        <v>0</v>
      </c>
      <c r="D1365">
        <v>5.3140378285090328E-3</v>
      </c>
    </row>
    <row r="1366" spans="1:4" x14ac:dyDescent="0.25">
      <c r="A1366" s="2">
        <v>41789</v>
      </c>
      <c r="B1366">
        <v>1.1113610347537328E-3</v>
      </c>
      <c r="D1366">
        <v>6.7275329982585674E-4</v>
      </c>
    </row>
    <row r="1367" spans="1:4" x14ac:dyDescent="0.25">
      <c r="A1367" s="2">
        <v>41792</v>
      </c>
      <c r="B1367">
        <v>9.2496092565319543E-4</v>
      </c>
      <c r="D1367">
        <v>-3.9519522109556782E-3</v>
      </c>
    </row>
    <row r="1368" spans="1:4" x14ac:dyDescent="0.25">
      <c r="A1368" s="2">
        <v>41793</v>
      </c>
      <c r="B1368">
        <v>0</v>
      </c>
      <c r="D1368">
        <v>-1.447959045214553E-3</v>
      </c>
    </row>
    <row r="1369" spans="1:4" x14ac:dyDescent="0.25">
      <c r="A1369" s="2">
        <v>41794</v>
      </c>
      <c r="B1369">
        <v>-9.2410616356086717E-4</v>
      </c>
      <c r="D1369">
        <v>-3.8669933075484719E-3</v>
      </c>
    </row>
    <row r="1370" spans="1:4" x14ac:dyDescent="0.25">
      <c r="A1370" s="2">
        <v>41795</v>
      </c>
      <c r="B1370">
        <v>9.2496092565319543E-4</v>
      </c>
      <c r="D1370">
        <v>3.784938113949643E-3</v>
      </c>
    </row>
    <row r="1371" spans="1:4" x14ac:dyDescent="0.25">
      <c r="A1371" s="2">
        <v>41796</v>
      </c>
      <c r="B1371">
        <v>6.4696131989809835E-3</v>
      </c>
      <c r="D1371">
        <v>4.9308902969038559E-3</v>
      </c>
    </row>
    <row r="1372" spans="1:4" x14ac:dyDescent="0.25">
      <c r="A1372" s="2">
        <v>41799</v>
      </c>
      <c r="B1372">
        <v>1.8364400272392611E-3</v>
      </c>
      <c r="D1372">
        <v>-1.8279985482008154E-3</v>
      </c>
    </row>
    <row r="1373" spans="1:4" x14ac:dyDescent="0.25">
      <c r="A1373" s="2">
        <v>41800</v>
      </c>
      <c r="B1373">
        <v>-9.1659077845840375E-4</v>
      </c>
      <c r="D1373">
        <v>-2.8915988213350508E-3</v>
      </c>
    </row>
    <row r="1374" spans="1:4" x14ac:dyDescent="0.25">
      <c r="A1374" s="2">
        <v>41801</v>
      </c>
      <c r="B1374">
        <v>-9.1732372934150153E-4</v>
      </c>
      <c r="D1374">
        <v>-2.8998764209686723E-4</v>
      </c>
    </row>
    <row r="1375" spans="1:4" x14ac:dyDescent="0.25">
      <c r="A1375" s="2">
        <v>41802</v>
      </c>
      <c r="B1375">
        <v>-1.8366561425702255E-3</v>
      </c>
      <c r="D1375">
        <v>3.1908973757481807E-3</v>
      </c>
    </row>
    <row r="1376" spans="1:4" x14ac:dyDescent="0.25">
      <c r="A1376" s="2">
        <v>41803</v>
      </c>
      <c r="B1376">
        <v>9.1996369943192491E-4</v>
      </c>
      <c r="D1376">
        <v>-1.2529892838037959E-3</v>
      </c>
    </row>
    <row r="1377" spans="1:4" x14ac:dyDescent="0.25">
      <c r="A1377" s="2">
        <v>41806</v>
      </c>
      <c r="B1377">
        <v>0</v>
      </c>
      <c r="D1377">
        <v>2.2196106017329242E-3</v>
      </c>
    </row>
    <row r="1378" spans="1:4" x14ac:dyDescent="0.25">
      <c r="A1378" s="2">
        <v>41807</v>
      </c>
      <c r="B1378">
        <v>0</v>
      </c>
      <c r="D1378">
        <v>-2.4073241990618666E-3</v>
      </c>
    </row>
    <row r="1379" spans="1:4" x14ac:dyDescent="0.25">
      <c r="A1379" s="2">
        <v>41808</v>
      </c>
      <c r="B1379">
        <v>-1.8382362882077841E-3</v>
      </c>
      <c r="D1379">
        <v>5.0193511815361802E-3</v>
      </c>
    </row>
    <row r="1380" spans="1:4" x14ac:dyDescent="0.25">
      <c r="A1380" s="2">
        <v>41809</v>
      </c>
      <c r="B1380">
        <v>9.208108119531655E-4</v>
      </c>
      <c r="D1380">
        <v>3.8418162729247918E-4</v>
      </c>
    </row>
    <row r="1381" spans="1:4" x14ac:dyDescent="0.25">
      <c r="A1381" s="2">
        <v>41810</v>
      </c>
      <c r="B1381">
        <v>0</v>
      </c>
      <c r="D1381">
        <v>4.7998898268941659E-4</v>
      </c>
    </row>
    <row r="1382" spans="1:4" x14ac:dyDescent="0.25">
      <c r="A1382" s="2">
        <v>41813</v>
      </c>
      <c r="B1382">
        <v>9.1996369943192491E-4</v>
      </c>
      <c r="D1382">
        <v>5.7573578375325063E-4</v>
      </c>
    </row>
    <row r="1383" spans="1:4" x14ac:dyDescent="0.25">
      <c r="A1383" s="2">
        <v>41814</v>
      </c>
      <c r="B1383">
        <v>9.1922630109886327E-4</v>
      </c>
      <c r="D1383">
        <v>6.7132635710276389E-4</v>
      </c>
    </row>
    <row r="1384" spans="1:4" x14ac:dyDescent="0.25">
      <c r="A1384" s="2">
        <v>41815</v>
      </c>
      <c r="B1384">
        <v>9.1816598478677847E-4</v>
      </c>
      <c r="D1384">
        <v>2.1085049111735366E-3</v>
      </c>
    </row>
    <row r="1385" spans="1:4" x14ac:dyDescent="0.25">
      <c r="A1385" s="2">
        <v>41816</v>
      </c>
      <c r="B1385">
        <v>0</v>
      </c>
      <c r="D1385">
        <v>-9.5587819339715274E-5</v>
      </c>
    </row>
    <row r="1386" spans="1:4" x14ac:dyDescent="0.25">
      <c r="A1386" s="2">
        <v>41817</v>
      </c>
      <c r="B1386">
        <v>0</v>
      </c>
      <c r="D1386">
        <v>2.5824681125474758E-3</v>
      </c>
    </row>
    <row r="1387" spans="1:4" x14ac:dyDescent="0.25">
      <c r="A1387" s="2">
        <v>41820</v>
      </c>
      <c r="B1387">
        <v>6.4332495035257509E-4</v>
      </c>
      <c r="D1387">
        <v>4.197689117576342E-3</v>
      </c>
    </row>
    <row r="1388" spans="1:4" x14ac:dyDescent="0.25">
      <c r="A1388" s="2">
        <v>41821</v>
      </c>
      <c r="B1388">
        <v>9.1813653024663822E-4</v>
      </c>
      <c r="D1388">
        <v>1.0462102653863159E-3</v>
      </c>
    </row>
    <row r="1389" spans="1:4" x14ac:dyDescent="0.25">
      <c r="A1389" s="2">
        <v>41822</v>
      </c>
      <c r="B1389">
        <v>0</v>
      </c>
      <c r="D1389">
        <v>-4.7505968691834433E-3</v>
      </c>
    </row>
    <row r="1390" spans="1:4" x14ac:dyDescent="0.25">
      <c r="A1390" s="2">
        <v>41823</v>
      </c>
      <c r="B1390">
        <v>1.8349120281324627E-3</v>
      </c>
      <c r="D1390">
        <v>-3.6276582468603991E-3</v>
      </c>
    </row>
    <row r="1391" spans="1:4" x14ac:dyDescent="0.25">
      <c r="A1391" s="2">
        <v>41827</v>
      </c>
      <c r="B1391">
        <v>0</v>
      </c>
      <c r="D1391">
        <v>2.6827454623452596E-3</v>
      </c>
    </row>
    <row r="1392" spans="1:4" x14ac:dyDescent="0.25">
      <c r="A1392" s="2">
        <v>41828</v>
      </c>
      <c r="B1392">
        <v>0</v>
      </c>
      <c r="D1392">
        <v>1.8155332592881823E-3</v>
      </c>
    </row>
    <row r="1393" spans="1:4" x14ac:dyDescent="0.25">
      <c r="A1393" s="2">
        <v>41829</v>
      </c>
      <c r="B1393">
        <v>-9.1572184994515027E-4</v>
      </c>
      <c r="D1393">
        <v>1.1446214249692943E-3</v>
      </c>
    </row>
    <row r="1394" spans="1:4" x14ac:dyDescent="0.25">
      <c r="A1394" s="2">
        <v>41830</v>
      </c>
      <c r="B1394">
        <v>-1.8331223300620536E-3</v>
      </c>
      <c r="D1394">
        <v>-3.3345816872092371E-3</v>
      </c>
    </row>
    <row r="1395" spans="1:4" x14ac:dyDescent="0.25">
      <c r="A1395" s="2">
        <v>41831</v>
      </c>
      <c r="B1395">
        <v>9.1813653024663822E-4</v>
      </c>
      <c r="D1395">
        <v>3.7281208874673233E-3</v>
      </c>
    </row>
    <row r="1396" spans="1:4" x14ac:dyDescent="0.25">
      <c r="A1396" s="2">
        <v>41834</v>
      </c>
      <c r="B1396">
        <v>9.1750990915029362E-4</v>
      </c>
      <c r="D1396">
        <v>-3.8096228904238583E-4</v>
      </c>
    </row>
    <row r="1397" spans="1:4" x14ac:dyDescent="0.25">
      <c r="A1397" s="2">
        <v>41835</v>
      </c>
      <c r="B1397">
        <v>9.1656116503080476E-4</v>
      </c>
      <c r="D1397">
        <v>-2.3818564889446225E-3</v>
      </c>
    </row>
    <row r="1398" spans="1:4" x14ac:dyDescent="0.25">
      <c r="A1398" s="2">
        <v>41836</v>
      </c>
      <c r="B1398">
        <v>1.8314436998905226E-3</v>
      </c>
      <c r="D1398">
        <v>-5.7299217194251018E-4</v>
      </c>
    </row>
    <row r="1399" spans="1:4" x14ac:dyDescent="0.25">
      <c r="A1399" s="2">
        <v>41837</v>
      </c>
      <c r="B1399">
        <v>-9.1394042676395948E-4</v>
      </c>
      <c r="D1399">
        <v>2.1977696649682077E-3</v>
      </c>
    </row>
    <row r="1400" spans="1:4" x14ac:dyDescent="0.25">
      <c r="A1400" s="2">
        <v>41838</v>
      </c>
      <c r="B1400">
        <v>9.1477647796867068E-4</v>
      </c>
      <c r="D1400">
        <v>9.5361635765511821E-5</v>
      </c>
    </row>
    <row r="1401" spans="1:4" x14ac:dyDescent="0.25">
      <c r="A1401" s="2">
        <v>41841</v>
      </c>
      <c r="B1401">
        <v>9.1415521887383555E-4</v>
      </c>
      <c r="D1401">
        <v>5.7200886887942559E-4</v>
      </c>
    </row>
    <row r="1402" spans="1:4" x14ac:dyDescent="0.25">
      <c r="A1402" s="2">
        <v>41842</v>
      </c>
      <c r="B1402">
        <v>0</v>
      </c>
      <c r="D1402">
        <v>-2.5726215415522447E-3</v>
      </c>
    </row>
    <row r="1403" spans="1:4" x14ac:dyDescent="0.25">
      <c r="A1403" s="2">
        <v>41843</v>
      </c>
      <c r="B1403">
        <v>1.8265333067377654E-3</v>
      </c>
      <c r="D1403">
        <v>6.6870020581033529E-4</v>
      </c>
    </row>
    <row r="1404" spans="1:4" x14ac:dyDescent="0.25">
      <c r="A1404" s="2">
        <v>41844</v>
      </c>
      <c r="B1404">
        <v>9.1144092920281139E-4</v>
      </c>
      <c r="D1404">
        <v>-1.9092800518812902E-3</v>
      </c>
    </row>
    <row r="1405" spans="1:4" x14ac:dyDescent="0.25">
      <c r="A1405" s="2">
        <v>41845</v>
      </c>
      <c r="B1405">
        <v>0</v>
      </c>
      <c r="D1405">
        <v>1.9126703924476907E-4</v>
      </c>
    </row>
    <row r="1406" spans="1:4" x14ac:dyDescent="0.25">
      <c r="A1406" s="2">
        <v>41848</v>
      </c>
      <c r="B1406">
        <v>9.1082497072858537E-4</v>
      </c>
      <c r="D1406">
        <v>3.8252883486578071E-4</v>
      </c>
    </row>
    <row r="1407" spans="1:4" x14ac:dyDescent="0.25">
      <c r="A1407" s="2">
        <v>41849</v>
      </c>
      <c r="B1407">
        <v>0</v>
      </c>
      <c r="D1407">
        <v>-4.7800002253695073E-4</v>
      </c>
    </row>
    <row r="1408" spans="1:4" x14ac:dyDescent="0.25">
      <c r="A1408" s="2">
        <v>41850</v>
      </c>
      <c r="B1408">
        <v>0</v>
      </c>
      <c r="D1408">
        <v>-7.1729150235066985E-3</v>
      </c>
    </row>
    <row r="1409" spans="1:4" x14ac:dyDescent="0.25">
      <c r="A1409" s="2">
        <v>41851</v>
      </c>
      <c r="B1409">
        <v>-3.6444746065966704E-4</v>
      </c>
      <c r="D1409">
        <v>-9.6327943383600623E-4</v>
      </c>
    </row>
    <row r="1410" spans="1:4" x14ac:dyDescent="0.25">
      <c r="A1410" s="2">
        <v>41852</v>
      </c>
      <c r="B1410">
        <v>-1.8232224944246811E-3</v>
      </c>
      <c r="D1410">
        <v>2.7994738950105624E-3</v>
      </c>
    </row>
    <row r="1411" spans="1:4" x14ac:dyDescent="0.25">
      <c r="A1411" s="2">
        <v>41855</v>
      </c>
      <c r="B1411">
        <v>9.1327635320315181E-4</v>
      </c>
      <c r="D1411">
        <v>9.6285284274522098E-5</v>
      </c>
    </row>
    <row r="1412" spans="1:4" x14ac:dyDescent="0.25">
      <c r="A1412" s="2">
        <v>41856</v>
      </c>
      <c r="B1412">
        <v>-9.1244304055060343E-4</v>
      </c>
      <c r="D1412">
        <v>-5.775097845583943E-4</v>
      </c>
    </row>
    <row r="1413" spans="1:4" x14ac:dyDescent="0.25">
      <c r="A1413" s="2">
        <v>41857</v>
      </c>
      <c r="B1413">
        <v>-9.1316921144402041E-4</v>
      </c>
      <c r="D1413">
        <v>7.7050678839007958E-4</v>
      </c>
    </row>
    <row r="1414" spans="1:4" x14ac:dyDescent="0.25">
      <c r="A1414" s="2">
        <v>41858</v>
      </c>
      <c r="B1414">
        <v>0</v>
      </c>
      <c r="D1414">
        <v>-5.7746686608584064E-4</v>
      </c>
    </row>
    <row r="1415" spans="1:4" x14ac:dyDescent="0.25">
      <c r="A1415" s="2">
        <v>41859</v>
      </c>
      <c r="B1415">
        <v>9.140038516204374E-4</v>
      </c>
      <c r="D1415">
        <v>2.8888074901791683E-3</v>
      </c>
    </row>
    <row r="1416" spans="1:4" x14ac:dyDescent="0.25">
      <c r="A1416" s="2">
        <v>41862</v>
      </c>
      <c r="B1416">
        <v>9.1327635320315181E-4</v>
      </c>
      <c r="D1416">
        <v>-4.8010051143099197E-4</v>
      </c>
    </row>
    <row r="1417" spans="1:4" x14ac:dyDescent="0.25">
      <c r="A1417" s="2">
        <v>41863</v>
      </c>
      <c r="B1417">
        <v>1.8247790371028749E-3</v>
      </c>
      <c r="D1417">
        <v>9.6081797721359052E-5</v>
      </c>
    </row>
    <row r="1418" spans="1:4" x14ac:dyDescent="0.25">
      <c r="A1418" s="2">
        <v>41864</v>
      </c>
      <c r="B1418">
        <v>-9.1067421733093123E-4</v>
      </c>
      <c r="D1418">
        <v>6.7236197612663418E-4</v>
      </c>
    </row>
    <row r="1419" spans="1:4" x14ac:dyDescent="0.25">
      <c r="A1419" s="2">
        <v>41865</v>
      </c>
      <c r="B1419">
        <v>2.7347267952211318E-3</v>
      </c>
      <c r="D1419">
        <v>1.3438204185014513E-3</v>
      </c>
    </row>
    <row r="1420" spans="1:4" x14ac:dyDescent="0.25">
      <c r="A1420" s="2">
        <v>41866</v>
      </c>
      <c r="B1420">
        <v>1.818250077218142E-3</v>
      </c>
      <c r="D1420">
        <v>5.7515166436419296E-3</v>
      </c>
    </row>
    <row r="1421" spans="1:4" x14ac:dyDescent="0.25">
      <c r="A1421" s="2">
        <v>41869</v>
      </c>
      <c r="B1421">
        <v>9.0736856090911644E-4</v>
      </c>
      <c r="D1421">
        <v>-4.6701987345938445E-3</v>
      </c>
    </row>
    <row r="1422" spans="1:4" x14ac:dyDescent="0.25">
      <c r="A1422" s="2">
        <v>41870</v>
      </c>
      <c r="B1422">
        <v>1.8133047084760712E-3</v>
      </c>
      <c r="D1422">
        <v>-2.2981716779614247E-3</v>
      </c>
    </row>
    <row r="1423" spans="1:4" x14ac:dyDescent="0.25">
      <c r="A1423" s="2">
        <v>41871</v>
      </c>
      <c r="B1423">
        <v>0</v>
      </c>
      <c r="D1423">
        <v>-4.7989284701880353E-3</v>
      </c>
    </row>
    <row r="1424" spans="1:4" x14ac:dyDescent="0.25">
      <c r="A1424" s="2">
        <v>41872</v>
      </c>
      <c r="B1424">
        <v>-9.050112929992471E-4</v>
      </c>
      <c r="D1424">
        <v>2.4110346177639297E-3</v>
      </c>
    </row>
    <row r="1425" spans="1:4" x14ac:dyDescent="0.25">
      <c r="A1425" s="2">
        <v>41873</v>
      </c>
      <c r="B1425">
        <v>9.0583108035646731E-4</v>
      </c>
      <c r="D1425">
        <v>-2.0203849614908176E-3</v>
      </c>
    </row>
    <row r="1426" spans="1:4" x14ac:dyDescent="0.25">
      <c r="A1426" s="2">
        <v>41876</v>
      </c>
      <c r="B1426">
        <v>3.6198328277241565E-3</v>
      </c>
      <c r="D1426">
        <v>1.9277087719893338E-4</v>
      </c>
    </row>
    <row r="1427" spans="1:4" x14ac:dyDescent="0.25">
      <c r="A1427" s="2">
        <v>41877</v>
      </c>
      <c r="B1427">
        <v>1.8033884491526209E-3</v>
      </c>
      <c r="D1427">
        <v>-9.6405928201703794E-5</v>
      </c>
    </row>
    <row r="1428" spans="1:4" x14ac:dyDescent="0.25">
      <c r="A1428" s="2">
        <v>41878</v>
      </c>
      <c r="B1428">
        <v>9.0012384622784047E-4</v>
      </c>
      <c r="D1428">
        <v>5.3981585366327245E-3</v>
      </c>
    </row>
    <row r="1429" spans="1:4" x14ac:dyDescent="0.25">
      <c r="A1429" s="2">
        <v>41879</v>
      </c>
      <c r="B1429">
        <v>0</v>
      </c>
      <c r="D1429">
        <v>-2.5887190319443532E-3</v>
      </c>
    </row>
    <row r="1430" spans="1:4" x14ac:dyDescent="0.25">
      <c r="A1430" s="2">
        <v>41880</v>
      </c>
      <c r="B1430">
        <v>1.621276823812634E-3</v>
      </c>
      <c r="D1430">
        <v>-2.3070082842570061E-3</v>
      </c>
    </row>
    <row r="1431" spans="1:4" x14ac:dyDescent="0.25">
      <c r="A1431" s="2">
        <v>41884</v>
      </c>
      <c r="B1431">
        <v>-8.9933333677438831E-4</v>
      </c>
      <c r="D1431">
        <v>-5.5946802641108073E-3</v>
      </c>
    </row>
    <row r="1432" spans="1:4" x14ac:dyDescent="0.25">
      <c r="A1432" s="2">
        <v>41885</v>
      </c>
      <c r="B1432">
        <v>-1.8000748748493445E-3</v>
      </c>
      <c r="D1432">
        <v>-9.7001281785125126E-4</v>
      </c>
    </row>
    <row r="1433" spans="1:4" x14ac:dyDescent="0.25">
      <c r="A1433" s="2">
        <v>41886</v>
      </c>
      <c r="B1433">
        <v>2.7050870994322906E-3</v>
      </c>
      <c r="D1433">
        <v>-8.641616333972757E-3</v>
      </c>
    </row>
    <row r="1434" spans="1:4" x14ac:dyDescent="0.25">
      <c r="A1434" s="2">
        <v>41887</v>
      </c>
      <c r="B1434">
        <v>2.6977893442796663E-3</v>
      </c>
      <c r="D1434">
        <v>1.0773880121652812E-3</v>
      </c>
    </row>
    <row r="1435" spans="1:4" x14ac:dyDescent="0.25">
      <c r="A1435" s="2">
        <v>41890</v>
      </c>
      <c r="B1435">
        <v>0</v>
      </c>
      <c r="D1435">
        <v>-4.5983876387000189E-3</v>
      </c>
    </row>
    <row r="1436" spans="1:4" x14ac:dyDescent="0.25">
      <c r="A1436" s="2">
        <v>41891</v>
      </c>
      <c r="B1436">
        <v>-3.5874445114778553E-3</v>
      </c>
      <c r="D1436">
        <v>-2.2606272730348875E-3</v>
      </c>
    </row>
    <row r="1437" spans="1:4" x14ac:dyDescent="0.25">
      <c r="A1437" s="2">
        <v>41892</v>
      </c>
      <c r="B1437">
        <v>-1.8000748748493445E-3</v>
      </c>
      <c r="D1437">
        <v>-2.8568737090745033E-3</v>
      </c>
    </row>
    <row r="1438" spans="1:4" x14ac:dyDescent="0.25">
      <c r="A1438" s="2">
        <v>41893</v>
      </c>
      <c r="B1438">
        <v>0</v>
      </c>
      <c r="D1438">
        <v>-4.2481675631498295E-3</v>
      </c>
    </row>
    <row r="1439" spans="1:4" x14ac:dyDescent="0.25">
      <c r="A1439" s="2">
        <v>41894</v>
      </c>
      <c r="B1439">
        <v>-4.5086193229950666E-3</v>
      </c>
      <c r="D1439">
        <v>-6.94509764845197E-4</v>
      </c>
    </row>
    <row r="1440" spans="1:4" x14ac:dyDescent="0.25">
      <c r="A1440" s="2">
        <v>41897</v>
      </c>
      <c r="B1440">
        <v>0</v>
      </c>
      <c r="D1440">
        <v>-9.9311910050414731E-5</v>
      </c>
    </row>
    <row r="1441" spans="1:4" x14ac:dyDescent="0.25">
      <c r="A1441" s="2">
        <v>41898</v>
      </c>
      <c r="B1441">
        <v>0</v>
      </c>
      <c r="D1441">
        <v>1.3901229435326901E-3</v>
      </c>
    </row>
    <row r="1442" spans="1:4" x14ac:dyDescent="0.25">
      <c r="A1442" s="2">
        <v>41899</v>
      </c>
      <c r="B1442">
        <v>2.7173385445007359E-3</v>
      </c>
      <c r="D1442">
        <v>-5.7511304936919139E-3</v>
      </c>
    </row>
    <row r="1443" spans="1:4" x14ac:dyDescent="0.25">
      <c r="A1443" s="2">
        <v>41900</v>
      </c>
      <c r="B1443">
        <v>-1.8065792114726476E-3</v>
      </c>
      <c r="D1443">
        <v>2.6927692262765923E-3</v>
      </c>
    </row>
    <row r="1444" spans="1:4" x14ac:dyDescent="0.25">
      <c r="A1444" s="2">
        <v>41901</v>
      </c>
      <c r="B1444">
        <v>4.5249401177895887E-3</v>
      </c>
      <c r="D1444">
        <v>-5.2715152064735094E-3</v>
      </c>
    </row>
    <row r="1445" spans="1:4" x14ac:dyDescent="0.25">
      <c r="A1445" s="2">
        <v>41904</v>
      </c>
      <c r="B1445">
        <v>0</v>
      </c>
      <c r="D1445">
        <v>2.5996817754638801E-3</v>
      </c>
    </row>
    <row r="1446" spans="1:4" x14ac:dyDescent="0.25">
      <c r="A1446" s="2">
        <v>41905</v>
      </c>
      <c r="B1446">
        <v>-9.0095366230080742E-4</v>
      </c>
      <c r="D1446">
        <v>1.3963037961461922E-3</v>
      </c>
    </row>
    <row r="1447" spans="1:4" x14ac:dyDescent="0.25">
      <c r="A1447" s="2">
        <v>41906</v>
      </c>
      <c r="B1447">
        <v>2.7050870994322906E-3</v>
      </c>
      <c r="D1447">
        <v>-3.8841444403789893E-3</v>
      </c>
    </row>
    <row r="1448" spans="1:4" x14ac:dyDescent="0.25">
      <c r="A1448" s="2">
        <v>41907</v>
      </c>
      <c r="B1448">
        <v>0</v>
      </c>
      <c r="D1448">
        <v>1.1997799340950355E-3</v>
      </c>
    </row>
    <row r="1449" spans="1:4" x14ac:dyDescent="0.25">
      <c r="A1449" s="2">
        <v>41908</v>
      </c>
      <c r="B1449">
        <v>8.9933333677394423E-4</v>
      </c>
      <c r="D1449">
        <v>-8.3882133849564333E-3</v>
      </c>
    </row>
    <row r="1450" spans="1:4" x14ac:dyDescent="0.25">
      <c r="A1450" s="2">
        <v>41911</v>
      </c>
      <c r="B1450">
        <v>-4.4924158385017954E-3</v>
      </c>
      <c r="D1450">
        <v>2.9203741101537783E-3</v>
      </c>
    </row>
    <row r="1451" spans="1:4" x14ac:dyDescent="0.25">
      <c r="A1451" s="2">
        <v>41912</v>
      </c>
      <c r="B1451">
        <v>4.5208286356992478E-3</v>
      </c>
      <c r="D1451">
        <v>-3.3135339333412173E-3</v>
      </c>
    </row>
    <row r="1452" spans="1:4" x14ac:dyDescent="0.25">
      <c r="A1452" s="2">
        <v>41913</v>
      </c>
      <c r="B1452">
        <v>0</v>
      </c>
      <c r="D1452">
        <v>-1.1095904404000434E-3</v>
      </c>
    </row>
    <row r="1453" spans="1:4" x14ac:dyDescent="0.25">
      <c r="A1453" s="2">
        <v>41914</v>
      </c>
      <c r="B1453">
        <v>-8.9999130738049882E-4</v>
      </c>
      <c r="D1453">
        <v>6.0587524308313156E-3</v>
      </c>
    </row>
    <row r="1454" spans="1:4" x14ac:dyDescent="0.25">
      <c r="A1454" s="2">
        <v>41915</v>
      </c>
      <c r="B1454">
        <v>3.6035240824447978E-3</v>
      </c>
      <c r="D1454">
        <v>-1.1141224781151315E-2</v>
      </c>
    </row>
    <row r="1455" spans="1:4" x14ac:dyDescent="0.25">
      <c r="A1455" s="2">
        <v>41918</v>
      </c>
      <c r="B1455">
        <v>0</v>
      </c>
      <c r="D1455">
        <v>9.7442826484801515E-3</v>
      </c>
    </row>
    <row r="1456" spans="1:4" x14ac:dyDescent="0.25">
      <c r="A1456" s="2">
        <v>41919</v>
      </c>
      <c r="B1456">
        <v>8.9767256897155256E-4</v>
      </c>
      <c r="D1456">
        <v>4.6240388031286717E-3</v>
      </c>
    </row>
    <row r="1457" spans="1:4" x14ac:dyDescent="0.25">
      <c r="A1457" s="2">
        <v>41920</v>
      </c>
      <c r="B1457">
        <v>0</v>
      </c>
      <c r="D1457">
        <v>5.1030002395724416E-3</v>
      </c>
    </row>
    <row r="1458" spans="1:4" x14ac:dyDescent="0.25">
      <c r="A1458" s="2">
        <v>41921</v>
      </c>
      <c r="B1458">
        <v>1.7937349512811007E-3</v>
      </c>
      <c r="D1458">
        <v>-3.5838762993027906E-3</v>
      </c>
    </row>
    <row r="1459" spans="1:4" x14ac:dyDescent="0.25">
      <c r="A1459" s="2">
        <v>41922</v>
      </c>
      <c r="B1459">
        <v>0</v>
      </c>
      <c r="D1459">
        <v>-3.69662326629705E-3</v>
      </c>
    </row>
    <row r="1460" spans="1:4" x14ac:dyDescent="0.25">
      <c r="A1460" s="2">
        <v>41925</v>
      </c>
      <c r="B1460">
        <v>0</v>
      </c>
      <c r="D1460">
        <v>7.3204508814568303E-3</v>
      </c>
    </row>
    <row r="1461" spans="1:4" x14ac:dyDescent="0.25">
      <c r="A1461" s="2">
        <v>41926</v>
      </c>
      <c r="B1461">
        <v>8.9526161359376744E-4</v>
      </c>
      <c r="D1461">
        <v>-1.7919331178558595E-3</v>
      </c>
    </row>
    <row r="1462" spans="1:4" x14ac:dyDescent="0.25">
      <c r="A1462" s="2">
        <v>41927</v>
      </c>
      <c r="B1462">
        <v>-1.7889216742827951E-3</v>
      </c>
      <c r="D1462">
        <v>1.0471756515485042E-2</v>
      </c>
    </row>
    <row r="1463" spans="1:4" x14ac:dyDescent="0.25">
      <c r="A1463" s="2">
        <v>41928</v>
      </c>
      <c r="B1463">
        <v>-5.376278184811123E-3</v>
      </c>
      <c r="D1463">
        <v>-5.3296589913197634E-3</v>
      </c>
    </row>
    <row r="1464" spans="1:4" x14ac:dyDescent="0.25">
      <c r="A1464" s="2">
        <v>41929</v>
      </c>
      <c r="B1464">
        <v>1.801709375061078E-3</v>
      </c>
      <c r="D1464">
        <v>-3.0759854745928683E-3</v>
      </c>
    </row>
    <row r="1465" spans="1:4" x14ac:dyDescent="0.25">
      <c r="A1465" s="2">
        <v>41932</v>
      </c>
      <c r="B1465">
        <v>-3.5971483987735642E-3</v>
      </c>
      <c r="D1465">
        <v>1.5924776352291836E-3</v>
      </c>
    </row>
    <row r="1466" spans="1:4" x14ac:dyDescent="0.25">
      <c r="A1466" s="2">
        <v>41933</v>
      </c>
      <c r="B1466">
        <v>1.8051728167796099E-3</v>
      </c>
      <c r="D1466">
        <v>-4.0742904337615071E-3</v>
      </c>
    </row>
    <row r="1467" spans="1:4" x14ac:dyDescent="0.25">
      <c r="A1467" s="2">
        <v>41934</v>
      </c>
      <c r="B1467">
        <v>0</v>
      </c>
      <c r="D1467">
        <v>-3.2927785338532356E-3</v>
      </c>
    </row>
    <row r="1468" spans="1:4" x14ac:dyDescent="0.25">
      <c r="A1468" s="2">
        <v>41935</v>
      </c>
      <c r="B1468">
        <v>0</v>
      </c>
      <c r="D1468">
        <v>-3.5038406446689097E-3</v>
      </c>
    </row>
    <row r="1469" spans="1:4" x14ac:dyDescent="0.25">
      <c r="A1469" s="2">
        <v>41936</v>
      </c>
      <c r="B1469">
        <v>9.008020213694401E-4</v>
      </c>
      <c r="D1469">
        <v>1.0046115429420688E-3</v>
      </c>
    </row>
    <row r="1470" spans="1:4" x14ac:dyDescent="0.25">
      <c r="A1470" s="2">
        <v>41939</v>
      </c>
      <c r="B1470">
        <v>-8.9999130738049882E-4</v>
      </c>
      <c r="D1470">
        <v>2.8101034756793375E-3</v>
      </c>
    </row>
    <row r="1471" spans="1:4" x14ac:dyDescent="0.25">
      <c r="A1471" s="2">
        <v>41940</v>
      </c>
      <c r="B1471">
        <v>9.008020213694401E-4</v>
      </c>
      <c r="D1471">
        <v>1.9015453632424961E-3</v>
      </c>
    </row>
    <row r="1472" spans="1:4" x14ac:dyDescent="0.25">
      <c r="A1472" s="2">
        <v>41941</v>
      </c>
      <c r="B1472">
        <v>9.0009654490463831E-4</v>
      </c>
      <c r="D1472">
        <v>-6.5927831726569908E-3</v>
      </c>
    </row>
    <row r="1473" spans="1:4" x14ac:dyDescent="0.25">
      <c r="A1473" s="2">
        <v>41942</v>
      </c>
      <c r="B1473">
        <v>0</v>
      </c>
      <c r="D1473">
        <v>-4.0214933537008335E-4</v>
      </c>
    </row>
    <row r="1474" spans="1:4" x14ac:dyDescent="0.25">
      <c r="A1474" s="2">
        <v>41943</v>
      </c>
      <c r="B1474">
        <v>5.2242345519077915E-3</v>
      </c>
      <c r="D1474">
        <v>-9.4558113350272643E-3</v>
      </c>
    </row>
    <row r="1475" spans="1:4" x14ac:dyDescent="0.25">
      <c r="A1475" s="2">
        <v>41946</v>
      </c>
      <c r="B1475">
        <v>-8.9607777959321844E-4</v>
      </c>
      <c r="D1475">
        <v>-4.8765706845895762E-3</v>
      </c>
    </row>
    <row r="1476" spans="1:4" x14ac:dyDescent="0.25">
      <c r="A1476" s="2">
        <v>41947</v>
      </c>
      <c r="B1476">
        <v>8.9688145513600048E-4</v>
      </c>
      <c r="D1476">
        <v>2.4502856632586667E-3</v>
      </c>
    </row>
    <row r="1477" spans="1:4" x14ac:dyDescent="0.25">
      <c r="A1477" s="2">
        <v>41948</v>
      </c>
      <c r="B1477">
        <v>-8.9607777959321844E-4</v>
      </c>
      <c r="D1477">
        <v>-6.1106639140611207E-3</v>
      </c>
    </row>
    <row r="1478" spans="1:4" x14ac:dyDescent="0.25">
      <c r="A1478" s="2">
        <v>41949</v>
      </c>
      <c r="B1478">
        <v>8.9688145513600048E-4</v>
      </c>
      <c r="D1478">
        <v>-8.4025015017891169E-3</v>
      </c>
    </row>
    <row r="1479" spans="1:4" x14ac:dyDescent="0.25">
      <c r="A1479" s="2">
        <v>41950</v>
      </c>
      <c r="B1479">
        <v>-8.9607777959321844E-4</v>
      </c>
      <c r="D1479">
        <v>6.6136909503964336E-3</v>
      </c>
    </row>
    <row r="1480" spans="1:4" x14ac:dyDescent="0.25">
      <c r="A1480" s="2">
        <v>41953</v>
      </c>
      <c r="B1480">
        <v>1.793762910272223E-3</v>
      </c>
      <c r="D1480">
        <v>-2.8745119412169062E-3</v>
      </c>
    </row>
    <row r="1481" spans="1:4" x14ac:dyDescent="0.25">
      <c r="A1481" s="2">
        <v>41954</v>
      </c>
      <c r="B1481">
        <v>-8.9527554307244905E-4</v>
      </c>
      <c r="D1481">
        <v>2.6768435255719591E-3</v>
      </c>
    </row>
    <row r="1482" spans="1:4" x14ac:dyDescent="0.25">
      <c r="A1482" s="2">
        <v>41955</v>
      </c>
      <c r="B1482">
        <v>-1.7920509627370462E-3</v>
      </c>
      <c r="D1482">
        <v>-2.6696971640031153E-3</v>
      </c>
    </row>
    <row r="1483" spans="1:4" x14ac:dyDescent="0.25">
      <c r="A1483" s="2">
        <v>41956</v>
      </c>
      <c r="B1483">
        <v>0</v>
      </c>
      <c r="D1483">
        <v>6.1778193698946993E-4</v>
      </c>
    </row>
    <row r="1484" spans="1:4" x14ac:dyDescent="0.25">
      <c r="A1484" s="2">
        <v>41957</v>
      </c>
      <c r="B1484">
        <v>8.9758169528497689E-4</v>
      </c>
      <c r="D1484">
        <v>4.21849979315847E-3</v>
      </c>
    </row>
    <row r="1485" spans="1:4" x14ac:dyDescent="0.25">
      <c r="A1485" s="2">
        <v>41960</v>
      </c>
      <c r="B1485">
        <v>1.793762910272223E-3</v>
      </c>
      <c r="D1485">
        <v>-4.20077880862324E-3</v>
      </c>
    </row>
    <row r="1486" spans="1:4" x14ac:dyDescent="0.25">
      <c r="A1486" s="2">
        <v>41961</v>
      </c>
      <c r="B1486">
        <v>-1.7905510861448981E-3</v>
      </c>
      <c r="D1486">
        <v>3.0866906827979879E-3</v>
      </c>
    </row>
    <row r="1487" spans="1:4" x14ac:dyDescent="0.25">
      <c r="A1487" s="2">
        <v>41962</v>
      </c>
      <c r="B1487">
        <v>8.9688145513600048E-4</v>
      </c>
      <c r="D1487">
        <v>-8.205397097996725E-4</v>
      </c>
    </row>
    <row r="1488" spans="1:4" x14ac:dyDescent="0.25">
      <c r="A1488" s="2">
        <v>41963</v>
      </c>
      <c r="B1488">
        <v>8.9607777959321844E-4</v>
      </c>
      <c r="D1488">
        <v>-4.1064308111060654E-4</v>
      </c>
    </row>
    <row r="1489" spans="1:4" x14ac:dyDescent="0.25">
      <c r="A1489" s="2">
        <v>41964</v>
      </c>
      <c r="B1489">
        <v>2.6858266292171251E-3</v>
      </c>
      <c r="D1489">
        <v>-3.286431958777758E-3</v>
      </c>
    </row>
    <row r="1490" spans="1:4" x14ac:dyDescent="0.25">
      <c r="A1490" s="2">
        <v>41967</v>
      </c>
      <c r="B1490">
        <v>0</v>
      </c>
      <c r="D1490">
        <v>2.2668107218513089E-3</v>
      </c>
    </row>
    <row r="1491" spans="1:4" x14ac:dyDescent="0.25">
      <c r="A1491" s="2">
        <v>41968</v>
      </c>
      <c r="B1491">
        <v>4.4642829226013703E-3</v>
      </c>
      <c r="D1491">
        <v>4.0095277173330945E-3</v>
      </c>
    </row>
    <row r="1492" spans="1:4" x14ac:dyDescent="0.25">
      <c r="A1492" s="2">
        <v>41969</v>
      </c>
      <c r="B1492">
        <v>8.8890908743777253E-4</v>
      </c>
      <c r="D1492">
        <v>1.4335405211260976E-3</v>
      </c>
    </row>
    <row r="1493" spans="1:4" x14ac:dyDescent="0.25">
      <c r="A1493" s="2">
        <v>41971</v>
      </c>
      <c r="B1493">
        <v>4.8910335164344954E-3</v>
      </c>
      <c r="D1493">
        <v>-1.0227721738154116E-4</v>
      </c>
    </row>
    <row r="1494" spans="1:4" x14ac:dyDescent="0.25">
      <c r="A1494" s="2">
        <v>41974</v>
      </c>
      <c r="B1494">
        <v>8.8493174172166178E-4</v>
      </c>
      <c r="D1494">
        <v>-1.4318001782135381E-3</v>
      </c>
    </row>
    <row r="1495" spans="1:4" x14ac:dyDescent="0.25">
      <c r="A1495" s="2">
        <v>41975</v>
      </c>
      <c r="B1495">
        <v>-8.8414932991520701E-4</v>
      </c>
      <c r="D1495">
        <v>-7.8860786044673281E-3</v>
      </c>
    </row>
    <row r="1496" spans="1:4" x14ac:dyDescent="0.25">
      <c r="A1496" s="2">
        <v>41976</v>
      </c>
      <c r="B1496">
        <v>8.8493174172166178E-4</v>
      </c>
      <c r="D1496">
        <v>-3.200215479631896E-3</v>
      </c>
    </row>
    <row r="1497" spans="1:4" x14ac:dyDescent="0.25">
      <c r="A1497" s="2">
        <v>41977</v>
      </c>
      <c r="B1497">
        <v>-1.7684017315637846E-3</v>
      </c>
      <c r="D1497">
        <v>1.7606201752653483E-3</v>
      </c>
    </row>
    <row r="1498" spans="1:4" x14ac:dyDescent="0.25">
      <c r="A1498" s="2">
        <v>41978</v>
      </c>
      <c r="B1498">
        <v>2.6572501472406085E-3</v>
      </c>
      <c r="D1498">
        <v>-7.5468113602267239E-3</v>
      </c>
    </row>
    <row r="1499" spans="1:4" x14ac:dyDescent="0.25">
      <c r="A1499" s="2">
        <v>41981</v>
      </c>
      <c r="B1499">
        <v>-8.8336830042434755E-4</v>
      </c>
      <c r="D1499">
        <v>5.0000342579834545E-3</v>
      </c>
    </row>
    <row r="1500" spans="1:4" x14ac:dyDescent="0.25">
      <c r="A1500" s="2">
        <v>41982</v>
      </c>
      <c r="B1500">
        <v>0</v>
      </c>
      <c r="D1500">
        <v>4.4568810049581131E-3</v>
      </c>
    </row>
    <row r="1501" spans="1:4" x14ac:dyDescent="0.25">
      <c r="A1501" s="2">
        <v>41983</v>
      </c>
      <c r="B1501">
        <v>-1.7745860355735665E-3</v>
      </c>
      <c r="D1501">
        <v>8.7710151807420811E-3</v>
      </c>
    </row>
    <row r="1502" spans="1:4" x14ac:dyDescent="0.25">
      <c r="A1502" s="2">
        <v>41984</v>
      </c>
      <c r="B1502">
        <v>0</v>
      </c>
      <c r="D1502">
        <v>-5.1145723552561417E-3</v>
      </c>
    </row>
    <row r="1503" spans="1:4" x14ac:dyDescent="0.25">
      <c r="A1503" s="2">
        <v>41985</v>
      </c>
      <c r="B1503">
        <v>0</v>
      </c>
      <c r="D1503">
        <v>6.7858965794953541E-3</v>
      </c>
    </row>
    <row r="1504" spans="1:4" x14ac:dyDescent="0.25">
      <c r="A1504" s="2">
        <v>41988</v>
      </c>
      <c r="B1504">
        <v>1.7778440445219701E-3</v>
      </c>
      <c r="D1504">
        <v>-5.1057304720358854E-4</v>
      </c>
    </row>
    <row r="1505" spans="1:4" x14ac:dyDescent="0.25">
      <c r="A1505" s="2">
        <v>41989</v>
      </c>
      <c r="B1505">
        <v>-8.8734446219351781E-4</v>
      </c>
      <c r="D1505">
        <v>5.1088135390529033E-3</v>
      </c>
    </row>
    <row r="1506" spans="1:4" x14ac:dyDescent="0.25">
      <c r="A1506" s="2">
        <v>41990</v>
      </c>
      <c r="B1506">
        <v>2.6642944617936148E-3</v>
      </c>
      <c r="D1506">
        <v>-1.1487282181891212E-2</v>
      </c>
    </row>
    <row r="1507" spans="1:4" x14ac:dyDescent="0.25">
      <c r="A1507" s="2">
        <v>41991</v>
      </c>
      <c r="B1507">
        <v>8.8577258269939563E-4</v>
      </c>
      <c r="D1507">
        <v>-2.7766054967324205E-3</v>
      </c>
    </row>
    <row r="1508" spans="1:4" x14ac:dyDescent="0.25">
      <c r="A1508" s="2">
        <v>41992</v>
      </c>
      <c r="B1508">
        <v>8.8498868398723118E-4</v>
      </c>
      <c r="D1508">
        <v>-2.9906206958895121E-3</v>
      </c>
    </row>
    <row r="1509" spans="1:4" x14ac:dyDescent="0.25">
      <c r="A1509" s="2">
        <v>41995</v>
      </c>
      <c r="B1509">
        <v>1.7682069286886204E-3</v>
      </c>
      <c r="D1509">
        <v>1.2412296678492307E-3</v>
      </c>
    </row>
    <row r="1510" spans="1:4" x14ac:dyDescent="0.25">
      <c r="A1510" s="2">
        <v>41996</v>
      </c>
      <c r="B1510">
        <v>0</v>
      </c>
      <c r="D1510">
        <v>-8.3678145965970785E-3</v>
      </c>
    </row>
    <row r="1511" spans="1:4" x14ac:dyDescent="0.25">
      <c r="A1511" s="2">
        <v>41997</v>
      </c>
      <c r="B1511">
        <v>0</v>
      </c>
      <c r="D1511">
        <v>5.6536509605602525E-3</v>
      </c>
    </row>
    <row r="1512" spans="1:4" x14ac:dyDescent="0.25">
      <c r="A1512" s="2">
        <v>41999</v>
      </c>
      <c r="B1512">
        <v>8.8264547169236707E-4</v>
      </c>
      <c r="D1512">
        <v>1.0366168143005616E-4</v>
      </c>
    </row>
    <row r="1513" spans="1:4" x14ac:dyDescent="0.25">
      <c r="A1513" s="2">
        <v>42002</v>
      </c>
      <c r="B1513">
        <v>-6.5200186596492404E-4</v>
      </c>
      <c r="D1513">
        <v>-3.1112025940860377E-4</v>
      </c>
    </row>
    <row r="1514" spans="1:4" x14ac:dyDescent="0.25">
      <c r="A1514" s="2">
        <v>42003</v>
      </c>
      <c r="B1514">
        <v>2.7959557095686982E-3</v>
      </c>
      <c r="D1514">
        <v>5.8097031473920424E-3</v>
      </c>
    </row>
    <row r="1515" spans="1:4" x14ac:dyDescent="0.25">
      <c r="A1515" s="2">
        <v>42004</v>
      </c>
      <c r="B1515">
        <v>2.41997621625889E-3</v>
      </c>
      <c r="D1515">
        <v>-1.7534636206961718E-3</v>
      </c>
    </row>
    <row r="1516" spans="1:4" x14ac:dyDescent="0.25">
      <c r="A1516" s="2">
        <v>42006</v>
      </c>
      <c r="B1516">
        <v>2.7855079353378276E-3</v>
      </c>
      <c r="D1516">
        <v>-2.066506615062913E-3</v>
      </c>
    </row>
    <row r="1517" spans="1:4" x14ac:dyDescent="0.25">
      <c r="A1517" s="2">
        <v>42009</v>
      </c>
      <c r="B1517">
        <v>0</v>
      </c>
      <c r="D1517">
        <v>-9.0081041550928997E-3</v>
      </c>
    </row>
    <row r="1518" spans="1:4" x14ac:dyDescent="0.25">
      <c r="A1518" s="2">
        <v>42010</v>
      </c>
      <c r="B1518">
        <v>1.8518130603308869E-3</v>
      </c>
      <c r="D1518">
        <v>1.8806852948616282E-3</v>
      </c>
    </row>
    <row r="1519" spans="1:4" x14ac:dyDescent="0.25">
      <c r="A1519" s="2">
        <v>42011</v>
      </c>
      <c r="B1519">
        <v>-9.2414434434340276E-4</v>
      </c>
      <c r="D1519">
        <v>-4.0671603042915505E-3</v>
      </c>
    </row>
    <row r="1520" spans="1:4" x14ac:dyDescent="0.25">
      <c r="A1520" s="2">
        <v>42012</v>
      </c>
      <c r="B1520">
        <v>3.7003014857286409E-3</v>
      </c>
      <c r="D1520">
        <v>-4.0837590837211613E-3</v>
      </c>
    </row>
    <row r="1521" spans="1:4" x14ac:dyDescent="0.25">
      <c r="A1521" s="2">
        <v>42013</v>
      </c>
      <c r="B1521">
        <v>-2.7650707133584085E-3</v>
      </c>
      <c r="D1521">
        <v>4.7313367209218526E-3</v>
      </c>
    </row>
    <row r="1522" spans="1:4" x14ac:dyDescent="0.25">
      <c r="A1522" s="2">
        <v>42016</v>
      </c>
      <c r="B1522">
        <v>1.8484916857963718E-3</v>
      </c>
      <c r="D1522">
        <v>1.6743748784506796E-3</v>
      </c>
    </row>
    <row r="1523" spans="1:4" x14ac:dyDescent="0.25">
      <c r="A1523" s="2">
        <v>42017</v>
      </c>
      <c r="B1523">
        <v>9.2254053439067008E-4</v>
      </c>
      <c r="D1523">
        <v>-3.4475715409123531E-3</v>
      </c>
    </row>
    <row r="1524" spans="1:4" x14ac:dyDescent="0.25">
      <c r="A1524" s="2">
        <v>42018</v>
      </c>
      <c r="B1524">
        <v>3.6866597332401163E-3</v>
      </c>
      <c r="D1524">
        <v>6.4996623955910771E-3</v>
      </c>
    </row>
    <row r="1525" spans="1:4" x14ac:dyDescent="0.25">
      <c r="A1525" s="2">
        <v>42019</v>
      </c>
      <c r="B1525">
        <v>0</v>
      </c>
      <c r="D1525">
        <v>-2.6039050598614111E-3</v>
      </c>
    </row>
    <row r="1526" spans="1:4" x14ac:dyDescent="0.25">
      <c r="A1526" s="2">
        <v>42020</v>
      </c>
      <c r="B1526">
        <v>1.8364078289665464E-3</v>
      </c>
      <c r="D1526">
        <v>-2.8195917855515784E-3</v>
      </c>
    </row>
    <row r="1527" spans="1:4" x14ac:dyDescent="0.25">
      <c r="A1527" s="2">
        <v>42024</v>
      </c>
      <c r="B1527">
        <v>1.8332429395182537E-3</v>
      </c>
      <c r="D1527">
        <v>-2.3039135440694469E-3</v>
      </c>
    </row>
    <row r="1528" spans="1:4" x14ac:dyDescent="0.25">
      <c r="A1528" s="2">
        <v>42025</v>
      </c>
      <c r="B1528">
        <v>-9.1494415484716374E-4</v>
      </c>
      <c r="D1528">
        <v>-1.3645111480410366E-3</v>
      </c>
    </row>
    <row r="1529" spans="1:4" x14ac:dyDescent="0.25">
      <c r="A1529" s="2">
        <v>42026</v>
      </c>
      <c r="B1529">
        <v>0</v>
      </c>
      <c r="D1529">
        <v>-1.3558975547322327E-2</v>
      </c>
    </row>
    <row r="1530" spans="1:4" x14ac:dyDescent="0.25">
      <c r="A1530" s="2">
        <v>42027</v>
      </c>
      <c r="B1530">
        <v>4.578809652298288E-3</v>
      </c>
      <c r="D1530">
        <v>-3.303125983183719E-3</v>
      </c>
    </row>
    <row r="1531" spans="1:4" x14ac:dyDescent="0.25">
      <c r="A1531" s="2">
        <v>42030</v>
      </c>
      <c r="B1531">
        <v>1.8231158191612806E-3</v>
      </c>
      <c r="D1531">
        <v>7.4834875934692846E-4</v>
      </c>
    </row>
    <row r="1532" spans="1:4" x14ac:dyDescent="0.25">
      <c r="A1532" s="2">
        <v>42031</v>
      </c>
      <c r="B1532">
        <v>-1.8197981164276289E-3</v>
      </c>
      <c r="D1532">
        <v>6.8368647137961869E-3</v>
      </c>
    </row>
    <row r="1533" spans="1:4" x14ac:dyDescent="0.25">
      <c r="A1533" s="2">
        <v>42032</v>
      </c>
      <c r="B1533">
        <v>-1.8232159298536832E-3</v>
      </c>
      <c r="D1533">
        <v>-2.1219788540863815E-3</v>
      </c>
    </row>
    <row r="1534" spans="1:4" x14ac:dyDescent="0.25">
      <c r="A1534" s="2">
        <v>42033</v>
      </c>
      <c r="B1534">
        <v>0</v>
      </c>
      <c r="D1534">
        <v>-3.9341080093814318E-3</v>
      </c>
    </row>
    <row r="1535" spans="1:4" x14ac:dyDescent="0.25">
      <c r="A1535" s="2">
        <v>42034</v>
      </c>
      <c r="B1535">
        <v>2.8339948194371356E-3</v>
      </c>
      <c r="D1535">
        <v>3.9496463447004082E-3</v>
      </c>
    </row>
    <row r="1536" spans="1:4" x14ac:dyDescent="0.25">
      <c r="A1536" s="2">
        <v>42037</v>
      </c>
      <c r="B1536">
        <v>-9.115922531361953E-4</v>
      </c>
      <c r="D1536">
        <v>3.6154159696650812E-3</v>
      </c>
    </row>
    <row r="1537" spans="1:4" x14ac:dyDescent="0.25">
      <c r="A1537" s="2">
        <v>42038</v>
      </c>
      <c r="B1537">
        <v>-2.7372720353900926E-3</v>
      </c>
      <c r="D1537">
        <v>4.9798803818230652E-3</v>
      </c>
    </row>
    <row r="1538" spans="1:4" x14ac:dyDescent="0.25">
      <c r="A1538" s="2">
        <v>42039</v>
      </c>
      <c r="B1538">
        <v>-9.149284197745855E-4</v>
      </c>
      <c r="D1538">
        <v>-4.5334739263551693E-3</v>
      </c>
    </row>
    <row r="1539" spans="1:4" x14ac:dyDescent="0.25">
      <c r="A1539" s="2">
        <v>42040</v>
      </c>
      <c r="B1539">
        <v>-9.1576628037048913E-4</v>
      </c>
      <c r="D1539">
        <v>4.4481885241418606E-3</v>
      </c>
    </row>
    <row r="1540" spans="1:4" x14ac:dyDescent="0.25">
      <c r="A1540" s="2">
        <v>42041</v>
      </c>
      <c r="B1540">
        <v>0</v>
      </c>
      <c r="D1540">
        <v>-1.328546930034602E-2</v>
      </c>
    </row>
    <row r="1541" spans="1:4" x14ac:dyDescent="0.25">
      <c r="A1541" s="2">
        <v>42044</v>
      </c>
      <c r="B1541">
        <v>-4.5829278245682614E-3</v>
      </c>
      <c r="D1541">
        <v>2.7783023833762854E-3</v>
      </c>
    </row>
    <row r="1542" spans="1:4" x14ac:dyDescent="0.25">
      <c r="A1542" s="2">
        <v>42045</v>
      </c>
      <c r="B1542">
        <v>-2.7624772647466544E-3</v>
      </c>
      <c r="D1542">
        <v>-6.3938448293792138E-3</v>
      </c>
    </row>
    <row r="1543" spans="1:4" x14ac:dyDescent="0.25">
      <c r="A1543" s="2">
        <v>42046</v>
      </c>
      <c r="B1543">
        <v>-9.2337656167384985E-4</v>
      </c>
      <c r="D1543">
        <v>-3.2174458796890848E-3</v>
      </c>
    </row>
    <row r="1544" spans="1:4" x14ac:dyDescent="0.25">
      <c r="A1544" s="2">
        <v>42047</v>
      </c>
      <c r="B1544">
        <v>0</v>
      </c>
      <c r="D1544">
        <v>1.2588741638469569E-2</v>
      </c>
    </row>
    <row r="1545" spans="1:4" x14ac:dyDescent="0.25">
      <c r="A1545" s="2">
        <v>42048</v>
      </c>
      <c r="B1545">
        <v>3.6969198958780591E-3</v>
      </c>
      <c r="D1545">
        <v>-9.5637281177574085E-4</v>
      </c>
    </row>
    <row r="1546" spans="1:4" x14ac:dyDescent="0.25">
      <c r="A1546" s="2">
        <v>42052</v>
      </c>
      <c r="B1546">
        <v>-5.52485350637133E-3</v>
      </c>
      <c r="D1546">
        <v>-3.0843715797477245E-3</v>
      </c>
    </row>
    <row r="1547" spans="1:4" x14ac:dyDescent="0.25">
      <c r="A1547" s="2">
        <v>42053</v>
      </c>
      <c r="B1547">
        <v>-9.2594144575874893E-4</v>
      </c>
      <c r="D1547">
        <v>5.3339453465994779E-4</v>
      </c>
    </row>
    <row r="1548" spans="1:4" x14ac:dyDescent="0.25">
      <c r="A1548" s="2">
        <v>42054</v>
      </c>
      <c r="B1548">
        <v>2.7802971452741687E-3</v>
      </c>
      <c r="D1548">
        <v>-4.0520031493846975E-3</v>
      </c>
    </row>
    <row r="1549" spans="1:4" x14ac:dyDescent="0.25">
      <c r="A1549" s="2">
        <v>42055</v>
      </c>
      <c r="B1549">
        <v>9.2422997396934825E-4</v>
      </c>
      <c r="D1549">
        <v>4.9250433133181115E-3</v>
      </c>
    </row>
    <row r="1550" spans="1:4" x14ac:dyDescent="0.25">
      <c r="A1550" s="2">
        <v>42058</v>
      </c>
      <c r="B1550">
        <v>2.7701296850219936E-3</v>
      </c>
      <c r="D1550">
        <v>-7.4579333622359911E-4</v>
      </c>
    </row>
    <row r="1551" spans="1:4" x14ac:dyDescent="0.25">
      <c r="A1551" s="2">
        <v>42059</v>
      </c>
      <c r="B1551">
        <v>1.8416515098307329E-3</v>
      </c>
      <c r="D1551">
        <v>-2.772167748643084E-3</v>
      </c>
    </row>
    <row r="1552" spans="1:4" x14ac:dyDescent="0.25">
      <c r="A1552" s="2">
        <v>42060</v>
      </c>
      <c r="B1552">
        <v>2.7572982591228534E-3</v>
      </c>
      <c r="D1552">
        <v>6.6289154321816923E-3</v>
      </c>
    </row>
    <row r="1553" spans="1:4" x14ac:dyDescent="0.25">
      <c r="A1553" s="2">
        <v>42061</v>
      </c>
      <c r="B1553">
        <v>2.7497164706848931E-3</v>
      </c>
      <c r="D1553">
        <v>-1.0939982552483851E-2</v>
      </c>
    </row>
    <row r="1554" spans="1:4" x14ac:dyDescent="0.25">
      <c r="A1554" s="2">
        <v>42062</v>
      </c>
      <c r="B1554">
        <v>8.2333481286256394E-4</v>
      </c>
      <c r="D1554">
        <v>1.6107634481747901E-3</v>
      </c>
    </row>
    <row r="1555" spans="1:4" x14ac:dyDescent="0.25">
      <c r="A1555" s="2">
        <v>42065</v>
      </c>
      <c r="B1555">
        <v>-9.1404161103803006E-4</v>
      </c>
      <c r="D1555">
        <v>-2.8978681643611059E-3</v>
      </c>
    </row>
    <row r="1556" spans="1:4" x14ac:dyDescent="0.25">
      <c r="A1556" s="2">
        <v>42066</v>
      </c>
      <c r="B1556">
        <v>-3.6596116833972347E-3</v>
      </c>
      <c r="D1556">
        <v>-1.0764029779173345E-3</v>
      </c>
    </row>
    <row r="1557" spans="1:4" x14ac:dyDescent="0.25">
      <c r="A1557" s="2">
        <v>42067</v>
      </c>
      <c r="B1557">
        <v>-1.8365771476653858E-3</v>
      </c>
      <c r="D1557">
        <v>-5.0646671312132296E-3</v>
      </c>
    </row>
    <row r="1558" spans="1:4" x14ac:dyDescent="0.25">
      <c r="A1558" s="2">
        <v>42068</v>
      </c>
      <c r="B1558">
        <v>2.7598841306510913E-3</v>
      </c>
      <c r="D1558">
        <v>-3.0325872129994824E-3</v>
      </c>
    </row>
    <row r="1559" spans="1:4" x14ac:dyDescent="0.25">
      <c r="A1559" s="2">
        <v>42069</v>
      </c>
      <c r="B1559">
        <v>0</v>
      </c>
      <c r="D1559">
        <v>-1.3688240572093391E-2</v>
      </c>
    </row>
    <row r="1560" spans="1:4" x14ac:dyDescent="0.25">
      <c r="A1560" s="2">
        <v>42072</v>
      </c>
      <c r="B1560">
        <v>-9.1739585490335784E-4</v>
      </c>
      <c r="D1560">
        <v>-8.8117743822957451E-4</v>
      </c>
    </row>
    <row r="1561" spans="1:4" x14ac:dyDescent="0.25">
      <c r="A1561" s="2">
        <v>42073</v>
      </c>
      <c r="B1561">
        <v>4.5912918762491817E-3</v>
      </c>
      <c r="D1561">
        <v>-4.6301199644921409E-3</v>
      </c>
    </row>
    <row r="1562" spans="1:4" x14ac:dyDescent="0.25">
      <c r="A1562" s="2">
        <v>42074</v>
      </c>
      <c r="B1562">
        <v>4.57040845896306E-3</v>
      </c>
      <c r="D1562">
        <v>-7.1990371129068143E-3</v>
      </c>
    </row>
    <row r="1563" spans="1:4" x14ac:dyDescent="0.25">
      <c r="A1563" s="2">
        <v>42075</v>
      </c>
      <c r="B1563">
        <v>9.0998281974785655E-4</v>
      </c>
      <c r="D1563">
        <v>6.1356897605855387E-3</v>
      </c>
    </row>
    <row r="1564" spans="1:4" x14ac:dyDescent="0.25">
      <c r="A1564" s="2">
        <v>42076</v>
      </c>
      <c r="B1564">
        <v>-9.0915550385883837E-4</v>
      </c>
      <c r="D1564">
        <v>-9.6463303148246471E-3</v>
      </c>
    </row>
    <row r="1565" spans="1:4" x14ac:dyDescent="0.25">
      <c r="A1565" s="2">
        <v>42079</v>
      </c>
      <c r="B1565">
        <v>9.0998281974785655E-4</v>
      </c>
      <c r="D1565">
        <v>6.2695652388802259E-3</v>
      </c>
    </row>
    <row r="1566" spans="1:4" x14ac:dyDescent="0.25">
      <c r="A1566" s="2">
        <v>42080</v>
      </c>
      <c r="B1566">
        <v>-1.8183110077175657E-3</v>
      </c>
      <c r="D1566">
        <v>1.5576256739395777E-3</v>
      </c>
    </row>
    <row r="1567" spans="1:4" x14ac:dyDescent="0.25">
      <c r="A1567" s="2">
        <v>42081</v>
      </c>
      <c r="B1567">
        <v>9.108116426945756E-4</v>
      </c>
      <c r="D1567">
        <v>2.2217286846256901E-2</v>
      </c>
    </row>
    <row r="1568" spans="1:4" x14ac:dyDescent="0.25">
      <c r="A1568" s="2">
        <v>42082</v>
      </c>
      <c r="B1568">
        <v>5.4594979344597672E-3</v>
      </c>
      <c r="D1568">
        <v>-1.3801314616833427E-2</v>
      </c>
    </row>
    <row r="1569" spans="1:4" x14ac:dyDescent="0.25">
      <c r="A1569" s="2">
        <v>42083</v>
      </c>
      <c r="B1569">
        <v>-9.0494254180317757E-4</v>
      </c>
      <c r="D1569">
        <v>1.3774106702530542E-2</v>
      </c>
    </row>
    <row r="1570" spans="1:4" x14ac:dyDescent="0.25">
      <c r="A1570" s="2">
        <v>42086</v>
      </c>
      <c r="B1570">
        <v>-1.8115244091096994E-3</v>
      </c>
      <c r="D1570">
        <v>7.9348169730526497E-3</v>
      </c>
    </row>
    <row r="1571" spans="1:4" x14ac:dyDescent="0.25">
      <c r="A1571" s="2">
        <v>42087</v>
      </c>
      <c r="B1571">
        <v>0</v>
      </c>
      <c r="D1571">
        <v>-2.5882161515474733E-3</v>
      </c>
    </row>
    <row r="1572" spans="1:4" x14ac:dyDescent="0.25">
      <c r="A1572" s="2">
        <v>42088</v>
      </c>
      <c r="B1572">
        <v>0</v>
      </c>
      <c r="D1572">
        <v>2.5949323974907568E-3</v>
      </c>
    </row>
    <row r="1573" spans="1:4" x14ac:dyDescent="0.25">
      <c r="A1573" s="2">
        <v>42089</v>
      </c>
      <c r="B1573">
        <v>-9.0750546711615421E-4</v>
      </c>
      <c r="D1573">
        <v>-4.5293456576235291E-3</v>
      </c>
    </row>
    <row r="1574" spans="1:4" x14ac:dyDescent="0.25">
      <c r="A1574" s="2">
        <v>42090</v>
      </c>
      <c r="B1574">
        <v>-2.7248897792637727E-3</v>
      </c>
      <c r="D1574">
        <v>-1.0826932520913157E-4</v>
      </c>
    </row>
    <row r="1575" spans="1:4" x14ac:dyDescent="0.25">
      <c r="A1575" s="2">
        <v>42093</v>
      </c>
      <c r="B1575">
        <v>1.8216232853893732E-3</v>
      </c>
      <c r="D1575">
        <v>-8.1256759034429304E-3</v>
      </c>
    </row>
    <row r="1576" spans="1:4" x14ac:dyDescent="0.25">
      <c r="A1576" s="2">
        <v>42094</v>
      </c>
      <c r="B1576">
        <v>1.4553663244936121E-3</v>
      </c>
      <c r="D1576">
        <v>-2.1850136620860106E-4</v>
      </c>
    </row>
    <row r="1577" spans="1:4" x14ac:dyDescent="0.25">
      <c r="A1577" s="2">
        <v>42095</v>
      </c>
      <c r="B1577">
        <v>1.8164646288441055E-3</v>
      </c>
      <c r="D1577">
        <v>1.3111405532035825E-3</v>
      </c>
    </row>
    <row r="1578" spans="1:4" x14ac:dyDescent="0.25">
      <c r="A1578" s="2">
        <v>42096</v>
      </c>
      <c r="B1578">
        <v>-9.0658553386679941E-4</v>
      </c>
      <c r="D1578">
        <v>2.1824205126479423E-3</v>
      </c>
    </row>
    <row r="1579" spans="1:4" x14ac:dyDescent="0.25">
      <c r="A1579" s="2">
        <v>42100</v>
      </c>
      <c r="B1579">
        <v>-9.0740817699330734E-4</v>
      </c>
      <c r="D1579">
        <v>6.0976150393234896E-3</v>
      </c>
    </row>
    <row r="1580" spans="1:4" x14ac:dyDescent="0.25">
      <c r="A1580" s="2">
        <v>42101</v>
      </c>
      <c r="B1580">
        <v>9.0823231442205277E-4</v>
      </c>
      <c r="D1580">
        <v>-7.7922156961129918E-3</v>
      </c>
    </row>
    <row r="1581" spans="1:4" x14ac:dyDescent="0.25">
      <c r="A1581" s="2">
        <v>42102</v>
      </c>
      <c r="B1581">
        <v>0</v>
      </c>
      <c r="D1581">
        <v>0</v>
      </c>
    </row>
    <row r="1582" spans="1:4" x14ac:dyDescent="0.25">
      <c r="A1582" s="2">
        <v>42103</v>
      </c>
      <c r="B1582">
        <v>-9.0740817699330734E-4</v>
      </c>
      <c r="D1582">
        <v>-1.0689393600708974E-2</v>
      </c>
    </row>
    <row r="1583" spans="1:4" x14ac:dyDescent="0.25">
      <c r="A1583" s="2">
        <v>42104</v>
      </c>
      <c r="B1583">
        <v>9.0823231442205277E-4</v>
      </c>
      <c r="D1583">
        <v>-1.9845693838662637E-3</v>
      </c>
    </row>
    <row r="1584" spans="1:4" x14ac:dyDescent="0.25">
      <c r="A1584" s="2">
        <v>42107</v>
      </c>
      <c r="B1584">
        <v>-9.0740817699330734E-4</v>
      </c>
      <c r="D1584">
        <v>6.629016660606446E-4</v>
      </c>
    </row>
    <row r="1585" spans="1:4" x14ac:dyDescent="0.25">
      <c r="A1585" s="2">
        <v>42108</v>
      </c>
      <c r="B1585">
        <v>9.0823231442205277E-4</v>
      </c>
      <c r="D1585">
        <v>4.6367592131544288E-3</v>
      </c>
    </row>
    <row r="1586" spans="1:4" x14ac:dyDescent="0.25">
      <c r="A1586" s="2">
        <v>42109</v>
      </c>
      <c r="B1586">
        <v>1.8148163539868367E-3</v>
      </c>
      <c r="D1586">
        <v>7.9121071210768168E-3</v>
      </c>
    </row>
    <row r="1587" spans="1:4" x14ac:dyDescent="0.25">
      <c r="A1587" s="2">
        <v>42110</v>
      </c>
      <c r="B1587">
        <v>-2.7172931429458869E-3</v>
      </c>
      <c r="D1587">
        <v>5.5604164459746031E-3</v>
      </c>
    </row>
    <row r="1588" spans="1:4" x14ac:dyDescent="0.25">
      <c r="A1588" s="2">
        <v>42111</v>
      </c>
      <c r="B1588">
        <v>-9.0833182492011666E-4</v>
      </c>
      <c r="D1588">
        <v>1.8431975646766574E-3</v>
      </c>
    </row>
    <row r="1589" spans="1:4" x14ac:dyDescent="0.25">
      <c r="A1589" s="2">
        <v>42114</v>
      </c>
      <c r="B1589">
        <v>0</v>
      </c>
      <c r="D1589">
        <v>-4.9783427589367157E-3</v>
      </c>
    </row>
    <row r="1590" spans="1:4" x14ac:dyDescent="0.25">
      <c r="A1590" s="2">
        <v>42115</v>
      </c>
      <c r="B1590">
        <v>-1.8182156825111706E-3</v>
      </c>
      <c r="D1590">
        <v>-3.9156065328975753E-3</v>
      </c>
    </row>
    <row r="1591" spans="1:4" x14ac:dyDescent="0.25">
      <c r="A1591" s="2">
        <v>42116</v>
      </c>
      <c r="B1591">
        <v>-9.1071391509389699E-4</v>
      </c>
      <c r="D1591">
        <v>-8.7356873378607869E-4</v>
      </c>
    </row>
    <row r="1592" spans="1:4" x14ac:dyDescent="0.25">
      <c r="A1592" s="2">
        <v>42117</v>
      </c>
      <c r="B1592">
        <v>0</v>
      </c>
      <c r="D1592">
        <v>6.120195494156988E-3</v>
      </c>
    </row>
    <row r="1593" spans="1:4" x14ac:dyDescent="0.25">
      <c r="A1593" s="2">
        <v>42118</v>
      </c>
      <c r="B1593">
        <v>0</v>
      </c>
      <c r="D1593">
        <v>3.8019293548980926E-3</v>
      </c>
    </row>
    <row r="1594" spans="1:4" x14ac:dyDescent="0.25">
      <c r="A1594" s="2">
        <v>42121</v>
      </c>
      <c r="B1594">
        <v>0</v>
      </c>
      <c r="D1594">
        <v>1.4067405613331641E-3</v>
      </c>
    </row>
    <row r="1595" spans="1:4" x14ac:dyDescent="0.25">
      <c r="A1595" s="2">
        <v>42122</v>
      </c>
      <c r="B1595">
        <v>-9.1154407096372125E-4</v>
      </c>
      <c r="D1595">
        <v>7.5642652334015903E-3</v>
      </c>
    </row>
    <row r="1596" spans="1:4" x14ac:dyDescent="0.25">
      <c r="A1596" s="2">
        <v>42123</v>
      </c>
      <c r="B1596">
        <v>-6.3868301205749489E-3</v>
      </c>
      <c r="D1596">
        <v>9.6530197207100876E-4</v>
      </c>
    </row>
    <row r="1597" spans="1:4" x14ac:dyDescent="0.25">
      <c r="A1597" s="2">
        <v>42124</v>
      </c>
      <c r="B1597">
        <v>-7.3553801572567856E-4</v>
      </c>
      <c r="D1597">
        <v>2.6786621329453197E-3</v>
      </c>
    </row>
    <row r="1598" spans="1:4" x14ac:dyDescent="0.25">
      <c r="A1598" s="2">
        <v>42125</v>
      </c>
      <c r="B1598">
        <v>-9.1992309575827935E-4</v>
      </c>
      <c r="D1598">
        <v>-5.1298555360802522E-3</v>
      </c>
    </row>
    <row r="1599" spans="1:4" x14ac:dyDescent="0.25">
      <c r="A1599" s="2">
        <v>42128</v>
      </c>
      <c r="B1599">
        <v>-2.7624111742010626E-3</v>
      </c>
      <c r="D1599">
        <v>-4.0820404616700445E-3</v>
      </c>
    </row>
    <row r="1600" spans="1:4" x14ac:dyDescent="0.25">
      <c r="A1600" s="2">
        <v>42129</v>
      </c>
      <c r="B1600">
        <v>-1.0156932186301537E-2</v>
      </c>
      <c r="D1600">
        <v>-2.3730051910166861E-3</v>
      </c>
    </row>
    <row r="1601" spans="1:4" x14ac:dyDescent="0.25">
      <c r="A1601" s="2">
        <v>42130</v>
      </c>
      <c r="B1601">
        <v>-4.6642815752711009E-3</v>
      </c>
      <c r="D1601">
        <v>6.7034595231547645E-3</v>
      </c>
    </row>
    <row r="1602" spans="1:4" x14ac:dyDescent="0.25">
      <c r="A1602" s="2">
        <v>42131</v>
      </c>
      <c r="B1602">
        <v>1.8744351052615293E-3</v>
      </c>
      <c r="D1602">
        <v>-6.3366366550900999E-3</v>
      </c>
    </row>
    <row r="1603" spans="1:4" x14ac:dyDescent="0.25">
      <c r="A1603" s="2">
        <v>42132</v>
      </c>
      <c r="B1603">
        <v>4.6772692413574735E-3</v>
      </c>
      <c r="D1603">
        <v>2.4859876340386222E-3</v>
      </c>
    </row>
    <row r="1604" spans="1:4" x14ac:dyDescent="0.25">
      <c r="A1604" s="2">
        <v>42135</v>
      </c>
      <c r="B1604">
        <v>-2.7932761648518101E-3</v>
      </c>
      <c r="D1604">
        <v>-8.8409676421853378E-3</v>
      </c>
    </row>
    <row r="1605" spans="1:4" x14ac:dyDescent="0.25">
      <c r="A1605" s="2">
        <v>42136</v>
      </c>
      <c r="B1605">
        <v>-7.4696351600433974E-3</v>
      </c>
      <c r="D1605">
        <v>2.2843364549463008E-3</v>
      </c>
    </row>
    <row r="1606" spans="1:4" x14ac:dyDescent="0.25">
      <c r="A1606" s="2">
        <v>42137</v>
      </c>
      <c r="B1606">
        <v>-1.8814883679749705E-3</v>
      </c>
      <c r="D1606">
        <v>7.3800779977442055E-3</v>
      </c>
    </row>
    <row r="1607" spans="1:4" x14ac:dyDescent="0.25">
      <c r="A1607" s="2">
        <v>42138</v>
      </c>
      <c r="B1607">
        <v>-9.4246594559144192E-4</v>
      </c>
      <c r="D1607">
        <v>2.2624332212108911E-3</v>
      </c>
    </row>
    <row r="1608" spans="1:4" x14ac:dyDescent="0.25">
      <c r="A1608" s="2">
        <v>42139</v>
      </c>
      <c r="B1608">
        <v>6.6036916702381099E-3</v>
      </c>
      <c r="D1608">
        <v>9.8892632239799827E-3</v>
      </c>
    </row>
    <row r="1609" spans="1:4" x14ac:dyDescent="0.25">
      <c r="A1609" s="2">
        <v>42142</v>
      </c>
      <c r="B1609">
        <v>-1.8744351052617514E-3</v>
      </c>
      <c r="D1609">
        <v>-1.5114403787453989E-2</v>
      </c>
    </row>
    <row r="1610" spans="1:4" x14ac:dyDescent="0.25">
      <c r="A1610" s="2">
        <v>42143</v>
      </c>
      <c r="B1610">
        <v>3.7559104208684246E-3</v>
      </c>
      <c r="D1610">
        <v>-7.3489721299128119E-3</v>
      </c>
    </row>
    <row r="1611" spans="1:4" x14ac:dyDescent="0.25">
      <c r="A1611" s="2">
        <v>42144</v>
      </c>
      <c r="B1611">
        <v>-1.870928171816999E-3</v>
      </c>
      <c r="D1611">
        <v>-5.3347609624191383E-3</v>
      </c>
    </row>
    <row r="1612" spans="1:4" x14ac:dyDescent="0.25">
      <c r="A1612" s="2">
        <v>42145</v>
      </c>
      <c r="B1612">
        <v>-9.3716626849660312E-4</v>
      </c>
      <c r="D1612">
        <v>3.2837483465224526E-3</v>
      </c>
    </row>
    <row r="1613" spans="1:4" x14ac:dyDescent="0.25">
      <c r="A1613" s="2">
        <v>42146</v>
      </c>
      <c r="B1613">
        <v>2.8142387834175775E-3</v>
      </c>
      <c r="D1613">
        <v>-7.6369721676873281E-3</v>
      </c>
    </row>
    <row r="1614" spans="1:4" x14ac:dyDescent="0.25">
      <c r="A1614" s="2">
        <v>42150</v>
      </c>
      <c r="B1614">
        <v>0</v>
      </c>
      <c r="D1614">
        <v>-1.0773918017348505E-2</v>
      </c>
    </row>
    <row r="1615" spans="1:4" x14ac:dyDescent="0.25">
      <c r="A1615" s="2">
        <v>42151</v>
      </c>
      <c r="B1615">
        <v>9.3541289772325342E-4</v>
      </c>
      <c r="D1615">
        <v>6.6678621185567444E-4</v>
      </c>
    </row>
    <row r="1616" spans="1:4" x14ac:dyDescent="0.25">
      <c r="A1616" s="2">
        <v>42152</v>
      </c>
      <c r="B1616">
        <v>0</v>
      </c>
      <c r="D1616">
        <v>-9.9960238839147397E-4</v>
      </c>
    </row>
    <row r="1617" spans="1:4" x14ac:dyDescent="0.25">
      <c r="A1617" s="2">
        <v>42153</v>
      </c>
      <c r="B1617">
        <v>3.2757438465886857E-3</v>
      </c>
      <c r="D1617">
        <v>3.6687268055137778E-3</v>
      </c>
    </row>
    <row r="1618" spans="1:4" x14ac:dyDescent="0.25">
      <c r="A1618" s="2">
        <v>42156</v>
      </c>
      <c r="B1618">
        <v>-1.8657273701419008E-3</v>
      </c>
      <c r="D1618">
        <v>-1.0967121327851603E-2</v>
      </c>
    </row>
    <row r="1619" spans="1:4" x14ac:dyDescent="0.25">
      <c r="A1619" s="2">
        <v>42157</v>
      </c>
      <c r="B1619">
        <v>-7.4766549869254018E-3</v>
      </c>
      <c r="D1619">
        <v>8.6245962930253661E-3</v>
      </c>
    </row>
    <row r="1620" spans="1:4" x14ac:dyDescent="0.25">
      <c r="A1620" s="2">
        <v>42158</v>
      </c>
      <c r="B1620">
        <v>-6.5912772162500799E-3</v>
      </c>
      <c r="D1620">
        <v>2.5540946763873418E-3</v>
      </c>
    </row>
    <row r="1621" spans="1:4" x14ac:dyDescent="0.25">
      <c r="A1621" s="2">
        <v>42159</v>
      </c>
      <c r="B1621">
        <v>0</v>
      </c>
      <c r="D1621">
        <v>-8.8615586287554837E-4</v>
      </c>
    </row>
    <row r="1622" spans="1:4" x14ac:dyDescent="0.25">
      <c r="A1622" s="2">
        <v>42160</v>
      </c>
      <c r="B1622">
        <v>-9.4794742087545014E-4</v>
      </c>
      <c r="D1622">
        <v>-1.2860271178714688E-2</v>
      </c>
    </row>
    <row r="1623" spans="1:4" x14ac:dyDescent="0.25">
      <c r="A1623" s="2">
        <v>42163</v>
      </c>
      <c r="B1623">
        <v>-2.8462295701374707E-3</v>
      </c>
      <c r="D1623">
        <v>8.8724304363501094E-3</v>
      </c>
    </row>
    <row r="1624" spans="1:4" x14ac:dyDescent="0.25">
      <c r="A1624" s="2">
        <v>42164</v>
      </c>
      <c r="B1624">
        <v>0</v>
      </c>
      <c r="D1624">
        <v>0</v>
      </c>
    </row>
    <row r="1625" spans="1:4" x14ac:dyDescent="0.25">
      <c r="A1625" s="2">
        <v>42165</v>
      </c>
      <c r="B1625">
        <v>-3.8059089385257261E-3</v>
      </c>
      <c r="D1625">
        <v>3.1169871644778357E-3</v>
      </c>
    </row>
    <row r="1626" spans="1:4" x14ac:dyDescent="0.25">
      <c r="A1626" s="2">
        <v>42166</v>
      </c>
      <c r="B1626">
        <v>4.775535430201705E-3</v>
      </c>
      <c r="D1626">
        <v>-5.5490765825350064E-4</v>
      </c>
    </row>
    <row r="1627" spans="1:4" x14ac:dyDescent="0.25">
      <c r="A1627" s="2">
        <v>42167</v>
      </c>
      <c r="B1627">
        <v>0</v>
      </c>
      <c r="D1627">
        <v>-7.7725953886831345E-4</v>
      </c>
    </row>
    <row r="1628" spans="1:4" x14ac:dyDescent="0.25">
      <c r="A1628" s="2">
        <v>42170</v>
      </c>
      <c r="B1628">
        <v>-2.8517444040840889E-3</v>
      </c>
      <c r="D1628">
        <v>8.8901158238741118E-4</v>
      </c>
    </row>
    <row r="1629" spans="1:4" x14ac:dyDescent="0.25">
      <c r="A1629" s="2">
        <v>42171</v>
      </c>
      <c r="B1629">
        <v>9.5326530873762749E-4</v>
      </c>
      <c r="D1629">
        <v>-1.1102298857234016E-3</v>
      </c>
    </row>
    <row r="1630" spans="1:4" x14ac:dyDescent="0.25">
      <c r="A1630" s="2">
        <v>42172</v>
      </c>
      <c r="B1630">
        <v>-9.5235745941002481E-4</v>
      </c>
      <c r="D1630">
        <v>9.2253169534406432E-3</v>
      </c>
    </row>
    <row r="1631" spans="1:4" x14ac:dyDescent="0.25">
      <c r="A1631" s="2">
        <v>42173</v>
      </c>
      <c r="B1631">
        <v>1.9066347994762811E-3</v>
      </c>
      <c r="D1631">
        <v>3.6342909534015089E-3</v>
      </c>
    </row>
    <row r="1632" spans="1:4" x14ac:dyDescent="0.25">
      <c r="A1632" s="2">
        <v>42174</v>
      </c>
      <c r="B1632">
        <v>9.5145123869588843E-4</v>
      </c>
      <c r="D1632">
        <v>1.2070730540461039E-3</v>
      </c>
    </row>
    <row r="1633" spans="1:4" x14ac:dyDescent="0.25">
      <c r="A1633" s="2">
        <v>42177</v>
      </c>
      <c r="B1633">
        <v>9.5054683972772835E-4</v>
      </c>
      <c r="D1633">
        <v>-6.4664221079739903E-3</v>
      </c>
    </row>
    <row r="1634" spans="1:4" x14ac:dyDescent="0.25">
      <c r="A1634" s="2">
        <v>42178</v>
      </c>
      <c r="B1634">
        <v>9.4964415847420547E-4</v>
      </c>
      <c r="D1634">
        <v>-1.1472705311386555E-2</v>
      </c>
    </row>
    <row r="1635" spans="1:4" x14ac:dyDescent="0.25">
      <c r="A1635" s="2">
        <v>42179</v>
      </c>
      <c r="B1635">
        <v>0</v>
      </c>
      <c r="D1635">
        <v>3.5710247928708583E-3</v>
      </c>
    </row>
    <row r="1636" spans="1:4" x14ac:dyDescent="0.25">
      <c r="A1636" s="2">
        <v>42180</v>
      </c>
      <c r="B1636">
        <v>-9.4874319004578656E-4</v>
      </c>
      <c r="D1636">
        <v>1.1122159448984092E-4</v>
      </c>
    </row>
    <row r="1637" spans="1:4" x14ac:dyDescent="0.25">
      <c r="A1637" s="2">
        <v>42181</v>
      </c>
      <c r="B1637">
        <v>0</v>
      </c>
      <c r="D1637">
        <v>-5.8928006472294125E-3</v>
      </c>
    </row>
    <row r="1638" spans="1:4" x14ac:dyDescent="0.25">
      <c r="A1638" s="2">
        <v>42184</v>
      </c>
      <c r="B1638">
        <v>-3.7986804201434188E-3</v>
      </c>
      <c r="D1638">
        <v>9.9541391217246034E-3</v>
      </c>
    </row>
    <row r="1639" spans="1:4" x14ac:dyDescent="0.25">
      <c r="A1639" s="2">
        <v>42185</v>
      </c>
      <c r="B1639">
        <v>4.1043541096204006E-3</v>
      </c>
      <c r="D1639">
        <v>-5.6478652164085874E-3</v>
      </c>
    </row>
    <row r="1640" spans="1:4" x14ac:dyDescent="0.25">
      <c r="A1640" s="2">
        <v>42186</v>
      </c>
      <c r="B1640">
        <v>-9.5061383694072799E-4</v>
      </c>
      <c r="D1640">
        <v>-7.0171337463781347E-3</v>
      </c>
    </row>
    <row r="1641" spans="1:4" x14ac:dyDescent="0.25">
      <c r="A1641" s="2">
        <v>42187</v>
      </c>
      <c r="B1641">
        <v>-9.5151836346318852E-4</v>
      </c>
      <c r="D1641">
        <v>5.6080932743918233E-4</v>
      </c>
    </row>
    <row r="1642" spans="1:4" x14ac:dyDescent="0.25">
      <c r="A1642" s="2">
        <v>42191</v>
      </c>
      <c r="B1642">
        <v>0</v>
      </c>
      <c r="D1642">
        <v>-3.3631281010471081E-4</v>
      </c>
    </row>
    <row r="1643" spans="1:4" x14ac:dyDescent="0.25">
      <c r="A1643" s="2">
        <v>42192</v>
      </c>
      <c r="B1643">
        <v>5.7143397702557053E-3</v>
      </c>
      <c r="D1643">
        <v>2.0186235158679011E-3</v>
      </c>
    </row>
    <row r="1644" spans="1:4" x14ac:dyDescent="0.25">
      <c r="A1644" s="2">
        <v>42193</v>
      </c>
      <c r="B1644">
        <v>9.4690969545196957E-4</v>
      </c>
      <c r="D1644">
        <v>6.3793963063030201E-3</v>
      </c>
    </row>
    <row r="1645" spans="1:4" x14ac:dyDescent="0.25">
      <c r="A1645" s="2">
        <v>42194</v>
      </c>
      <c r="B1645">
        <v>-9.4601390571258381E-4</v>
      </c>
      <c r="D1645">
        <v>-4.4484148740679963E-3</v>
      </c>
    </row>
    <row r="1646" spans="1:4" x14ac:dyDescent="0.25">
      <c r="A1646" s="2">
        <v>42195</v>
      </c>
      <c r="B1646">
        <v>-1.8939227540405446E-3</v>
      </c>
      <c r="D1646">
        <v>-1.117050414302212E-3</v>
      </c>
    </row>
    <row r="1647" spans="1:4" x14ac:dyDescent="0.25">
      <c r="A1647" s="2">
        <v>42198</v>
      </c>
      <c r="B1647">
        <v>0</v>
      </c>
      <c r="D1647">
        <v>-6.7098878008327034E-3</v>
      </c>
    </row>
    <row r="1648" spans="1:4" x14ac:dyDescent="0.25">
      <c r="A1648" s="2">
        <v>42199</v>
      </c>
      <c r="B1648">
        <v>0</v>
      </c>
      <c r="D1648">
        <v>0</v>
      </c>
    </row>
    <row r="1649" spans="1:4" x14ac:dyDescent="0.25">
      <c r="A1649" s="2">
        <v>42200</v>
      </c>
      <c r="B1649">
        <v>2.8462229759498303E-3</v>
      </c>
      <c r="D1649">
        <v>1.1261035045895262E-4</v>
      </c>
    </row>
    <row r="1650" spans="1:4" x14ac:dyDescent="0.25">
      <c r="A1650" s="2">
        <v>42201</v>
      </c>
      <c r="B1650">
        <v>1.8922343421325927E-3</v>
      </c>
      <c r="D1650">
        <v>-4.2778949076082151E-3</v>
      </c>
    </row>
    <row r="1651" spans="1:4" x14ac:dyDescent="0.25">
      <c r="A1651" s="2">
        <v>42202</v>
      </c>
      <c r="B1651">
        <v>2.8327846900169096E-3</v>
      </c>
      <c r="D1651">
        <v>1.1309281138283112E-4</v>
      </c>
    </row>
    <row r="1652" spans="1:4" x14ac:dyDescent="0.25">
      <c r="A1652" s="2">
        <v>42205</v>
      </c>
      <c r="B1652">
        <v>9.4166274906748448E-4</v>
      </c>
      <c r="D1652">
        <v>-2.2605754592130989E-4</v>
      </c>
    </row>
    <row r="1653" spans="1:4" x14ac:dyDescent="0.25">
      <c r="A1653" s="2">
        <v>42206</v>
      </c>
      <c r="B1653">
        <v>-1.881553709096595E-3</v>
      </c>
      <c r="D1653">
        <v>5.7665625219605054E-3</v>
      </c>
    </row>
    <row r="1654" spans="1:4" x14ac:dyDescent="0.25">
      <c r="A1654" s="2">
        <v>42207</v>
      </c>
      <c r="B1654">
        <v>2.8276509407603179E-3</v>
      </c>
      <c r="D1654">
        <v>1.1242878500370423E-3</v>
      </c>
    </row>
    <row r="1655" spans="1:4" x14ac:dyDescent="0.25">
      <c r="A1655" s="2">
        <v>42208</v>
      </c>
      <c r="B1655">
        <v>0</v>
      </c>
      <c r="D1655">
        <v>6.2885793508324905E-3</v>
      </c>
    </row>
    <row r="1656" spans="1:4" x14ac:dyDescent="0.25">
      <c r="A1656" s="2">
        <v>42209</v>
      </c>
      <c r="B1656">
        <v>1.8795800787079209E-3</v>
      </c>
      <c r="D1656">
        <v>-1.7855552215099157E-3</v>
      </c>
    </row>
    <row r="1657" spans="1:4" x14ac:dyDescent="0.25">
      <c r="A1657" s="2">
        <v>42212</v>
      </c>
      <c r="B1657">
        <v>-9.3802694259947916E-4</v>
      </c>
      <c r="D1657">
        <v>7.7138349184771027E-3</v>
      </c>
    </row>
    <row r="1658" spans="1:4" x14ac:dyDescent="0.25">
      <c r="A1658" s="2">
        <v>42213</v>
      </c>
      <c r="B1658">
        <v>0</v>
      </c>
      <c r="D1658">
        <v>-4.4376695364689578E-4</v>
      </c>
    </row>
    <row r="1659" spans="1:4" x14ac:dyDescent="0.25">
      <c r="A1659" s="2">
        <v>42214</v>
      </c>
      <c r="B1659">
        <v>0</v>
      </c>
      <c r="D1659">
        <v>-5.5493874946491717E-3</v>
      </c>
    </row>
    <row r="1660" spans="1:4" x14ac:dyDescent="0.25">
      <c r="A1660" s="2">
        <v>42215</v>
      </c>
      <c r="B1660">
        <v>1.877917816216268E-3</v>
      </c>
      <c r="D1660">
        <v>-2.0089359126302941E-3</v>
      </c>
    </row>
    <row r="1661" spans="1:4" x14ac:dyDescent="0.25">
      <c r="A1661" s="2">
        <v>42216</v>
      </c>
      <c r="B1661">
        <v>3.5673198637478087E-3</v>
      </c>
      <c r="D1661">
        <v>4.4732885781395559E-3</v>
      </c>
    </row>
    <row r="1662" spans="1:4" x14ac:dyDescent="0.25">
      <c r="A1662" s="2">
        <v>42219</v>
      </c>
      <c r="B1662">
        <v>-9.353455630920493E-4</v>
      </c>
      <c r="D1662">
        <v>-2.1155514013925236E-3</v>
      </c>
    </row>
    <row r="1663" spans="1:4" x14ac:dyDescent="0.25">
      <c r="A1663" s="2">
        <v>42220</v>
      </c>
      <c r="B1663">
        <v>9.3622125348757912E-4</v>
      </c>
      <c r="D1663">
        <v>-5.1327807539014447E-3</v>
      </c>
    </row>
    <row r="1664" spans="1:4" x14ac:dyDescent="0.25">
      <c r="A1664" s="2">
        <v>42221</v>
      </c>
      <c r="B1664">
        <v>-3.7417899880106686E-3</v>
      </c>
      <c r="D1664">
        <v>-6.3930809882526418E-3</v>
      </c>
    </row>
    <row r="1665" spans="1:4" x14ac:dyDescent="0.25">
      <c r="A1665" s="2">
        <v>42222</v>
      </c>
      <c r="B1665">
        <v>-9.388585747071021E-4</v>
      </c>
      <c r="D1665">
        <v>4.9667344750459197E-3</v>
      </c>
    </row>
    <row r="1666" spans="1:4" x14ac:dyDescent="0.25">
      <c r="A1666" s="2">
        <v>42223</v>
      </c>
      <c r="B1666">
        <v>1.8795841298497873E-3</v>
      </c>
      <c r="D1666">
        <v>4.717489545850384E-3</v>
      </c>
    </row>
    <row r="1667" spans="1:4" x14ac:dyDescent="0.25">
      <c r="A1667" s="2">
        <v>42226</v>
      </c>
      <c r="B1667">
        <v>0</v>
      </c>
      <c r="D1667">
        <v>7.825546783462034E-4</v>
      </c>
    </row>
    <row r="1668" spans="1:4" x14ac:dyDescent="0.25">
      <c r="A1668" s="2">
        <v>42227</v>
      </c>
      <c r="B1668">
        <v>2.8142402128972233E-3</v>
      </c>
      <c r="D1668">
        <v>4.6917578670659932E-3</v>
      </c>
    </row>
    <row r="1669" spans="1:4" x14ac:dyDescent="0.25">
      <c r="A1669" s="2">
        <v>42228</v>
      </c>
      <c r="B1669">
        <v>-9.353455630920493E-4</v>
      </c>
      <c r="D1669">
        <v>9.6730591141009903E-3</v>
      </c>
    </row>
    <row r="1670" spans="1:4" x14ac:dyDescent="0.25">
      <c r="A1670" s="2">
        <v>42229</v>
      </c>
      <c r="B1670">
        <v>-9.3642531217408287E-4</v>
      </c>
      <c r="D1670">
        <v>-3.5238387805542892E-3</v>
      </c>
    </row>
    <row r="1671" spans="1:4" x14ac:dyDescent="0.25">
      <c r="A1671" s="2">
        <v>42230</v>
      </c>
      <c r="B1671">
        <v>0</v>
      </c>
      <c r="D1671">
        <v>-1.8786476172865108E-3</v>
      </c>
    </row>
    <row r="1672" spans="1:4" x14ac:dyDescent="0.25">
      <c r="A1672" s="2">
        <v>42233</v>
      </c>
      <c r="B1672">
        <v>9.3730302645322894E-4</v>
      </c>
      <c r="D1672">
        <v>-1.6607725211524871E-3</v>
      </c>
    </row>
    <row r="1673" spans="1:4" x14ac:dyDescent="0.25">
      <c r="A1673" s="2">
        <v>42234</v>
      </c>
      <c r="B1673">
        <v>-9.3642531217408287E-4</v>
      </c>
      <c r="D1673">
        <v>-1.2199206547733876E-3</v>
      </c>
    </row>
    <row r="1674" spans="1:4" x14ac:dyDescent="0.25">
      <c r="A1674" s="2">
        <v>42235</v>
      </c>
      <c r="B1674">
        <v>-1.8744018029551723E-3</v>
      </c>
      <c r="D1674">
        <v>7.9946819789331602E-3</v>
      </c>
    </row>
    <row r="1675" spans="1:4" x14ac:dyDescent="0.25">
      <c r="A1675" s="2">
        <v>42236</v>
      </c>
      <c r="B1675">
        <v>1.8779217829310024E-3</v>
      </c>
      <c r="D1675">
        <v>5.6179940482654622E-3</v>
      </c>
    </row>
    <row r="1676" spans="1:4" x14ac:dyDescent="0.25">
      <c r="A1676" s="2">
        <v>42237</v>
      </c>
      <c r="B1676">
        <v>-1.8744018029551723E-3</v>
      </c>
      <c r="D1676">
        <v>1.1392275483815828E-2</v>
      </c>
    </row>
    <row r="1677" spans="1:4" x14ac:dyDescent="0.25">
      <c r="A1677" s="2">
        <v>42240</v>
      </c>
      <c r="B1677">
        <v>-2.8168826743962816E-3</v>
      </c>
      <c r="D1677">
        <v>1.4513123758893576E-2</v>
      </c>
    </row>
    <row r="1678" spans="1:4" x14ac:dyDescent="0.25">
      <c r="A1678" s="2">
        <v>42241</v>
      </c>
      <c r="B1678">
        <v>-2.8248399170165417E-3</v>
      </c>
      <c r="D1678">
        <v>-1.2383858178316776E-2</v>
      </c>
    </row>
    <row r="1679" spans="1:4" x14ac:dyDescent="0.25">
      <c r="A1679" s="2">
        <v>42242</v>
      </c>
      <c r="B1679">
        <v>-9.4428074762087366E-4</v>
      </c>
      <c r="D1679">
        <v>-9.9449321876898811E-3</v>
      </c>
    </row>
    <row r="1680" spans="1:4" x14ac:dyDescent="0.25">
      <c r="A1680" s="2">
        <v>42243</v>
      </c>
      <c r="B1680">
        <v>0</v>
      </c>
      <c r="D1680">
        <v>-5.5682330246487055E-3</v>
      </c>
    </row>
    <row r="1681" spans="1:4" x14ac:dyDescent="0.25">
      <c r="A1681" s="2">
        <v>42244</v>
      </c>
      <c r="B1681">
        <v>1.8903465130604147E-3</v>
      </c>
      <c r="D1681">
        <v>-6.8072324482065794E-3</v>
      </c>
    </row>
    <row r="1682" spans="1:4" x14ac:dyDescent="0.25">
      <c r="A1682" s="2">
        <v>42247</v>
      </c>
      <c r="B1682">
        <v>-4.7236315731868928E-4</v>
      </c>
      <c r="D1682">
        <v>-1.2160209104058461E-3</v>
      </c>
    </row>
    <row r="1683" spans="1:4" x14ac:dyDescent="0.25">
      <c r="A1683" s="2">
        <v>42248</v>
      </c>
      <c r="B1683">
        <v>-1.8902427109076525E-3</v>
      </c>
      <c r="D1683">
        <v>6.9848428381928951E-3</v>
      </c>
    </row>
    <row r="1684" spans="1:4" x14ac:dyDescent="0.25">
      <c r="A1684" s="2">
        <v>42249</v>
      </c>
      <c r="B1684">
        <v>0</v>
      </c>
      <c r="D1684">
        <v>-8.7943046812688497E-4</v>
      </c>
    </row>
    <row r="1685" spans="1:4" x14ac:dyDescent="0.25">
      <c r="A1685" s="2">
        <v>42250</v>
      </c>
      <c r="B1685">
        <v>1.8938224950748594E-3</v>
      </c>
      <c r="D1685">
        <v>-7.7016235578319936E-4</v>
      </c>
    </row>
    <row r="1686" spans="1:4" x14ac:dyDescent="0.25">
      <c r="A1686" s="2">
        <v>42251</v>
      </c>
      <c r="B1686">
        <v>2.8355183383061977E-3</v>
      </c>
      <c r="D1686">
        <v>1.9819423205531539E-3</v>
      </c>
    </row>
    <row r="1687" spans="1:4" x14ac:dyDescent="0.25">
      <c r="A1687" s="2">
        <v>42255</v>
      </c>
      <c r="B1687">
        <v>0</v>
      </c>
      <c r="D1687">
        <v>2.9670053215851144E-3</v>
      </c>
    </row>
    <row r="1688" spans="1:4" x14ac:dyDescent="0.25">
      <c r="A1688" s="2">
        <v>42256</v>
      </c>
      <c r="B1688">
        <v>-9.4239774538329435E-4</v>
      </c>
      <c r="D1688">
        <v>-3.2868589604218013E-4</v>
      </c>
    </row>
    <row r="1689" spans="1:4" x14ac:dyDescent="0.25">
      <c r="A1689" s="2">
        <v>42257</v>
      </c>
      <c r="B1689">
        <v>0</v>
      </c>
      <c r="D1689">
        <v>1.0962006722392559E-4</v>
      </c>
    </row>
    <row r="1690" spans="1:4" x14ac:dyDescent="0.25">
      <c r="A1690" s="2">
        <v>42258</v>
      </c>
      <c r="B1690">
        <v>9.4328669663945597E-4</v>
      </c>
      <c r="D1690">
        <v>3.9452165489748392E-3</v>
      </c>
    </row>
    <row r="1691" spans="1:4" x14ac:dyDescent="0.25">
      <c r="A1691" s="2">
        <v>42261</v>
      </c>
      <c r="B1691">
        <v>-9.4239774538329435E-4</v>
      </c>
      <c r="D1691">
        <v>2.183128677526236E-3</v>
      </c>
    </row>
    <row r="1692" spans="1:4" x14ac:dyDescent="0.25">
      <c r="A1692" s="2">
        <v>42262</v>
      </c>
      <c r="B1692">
        <v>-1.8868813549823837E-3</v>
      </c>
      <c r="D1692">
        <v>-8.1690359178342442E-3</v>
      </c>
    </row>
    <row r="1693" spans="1:4" x14ac:dyDescent="0.25">
      <c r="A1693" s="2">
        <v>42263</v>
      </c>
      <c r="B1693">
        <v>-1.8902427109076525E-3</v>
      </c>
      <c r="D1693">
        <v>1.6472748013303118E-3</v>
      </c>
    </row>
    <row r="1694" spans="1:4" x14ac:dyDescent="0.25">
      <c r="A1694" s="2">
        <v>42264</v>
      </c>
      <c r="B1694">
        <v>-9.4706581164549775E-4</v>
      </c>
      <c r="D1694">
        <v>1.359498483918542E-2</v>
      </c>
    </row>
    <row r="1695" spans="1:4" x14ac:dyDescent="0.25">
      <c r="A1695" s="2">
        <v>42265</v>
      </c>
      <c r="B1695">
        <v>6.6350231859662046E-3</v>
      </c>
      <c r="D1695">
        <v>-4.4347928640162682E-3</v>
      </c>
    </row>
    <row r="1696" spans="1:4" x14ac:dyDescent="0.25">
      <c r="A1696" s="2">
        <v>42268</v>
      </c>
      <c r="B1696">
        <v>-9.4161283216442904E-4</v>
      </c>
      <c r="D1696">
        <v>-9.4524429664042398E-3</v>
      </c>
    </row>
    <row r="1697" spans="1:4" x14ac:dyDescent="0.25">
      <c r="A1697" s="2">
        <v>42269</v>
      </c>
      <c r="B1697">
        <v>2.8276034647911619E-3</v>
      </c>
      <c r="D1697">
        <v>-5.4837754509695635E-4</v>
      </c>
    </row>
    <row r="1698" spans="1:4" x14ac:dyDescent="0.25">
      <c r="A1698" s="2">
        <v>42270</v>
      </c>
      <c r="B1698">
        <v>-9.3984279978664986E-4</v>
      </c>
      <c r="D1698">
        <v>-4.3899137922565057E-4</v>
      </c>
    </row>
    <row r="1699" spans="1:4" x14ac:dyDescent="0.25">
      <c r="A1699" s="2">
        <v>42271</v>
      </c>
      <c r="B1699">
        <v>9.4072693522329054E-4</v>
      </c>
      <c r="D1699">
        <v>1.4272877534973194E-3</v>
      </c>
    </row>
    <row r="1700" spans="1:4" x14ac:dyDescent="0.25">
      <c r="A1700" s="2">
        <v>42272</v>
      </c>
      <c r="B1700">
        <v>-2.8196306673466953E-3</v>
      </c>
      <c r="D1700">
        <v>-4.1661816987578204E-3</v>
      </c>
    </row>
    <row r="1701" spans="1:4" x14ac:dyDescent="0.25">
      <c r="A1701" s="2">
        <v>42275</v>
      </c>
      <c r="B1701">
        <v>-9.4239774538329435E-4</v>
      </c>
      <c r="D1701">
        <v>3.7432183982382128E-3</v>
      </c>
    </row>
    <row r="1702" spans="1:4" x14ac:dyDescent="0.25">
      <c r="A1702" s="2">
        <v>42276</v>
      </c>
      <c r="B1702">
        <v>0</v>
      </c>
      <c r="D1702">
        <v>3.6196320685735195E-3</v>
      </c>
    </row>
    <row r="1703" spans="1:4" x14ac:dyDescent="0.25">
      <c r="A1703" s="2">
        <v>42277</v>
      </c>
      <c r="B1703">
        <v>1.2278433103172226E-3</v>
      </c>
      <c r="D1703">
        <v>-4.9179942952813915E-3</v>
      </c>
    </row>
    <row r="1704" spans="1:4" x14ac:dyDescent="0.25">
      <c r="A1704" s="2">
        <v>42278</v>
      </c>
      <c r="B1704">
        <v>3.7736460355699553E-3</v>
      </c>
      <c r="D1704">
        <v>3.1849850014888936E-3</v>
      </c>
    </row>
    <row r="1705" spans="1:4" x14ac:dyDescent="0.25">
      <c r="A1705" s="2">
        <v>42279</v>
      </c>
      <c r="B1705">
        <v>1.8796274411305713E-3</v>
      </c>
      <c r="D1705">
        <v>6.0214885865490508E-3</v>
      </c>
    </row>
    <row r="1706" spans="1:4" x14ac:dyDescent="0.25">
      <c r="A1706" s="2">
        <v>42282</v>
      </c>
      <c r="B1706">
        <v>-9.3815248597139966E-4</v>
      </c>
      <c r="D1706">
        <v>-5.4412788432978143E-3</v>
      </c>
    </row>
    <row r="1707" spans="1:4" x14ac:dyDescent="0.25">
      <c r="A1707" s="2">
        <v>42283</v>
      </c>
      <c r="B1707">
        <v>-1.877862791723417E-3</v>
      </c>
      <c r="D1707">
        <v>7.2218371550498706E-3</v>
      </c>
    </row>
    <row r="1708" spans="1:4" x14ac:dyDescent="0.25">
      <c r="A1708" s="2">
        <v>42284</v>
      </c>
      <c r="B1708">
        <v>-1.8814980335415399E-3</v>
      </c>
      <c r="D1708">
        <v>-1.7382355580161102E-3</v>
      </c>
    </row>
    <row r="1709" spans="1:4" x14ac:dyDescent="0.25">
      <c r="A1709" s="2">
        <v>42285</v>
      </c>
      <c r="B1709">
        <v>9.4247115506629342E-4</v>
      </c>
      <c r="D1709">
        <v>2.3941876825717134E-3</v>
      </c>
    </row>
    <row r="1710" spans="1:4" x14ac:dyDescent="0.25">
      <c r="A1710" s="2">
        <v>42286</v>
      </c>
      <c r="B1710">
        <v>-9.4158373955177677E-4</v>
      </c>
      <c r="D1710">
        <v>3.2570045017370486E-3</v>
      </c>
    </row>
    <row r="1711" spans="1:4" x14ac:dyDescent="0.25">
      <c r="A1711" s="2">
        <v>42289</v>
      </c>
      <c r="B1711">
        <v>2.8276183279654088E-3</v>
      </c>
      <c r="D1711">
        <v>4.0038489232445684E-3</v>
      </c>
    </row>
    <row r="1712" spans="1:4" x14ac:dyDescent="0.25">
      <c r="A1712" s="2">
        <v>42290</v>
      </c>
      <c r="B1712">
        <v>-1.8798317262562758E-3</v>
      </c>
      <c r="D1712">
        <v>6.4666215634101576E-4</v>
      </c>
    </row>
    <row r="1713" spans="1:4" x14ac:dyDescent="0.25">
      <c r="A1713" s="2">
        <v>42291</v>
      </c>
      <c r="B1713">
        <v>9.416860744870803E-4</v>
      </c>
      <c r="D1713">
        <v>1.04480946155312E-2</v>
      </c>
    </row>
    <row r="1714" spans="1:4" x14ac:dyDescent="0.25">
      <c r="A1714" s="2">
        <v>42292</v>
      </c>
      <c r="B1714">
        <v>-9.4080013610009505E-4</v>
      </c>
      <c r="D1714">
        <v>-7.7816406942401439E-3</v>
      </c>
    </row>
    <row r="1715" spans="1:4" x14ac:dyDescent="0.25">
      <c r="A1715" s="2">
        <v>42293</v>
      </c>
      <c r="B1715">
        <v>1.8833721489743827E-3</v>
      </c>
      <c r="D1715">
        <v>-2.2561147116916258E-3</v>
      </c>
    </row>
    <row r="1716" spans="1:4" x14ac:dyDescent="0.25">
      <c r="A1716" s="2">
        <v>42296</v>
      </c>
      <c r="B1716">
        <v>-9.3991586312813791E-4</v>
      </c>
      <c r="D1716">
        <v>-2.5843153433025012E-3</v>
      </c>
    </row>
    <row r="1717" spans="1:4" x14ac:dyDescent="0.25">
      <c r="A1717" s="2">
        <v>42297</v>
      </c>
      <c r="B1717">
        <v>-1.8814980335415399E-3</v>
      </c>
      <c r="D1717">
        <v>-3.3466196731705145E-3</v>
      </c>
    </row>
    <row r="1718" spans="1:4" x14ac:dyDescent="0.25">
      <c r="A1718" s="2">
        <v>42298</v>
      </c>
      <c r="B1718">
        <v>1.8850447415159621E-3</v>
      </c>
      <c r="D1718">
        <v>4.4411139426558943E-3</v>
      </c>
    </row>
    <row r="1719" spans="1:4" x14ac:dyDescent="0.25">
      <c r="A1719" s="2">
        <v>42299</v>
      </c>
      <c r="B1719">
        <v>4.7036939645248577E-3</v>
      </c>
      <c r="D1719">
        <v>-1.1431096292775944E-2</v>
      </c>
    </row>
    <row r="1720" spans="1:4" x14ac:dyDescent="0.25">
      <c r="A1720" s="2">
        <v>42300</v>
      </c>
      <c r="B1720">
        <v>0</v>
      </c>
      <c r="D1720">
        <v>-9.599624315423716E-3</v>
      </c>
    </row>
    <row r="1721" spans="1:4" x14ac:dyDescent="0.25">
      <c r="A1721" s="2">
        <v>42303</v>
      </c>
      <c r="B1721">
        <v>0</v>
      </c>
      <c r="D1721">
        <v>3.7448676116667023E-3</v>
      </c>
    </row>
    <row r="1722" spans="1:4" x14ac:dyDescent="0.25">
      <c r="A1722" s="2">
        <v>42304</v>
      </c>
      <c r="B1722">
        <v>2.8089833330331437E-3</v>
      </c>
      <c r="D1722">
        <v>2.4141546227882671E-3</v>
      </c>
    </row>
    <row r="1723" spans="1:4" x14ac:dyDescent="0.25">
      <c r="A1723" s="2">
        <v>42305</v>
      </c>
      <c r="B1723">
        <v>9.3367119086051886E-4</v>
      </c>
      <c r="D1723">
        <v>-9.1953656976381248E-3</v>
      </c>
    </row>
    <row r="1724" spans="1:4" x14ac:dyDescent="0.25">
      <c r="A1724" s="2">
        <v>42306</v>
      </c>
      <c r="B1724">
        <v>-3.7313024288289087E-3</v>
      </c>
      <c r="D1724">
        <v>8.838109733311228E-4</v>
      </c>
    </row>
    <row r="1725" spans="1:4" x14ac:dyDescent="0.25">
      <c r="A1725" s="2">
        <v>42307</v>
      </c>
      <c r="B1725">
        <v>1.8744193955422261E-4</v>
      </c>
      <c r="D1725">
        <v>8.8311948917563221E-4</v>
      </c>
    </row>
    <row r="1726" spans="1:4" x14ac:dyDescent="0.25">
      <c r="A1726" s="2">
        <v>42310</v>
      </c>
      <c r="B1726">
        <v>-1.8744750803373345E-3</v>
      </c>
      <c r="D1726">
        <v>-1.654360248199982E-3</v>
      </c>
    </row>
    <row r="1727" spans="1:4" x14ac:dyDescent="0.25">
      <c r="A1727" s="2">
        <v>42311</v>
      </c>
      <c r="B1727">
        <v>-9.3889573588845643E-4</v>
      </c>
      <c r="D1727">
        <v>-1.7675269200716492E-3</v>
      </c>
    </row>
    <row r="1728" spans="1:4" x14ac:dyDescent="0.25">
      <c r="A1728" s="2">
        <v>42312</v>
      </c>
      <c r="B1728">
        <v>0</v>
      </c>
      <c r="D1728">
        <v>-7.5254549791257119E-3</v>
      </c>
    </row>
    <row r="1729" spans="1:4" x14ac:dyDescent="0.25">
      <c r="A1729" s="2">
        <v>42313</v>
      </c>
      <c r="B1729">
        <v>-1.8796582068612011E-3</v>
      </c>
      <c r="D1729">
        <v>-2.8992171158003233E-3</v>
      </c>
    </row>
    <row r="1730" spans="1:4" x14ac:dyDescent="0.25">
      <c r="A1730" s="2">
        <v>42314</v>
      </c>
      <c r="B1730">
        <v>-9.4165009766622454E-4</v>
      </c>
      <c r="D1730">
        <v>-1.3867127840567095E-2</v>
      </c>
    </row>
    <row r="1731" spans="1:4" x14ac:dyDescent="0.25">
      <c r="A1731" s="2">
        <v>42317</v>
      </c>
      <c r="B1731">
        <v>-1.8849729603631626E-3</v>
      </c>
      <c r="D1731">
        <v>-2.2676818848399449E-4</v>
      </c>
    </row>
    <row r="1732" spans="1:4" x14ac:dyDescent="0.25">
      <c r="A1732" s="2">
        <v>42318</v>
      </c>
      <c r="B1732">
        <v>2.8328504451784475E-3</v>
      </c>
      <c r="D1732">
        <v>-6.8064167115089447E-4</v>
      </c>
    </row>
    <row r="1733" spans="1:4" x14ac:dyDescent="0.25">
      <c r="A1733" s="2">
        <v>42319</v>
      </c>
      <c r="B1733">
        <v>0</v>
      </c>
      <c r="D1733">
        <v>2.6107110447377568E-3</v>
      </c>
    </row>
    <row r="1734" spans="1:4" x14ac:dyDescent="0.25">
      <c r="A1734" s="2">
        <v>42320</v>
      </c>
      <c r="B1734">
        <v>9.4154787772482429E-4</v>
      </c>
      <c r="D1734">
        <v>4.754877330935825E-3</v>
      </c>
    </row>
    <row r="1735" spans="1:4" x14ac:dyDescent="0.25">
      <c r="A1735" s="15">
        <v>42321</v>
      </c>
      <c r="B1735">
        <v>9.407643230141538E-4</v>
      </c>
      <c r="C1735">
        <v>0</v>
      </c>
      <c r="D1735">
        <v>3.380073635737002E-4</v>
      </c>
    </row>
    <row r="1736" spans="1:4" x14ac:dyDescent="0.25">
      <c r="A1736" s="2">
        <v>42324</v>
      </c>
      <c r="B1736">
        <v>1.8796582068614232E-3</v>
      </c>
      <c r="C1736">
        <v>-2.9851059345323838E-3</v>
      </c>
      <c r="D1736">
        <v>-4.2802030621789111E-3</v>
      </c>
    </row>
    <row r="1737" spans="1:4" x14ac:dyDescent="0.25">
      <c r="A1737" s="2">
        <v>42325</v>
      </c>
      <c r="B1737">
        <v>0</v>
      </c>
      <c r="C1737">
        <v>5.9886129164365975E-4</v>
      </c>
      <c r="D1737">
        <v>-1.0181508034713405E-3</v>
      </c>
    </row>
    <row r="1738" spans="1:4" x14ac:dyDescent="0.25">
      <c r="A1738" s="2">
        <v>42326</v>
      </c>
      <c r="B1738">
        <v>1.8762335568607291E-3</v>
      </c>
      <c r="C1738">
        <v>0</v>
      </c>
      <c r="D1738">
        <v>4.5295998985706021E-4</v>
      </c>
    </row>
    <row r="1739" spans="1:4" x14ac:dyDescent="0.25">
      <c r="A1739" s="2">
        <v>42327</v>
      </c>
      <c r="B1739">
        <v>0</v>
      </c>
      <c r="C1739">
        <v>4.1890955295942334E-3</v>
      </c>
      <c r="D1739">
        <v>9.0549271941742226E-3</v>
      </c>
    </row>
    <row r="1740" spans="1:4" x14ac:dyDescent="0.25">
      <c r="A1740" s="2">
        <v>42328</v>
      </c>
      <c r="B1740">
        <v>9.3625830279986388E-4</v>
      </c>
      <c r="C1740">
        <v>3.9731058544001385E-4</v>
      </c>
      <c r="D1740">
        <v>-4.8233320581941852E-3</v>
      </c>
    </row>
    <row r="1741" spans="1:4" x14ac:dyDescent="0.25">
      <c r="A1741" s="2">
        <v>42331</v>
      </c>
      <c r="B1741">
        <v>-9.3538254312752755E-4</v>
      </c>
      <c r="C1741">
        <v>0</v>
      </c>
      <c r="D1741">
        <v>-2.8178545353934048E-3</v>
      </c>
    </row>
    <row r="1742" spans="1:4" x14ac:dyDescent="0.25">
      <c r="A1742" s="2">
        <v>42332</v>
      </c>
      <c r="B1742">
        <v>9.3625830279986388E-4</v>
      </c>
      <c r="C1742">
        <v>1.1913577507636219E-3</v>
      </c>
      <c r="D1742">
        <v>2.2606242211431482E-3</v>
      </c>
    </row>
    <row r="1743" spans="1:4" x14ac:dyDescent="0.25">
      <c r="A1743" s="2">
        <v>42333</v>
      </c>
      <c r="B1743">
        <v>9.3548409372390395E-4</v>
      </c>
      <c r="C1743">
        <v>1.5867208175814884E-3</v>
      </c>
      <c r="D1743">
        <v>1.2405542642557332E-3</v>
      </c>
    </row>
    <row r="1744" spans="1:4" x14ac:dyDescent="0.25">
      <c r="A1744" s="2">
        <v>42335</v>
      </c>
      <c r="B1744">
        <v>1.8692195622798113E-3</v>
      </c>
      <c r="C1744">
        <v>-3.9605178078983005E-4</v>
      </c>
      <c r="D1744">
        <v>-7.8845517469472437E-4</v>
      </c>
    </row>
    <row r="1745" spans="1:4" x14ac:dyDescent="0.25">
      <c r="A1745" s="2">
        <v>42338</v>
      </c>
      <c r="B1745">
        <v>9.3367618084538861E-5</v>
      </c>
      <c r="C1745">
        <v>1.9814450490618363E-4</v>
      </c>
      <c r="D1745">
        <v>-3.7200073379410892E-3</v>
      </c>
    </row>
    <row r="1746" spans="1:4" x14ac:dyDescent="0.25">
      <c r="A1746" s="2">
        <v>42339</v>
      </c>
      <c r="B1746">
        <v>9.3369027080769662E-4</v>
      </c>
      <c r="C1746">
        <v>-1.3864958782204839E-3</v>
      </c>
      <c r="D1746">
        <v>4.5259211245316511E-3</v>
      </c>
    </row>
    <row r="1747" spans="1:4" x14ac:dyDescent="0.25">
      <c r="A1747" s="2">
        <v>42340</v>
      </c>
      <c r="B1747">
        <v>9.3281930649680156E-4</v>
      </c>
      <c r="C1747">
        <v>2.7767413294095267E-3</v>
      </c>
      <c r="D1747">
        <v>-7.8845517469472437E-4</v>
      </c>
    </row>
    <row r="1748" spans="1:4" x14ac:dyDescent="0.25">
      <c r="A1748" s="2">
        <v>42341</v>
      </c>
      <c r="B1748">
        <v>-7.4557007928195418E-3</v>
      </c>
      <c r="C1748">
        <v>-7.5158332437790243E-3</v>
      </c>
      <c r="D1748">
        <v>8.9054342649719231E-3</v>
      </c>
    </row>
    <row r="1749" spans="1:4" x14ac:dyDescent="0.25">
      <c r="A1749" s="2">
        <v>42342</v>
      </c>
      <c r="B1749">
        <v>-1.8779009991203299E-3</v>
      </c>
      <c r="C1749">
        <v>-2.8896155858758599E-3</v>
      </c>
      <c r="D1749">
        <v>-3.3519965757534687E-3</v>
      </c>
    </row>
    <row r="1750" spans="1:4" x14ac:dyDescent="0.25">
      <c r="A1750" s="2">
        <v>42345</v>
      </c>
      <c r="B1750">
        <v>3.7628682923664947E-3</v>
      </c>
      <c r="C1750">
        <v>1.6987921896638447E-3</v>
      </c>
      <c r="D1750">
        <v>1.2331945735373218E-3</v>
      </c>
    </row>
    <row r="1751" spans="1:4" x14ac:dyDescent="0.25">
      <c r="A1751" s="2">
        <v>42346</v>
      </c>
      <c r="B1751">
        <v>1.8743810969854557E-3</v>
      </c>
      <c r="C1751">
        <v>0</v>
      </c>
      <c r="D1751">
        <v>3.2471275392880194E-3</v>
      </c>
    </row>
    <row r="1752" spans="1:4" x14ac:dyDescent="0.25">
      <c r="A1752" s="2">
        <v>42347</v>
      </c>
      <c r="B1752">
        <v>-1.8708743654399784E-3</v>
      </c>
      <c r="C1752">
        <v>4.389499271231001E-3</v>
      </c>
      <c r="D1752">
        <v>1.093754269952707E-2</v>
      </c>
    </row>
    <row r="1753" spans="1:4" x14ac:dyDescent="0.25">
      <c r="A1753" s="2">
        <v>42348</v>
      </c>
      <c r="B1753">
        <v>0</v>
      </c>
      <c r="C1753">
        <v>-3.7743096285645095E-3</v>
      </c>
      <c r="D1753">
        <v>-3.8639795231737439E-3</v>
      </c>
    </row>
    <row r="1754" spans="1:4" x14ac:dyDescent="0.25">
      <c r="A1754" s="2">
        <v>42349</v>
      </c>
      <c r="B1754">
        <v>0</v>
      </c>
      <c r="C1754">
        <v>4.3867923527354247E-3</v>
      </c>
      <c r="D1754">
        <v>5.4305481876091299E-3</v>
      </c>
    </row>
    <row r="1755" spans="1:4" x14ac:dyDescent="0.25">
      <c r="A1755" s="2">
        <v>42352</v>
      </c>
      <c r="B1755">
        <v>-2.8115716454784057E-3</v>
      </c>
      <c r="C1755">
        <v>-2.5808600049699315E-3</v>
      </c>
      <c r="D1755">
        <v>-3.5273380551252842E-3</v>
      </c>
    </row>
    <row r="1756" spans="1:4" x14ac:dyDescent="0.25">
      <c r="A1756" s="2">
        <v>42353</v>
      </c>
      <c r="B1756">
        <v>-1.8797678354732783E-3</v>
      </c>
      <c r="C1756">
        <v>0</v>
      </c>
      <c r="D1756">
        <v>-7.7434135125253878E-3</v>
      </c>
    </row>
    <row r="1757" spans="1:4" x14ac:dyDescent="0.25">
      <c r="A1757" s="2">
        <v>42354</v>
      </c>
      <c r="B1757">
        <v>-8.6134051542574586E-4</v>
      </c>
      <c r="C1757">
        <v>-2.5875985986362204E-3</v>
      </c>
      <c r="D1757">
        <v>-3.9018760283903164E-3</v>
      </c>
    </row>
    <row r="1758" spans="1:4" x14ac:dyDescent="0.25">
      <c r="A1758" s="2">
        <v>42355</v>
      </c>
      <c r="B1758">
        <v>3.8313894305652685E-3</v>
      </c>
      <c r="C1758">
        <v>0</v>
      </c>
      <c r="D1758">
        <v>-4.5886467643249107E-3</v>
      </c>
    </row>
    <row r="1759" spans="1:4" x14ac:dyDescent="0.25">
      <c r="A1759" s="2">
        <v>42356</v>
      </c>
      <c r="B1759">
        <v>1.908484769996166E-3</v>
      </c>
      <c r="C1759">
        <v>4.6896954062372043E-3</v>
      </c>
      <c r="D1759">
        <v>8.7699381571932911E-3</v>
      </c>
    </row>
    <row r="1760" spans="1:4" x14ac:dyDescent="0.25">
      <c r="A1760" s="2">
        <v>42359</v>
      </c>
      <c r="B1760">
        <v>0</v>
      </c>
      <c r="C1760">
        <v>-1.1917731017008215E-4</v>
      </c>
      <c r="D1760">
        <v>2.7864473224923358E-3</v>
      </c>
    </row>
    <row r="1761" spans="1:4" x14ac:dyDescent="0.25">
      <c r="A1761" s="2">
        <v>42360</v>
      </c>
      <c r="B1761">
        <v>-1.9048493939387567E-3</v>
      </c>
      <c r="C1761">
        <v>0</v>
      </c>
      <c r="D1761">
        <v>-1.0003726180335404E-3</v>
      </c>
    </row>
    <row r="1762" spans="1:4" x14ac:dyDescent="0.25">
      <c r="A1762" s="2">
        <v>42361</v>
      </c>
      <c r="B1762">
        <v>-9.540896654912645E-4</v>
      </c>
      <c r="C1762">
        <v>-4.0525719143114092E-3</v>
      </c>
      <c r="D1762">
        <v>-4.4505900900837503E-4</v>
      </c>
    </row>
    <row r="1763" spans="1:4" x14ac:dyDescent="0.25">
      <c r="A1763" s="2">
        <v>42362</v>
      </c>
      <c r="B1763">
        <v>9.5500082190613789E-4</v>
      </c>
      <c r="C1763">
        <v>-8.9755363013832579E-4</v>
      </c>
      <c r="D1763">
        <v>5.0547872613013745E-3</v>
      </c>
    </row>
    <row r="1764" spans="1:4" x14ac:dyDescent="0.25">
      <c r="A1764" s="2">
        <v>42366</v>
      </c>
      <c r="B1764">
        <v>0</v>
      </c>
      <c r="C1764">
        <v>1.5970933596896053E-3</v>
      </c>
      <c r="D1764">
        <v>2.2156356609004391E-3</v>
      </c>
    </row>
    <row r="1765" spans="1:4" x14ac:dyDescent="0.25">
      <c r="A1765" s="2">
        <v>42367</v>
      </c>
      <c r="B1765">
        <v>-5.0315986840865357E-4</v>
      </c>
      <c r="C1765">
        <v>-1.3952586820344948E-3</v>
      </c>
      <c r="D1765">
        <v>-6.4109872975642856E-3</v>
      </c>
    </row>
    <row r="1766" spans="1:4" x14ac:dyDescent="0.25">
      <c r="A1766" s="2">
        <v>42368</v>
      </c>
      <c r="B1766">
        <v>-2.0141619841363978E-3</v>
      </c>
      <c r="C1766">
        <v>-5.9876014289328428E-4</v>
      </c>
      <c r="D1766">
        <v>-1.5574587839630727E-3</v>
      </c>
    </row>
    <row r="1767" spans="1:4" x14ac:dyDescent="0.25">
      <c r="A1767" s="2">
        <v>42369</v>
      </c>
      <c r="B1767">
        <v>1.0101852434971637E-3</v>
      </c>
      <c r="C1767">
        <v>1.3980250007337158E-3</v>
      </c>
      <c r="D1767">
        <v>-8.9138234250663029E-4</v>
      </c>
    </row>
    <row r="1768" spans="1:4" x14ac:dyDescent="0.25">
      <c r="A1768" s="2">
        <v>42373</v>
      </c>
      <c r="B1768">
        <v>3.027191496781434E-3</v>
      </c>
      <c r="C1768">
        <v>1.7949888679602566E-3</v>
      </c>
      <c r="D1768">
        <v>4.4609442172083291E-4</v>
      </c>
    </row>
    <row r="1769" spans="1:4" x14ac:dyDescent="0.25">
      <c r="A1769" s="2">
        <v>42374</v>
      </c>
      <c r="B1769">
        <v>1.0060184218481094E-3</v>
      </c>
      <c r="C1769">
        <v>1.5927024988511285E-3</v>
      </c>
      <c r="D1769">
        <v>-3.3440647951447078E-3</v>
      </c>
    </row>
    <row r="1770" spans="1:4" x14ac:dyDescent="0.25">
      <c r="A1770" s="2">
        <v>42375</v>
      </c>
      <c r="B1770">
        <v>1.00510892285266E-3</v>
      </c>
      <c r="C1770">
        <v>-7.9533673203457944E-5</v>
      </c>
      <c r="D1770">
        <v>2.6842483406950279E-3</v>
      </c>
    </row>
    <row r="1771" spans="1:4" x14ac:dyDescent="0.25">
      <c r="A1771" s="2">
        <v>42376</v>
      </c>
      <c r="B1771">
        <v>-3.0120961699637849E-3</v>
      </c>
      <c r="C1771">
        <v>4.7711911441283839E-4</v>
      </c>
      <c r="D1771">
        <v>1.0485158416420282E-2</v>
      </c>
    </row>
    <row r="1772" spans="1:4" x14ac:dyDescent="0.25">
      <c r="A1772" s="2">
        <v>42377</v>
      </c>
      <c r="B1772">
        <v>1.007031514102863E-3</v>
      </c>
      <c r="C1772">
        <v>-3.7753413343133424E-4</v>
      </c>
      <c r="D1772">
        <v>-2.5388626941766912E-3</v>
      </c>
    </row>
    <row r="1773" spans="1:4" x14ac:dyDescent="0.25">
      <c r="A1773" s="2">
        <v>42380</v>
      </c>
      <c r="B1773">
        <v>-3.0180552655447723E-3</v>
      </c>
      <c r="C1773">
        <v>-3.9806336532222097E-5</v>
      </c>
      <c r="D1773">
        <v>-5.6441184720616988E-3</v>
      </c>
    </row>
    <row r="1774" spans="1:4" x14ac:dyDescent="0.25">
      <c r="A1774" s="2">
        <v>42381</v>
      </c>
      <c r="B1774">
        <v>0</v>
      </c>
      <c r="C1774">
        <v>1.2125299380345567E-3</v>
      </c>
      <c r="D1774">
        <v>3.2276129223804961E-3</v>
      </c>
    </row>
    <row r="1775" spans="1:4" x14ac:dyDescent="0.25">
      <c r="A1775" s="2">
        <v>42382</v>
      </c>
      <c r="B1775">
        <v>2.01812766452103E-3</v>
      </c>
      <c r="C1775">
        <v>7.5444857043116542E-4</v>
      </c>
      <c r="D1775">
        <v>1.442166405866363E-3</v>
      </c>
    </row>
    <row r="1776" spans="1:4" x14ac:dyDescent="0.25">
      <c r="A1776" s="2">
        <v>42383</v>
      </c>
      <c r="B1776">
        <v>-2.0140630282057259E-3</v>
      </c>
      <c r="C1776">
        <v>4.9991912304243602E-3</v>
      </c>
      <c r="D1776">
        <v>-2.6586646297477312E-3</v>
      </c>
    </row>
    <row r="1777" spans="1:4" x14ac:dyDescent="0.25">
      <c r="A1777" s="2">
        <v>42384</v>
      </c>
      <c r="B1777">
        <v>0</v>
      </c>
      <c r="C1777">
        <v>1.9739046069811028E-3</v>
      </c>
      <c r="D1777">
        <v>4.665088317210575E-3</v>
      </c>
    </row>
    <row r="1778" spans="1:4" x14ac:dyDescent="0.25">
      <c r="A1778" s="2">
        <v>42388</v>
      </c>
      <c r="B1778">
        <v>0</v>
      </c>
      <c r="C1778">
        <v>0</v>
      </c>
      <c r="D1778">
        <v>-1.6582973621064312E-3</v>
      </c>
    </row>
    <row r="1779" spans="1:4" x14ac:dyDescent="0.25">
      <c r="A1779" s="2">
        <v>42389</v>
      </c>
      <c r="B1779">
        <v>0</v>
      </c>
      <c r="C1779">
        <v>-3.0535497325958616E-3</v>
      </c>
      <c r="D1779">
        <v>2.2144087377018451E-4</v>
      </c>
    </row>
    <row r="1780" spans="1:4" x14ac:dyDescent="0.25">
      <c r="A1780" s="2">
        <v>42390</v>
      </c>
      <c r="B1780">
        <v>2.01812766452103E-3</v>
      </c>
      <c r="C1780">
        <v>3.458132475478326E-3</v>
      </c>
      <c r="D1780">
        <v>8.8575692298809017E-4</v>
      </c>
    </row>
    <row r="1781" spans="1:4" x14ac:dyDescent="0.25">
      <c r="A1781" s="2">
        <v>42391</v>
      </c>
      <c r="B1781">
        <v>-1.007031514102974E-3</v>
      </c>
      <c r="C1781">
        <v>-1.5753920457272086E-3</v>
      </c>
      <c r="D1781">
        <v>-6.9690750656511424E-3</v>
      </c>
    </row>
    <row r="1782" spans="1:4" x14ac:dyDescent="0.25">
      <c r="A1782" s="2">
        <v>42394</v>
      </c>
      <c r="B1782">
        <v>1.0080466488460171E-3</v>
      </c>
      <c r="C1782">
        <v>1.972247325650045E-4</v>
      </c>
      <c r="D1782">
        <v>3.4533273272734366E-3</v>
      </c>
    </row>
    <row r="1783" spans="1:4" x14ac:dyDescent="0.25">
      <c r="A1783" s="2">
        <v>42395</v>
      </c>
      <c r="B1783">
        <v>0</v>
      </c>
      <c r="C1783">
        <v>0</v>
      </c>
      <c r="D1783">
        <v>3.441353470852393E-3</v>
      </c>
    </row>
    <row r="1784" spans="1:4" x14ac:dyDescent="0.25">
      <c r="A1784" s="2">
        <v>42396</v>
      </c>
      <c r="B1784">
        <v>2.0140630282055039E-3</v>
      </c>
      <c r="C1784">
        <v>1.9720383040195966E-3</v>
      </c>
      <c r="D1784">
        <v>2.3232597954305767E-3</v>
      </c>
    </row>
    <row r="1785" spans="1:4" x14ac:dyDescent="0.25">
      <c r="A1785" s="2">
        <v>42397</v>
      </c>
      <c r="B1785">
        <v>0</v>
      </c>
      <c r="C1785">
        <v>5.3139182426029663E-3</v>
      </c>
      <c r="D1785">
        <v>4.5254290642395834E-3</v>
      </c>
    </row>
    <row r="1786" spans="1:4" x14ac:dyDescent="0.25">
      <c r="A1786" s="2">
        <v>42398</v>
      </c>
      <c r="B1786">
        <v>6.4347485562159523E-3</v>
      </c>
      <c r="C1786">
        <v>-3.9155470432317152E-4</v>
      </c>
      <c r="D1786">
        <v>-3.2963750297171357E-3</v>
      </c>
    </row>
    <row r="1787" spans="1:4" x14ac:dyDescent="0.25">
      <c r="A1787" s="2">
        <v>42401</v>
      </c>
      <c r="B1787">
        <v>-9.9898537394593756E-4</v>
      </c>
      <c r="C1787">
        <v>-5.0920859366317961E-3</v>
      </c>
      <c r="D1787">
        <v>0</v>
      </c>
    </row>
    <row r="1788" spans="1:4" x14ac:dyDescent="0.25">
      <c r="A1788" s="2">
        <v>42402</v>
      </c>
      <c r="B1788">
        <v>-9.9998434367942757E-4</v>
      </c>
      <c r="C1788">
        <v>-5.9052944708748445E-4</v>
      </c>
      <c r="D1788">
        <v>5.4018011206315997E-3</v>
      </c>
    </row>
    <row r="1789" spans="1:4" x14ac:dyDescent="0.25">
      <c r="A1789" s="2">
        <v>42403</v>
      </c>
      <c r="B1789">
        <v>0</v>
      </c>
      <c r="C1789">
        <v>1.9693284234745256E-4</v>
      </c>
      <c r="D1789">
        <v>1.7324583497961843E-2</v>
      </c>
    </row>
    <row r="1790" spans="1:4" x14ac:dyDescent="0.25">
      <c r="A1790" s="2">
        <v>42404</v>
      </c>
      <c r="B1790">
        <v>-1.001086422948716E-3</v>
      </c>
      <c r="C1790">
        <v>2.953949900568853E-3</v>
      </c>
      <c r="D1790">
        <v>6.4668910533103308E-3</v>
      </c>
    </row>
    <row r="1791" spans="1:4" x14ac:dyDescent="0.25">
      <c r="A1791" s="2">
        <v>42405</v>
      </c>
      <c r="B1791">
        <v>-1.0018871793459061E-3</v>
      </c>
      <c r="C1791">
        <v>-1.5708118228530132E-3</v>
      </c>
      <c r="D1791">
        <v>-2.6772300106492342E-3</v>
      </c>
    </row>
    <row r="1792" spans="1:4" x14ac:dyDescent="0.25">
      <c r="A1792" s="2">
        <v>42408</v>
      </c>
      <c r="B1792">
        <v>-1.0030945888513942E-3</v>
      </c>
      <c r="C1792">
        <v>3.343189332265295E-3</v>
      </c>
      <c r="D1792">
        <v>4.5098890105939038E-3</v>
      </c>
    </row>
    <row r="1793" spans="1:4" x14ac:dyDescent="0.25">
      <c r="A1793" s="2">
        <v>42409</v>
      </c>
      <c r="B1793">
        <v>-1.0040003837512579E-3</v>
      </c>
      <c r="C1793">
        <v>-1.7640087623559397E-3</v>
      </c>
      <c r="D1793">
        <v>6.0929976429398014E-3</v>
      </c>
    </row>
    <row r="1794" spans="1:4" x14ac:dyDescent="0.25">
      <c r="A1794" s="2">
        <v>42410</v>
      </c>
      <c r="B1794">
        <v>-1.0050094135881649E-3</v>
      </c>
      <c r="C1794">
        <v>-9.817300266903306E-4</v>
      </c>
      <c r="D1794">
        <v>5.0998223246636609E-3</v>
      </c>
    </row>
    <row r="1795" spans="1:4" x14ac:dyDescent="0.25">
      <c r="A1795" s="2">
        <v>42411</v>
      </c>
      <c r="B1795">
        <v>-1.0060204736344058E-3</v>
      </c>
      <c r="C1795">
        <v>3.3411582260880479E-3</v>
      </c>
      <c r="D1795">
        <v>1.7970208034026047E-3</v>
      </c>
    </row>
    <row r="1796" spans="1:4" x14ac:dyDescent="0.25">
      <c r="A1796" s="2">
        <v>42412</v>
      </c>
      <c r="B1796">
        <v>-2.0140671400470378E-3</v>
      </c>
      <c r="C1796">
        <v>-6.4642114168925735E-3</v>
      </c>
      <c r="D1796">
        <v>-6.3310980887331114E-3</v>
      </c>
    </row>
    <row r="1797" spans="1:4" x14ac:dyDescent="0.25">
      <c r="A1797" s="2">
        <v>42416</v>
      </c>
      <c r="B1797">
        <v>1.0090658964878596E-3</v>
      </c>
      <c r="C1797">
        <v>3.1545711697928969E-3</v>
      </c>
      <c r="D1797">
        <v>-7.6457577495568918E-3</v>
      </c>
    </row>
    <row r="1798" spans="1:4" x14ac:dyDescent="0.25">
      <c r="A1798" s="2">
        <v>42417</v>
      </c>
      <c r="B1798">
        <v>1.0080487089136891E-3</v>
      </c>
      <c r="C1798">
        <v>9.8269476765078245E-4</v>
      </c>
      <c r="D1798">
        <v>6.4210217290550098E-4</v>
      </c>
    </row>
    <row r="1799" spans="1:4" x14ac:dyDescent="0.25">
      <c r="A1799" s="2">
        <v>42418</v>
      </c>
      <c r="B1799">
        <v>2.0140671400470378E-3</v>
      </c>
      <c r="C1799">
        <v>1.7671259880831514E-3</v>
      </c>
      <c r="D1799">
        <v>4.3845236915198704E-3</v>
      </c>
    </row>
    <row r="1800" spans="1:4" x14ac:dyDescent="0.25">
      <c r="A1800" s="2">
        <v>42419</v>
      </c>
      <c r="B1800">
        <v>-1.0050094135881649E-3</v>
      </c>
      <c r="C1800">
        <v>1.3132528746688799E-3</v>
      </c>
      <c r="D1800">
        <v>-1.0642073177913325E-4</v>
      </c>
    </row>
    <row r="1801" spans="1:4" x14ac:dyDescent="0.25">
      <c r="A1801" s="2">
        <v>42422</v>
      </c>
      <c r="B1801">
        <v>3.0181630391330483E-3</v>
      </c>
      <c r="C1801">
        <v>4.5018454650080919E-4</v>
      </c>
      <c r="D1801">
        <v>-2.5556989971003974E-3</v>
      </c>
    </row>
    <row r="1802" spans="1:4" x14ac:dyDescent="0.25">
      <c r="A1802" s="2">
        <v>42423</v>
      </c>
      <c r="B1802">
        <v>0</v>
      </c>
      <c r="C1802">
        <v>-1.173974646613285E-3</v>
      </c>
      <c r="D1802">
        <v>2.1356002760009041E-4</v>
      </c>
    </row>
    <row r="1803" spans="1:4" x14ac:dyDescent="0.25">
      <c r="A1803" s="2">
        <v>42424</v>
      </c>
      <c r="B1803">
        <v>2.0059865527981557E-3</v>
      </c>
      <c r="C1803">
        <v>5.8771694806880603E-4</v>
      </c>
      <c r="D1803">
        <v>1.1740929119010701E-3</v>
      </c>
    </row>
    <row r="1804" spans="1:4" x14ac:dyDescent="0.25">
      <c r="A1804" s="2">
        <v>42425</v>
      </c>
      <c r="B1804">
        <v>2.0019706266420911E-3</v>
      </c>
      <c r="C1804">
        <v>1.5661394507773263E-3</v>
      </c>
      <c r="D1804">
        <v>2.6652529792314805E-3</v>
      </c>
    </row>
    <row r="1805" spans="1:4" x14ac:dyDescent="0.25">
      <c r="A1805" s="2">
        <v>42426</v>
      </c>
      <c r="B1805">
        <v>9.990862815594248E-4</v>
      </c>
      <c r="C1805">
        <v>5.8637402972605557E-4</v>
      </c>
      <c r="D1805">
        <v>-7.4429011856447236E-3</v>
      </c>
    </row>
    <row r="1806" spans="1:4" x14ac:dyDescent="0.25">
      <c r="A1806" s="2">
        <v>42429</v>
      </c>
      <c r="B1806">
        <v>3.2943694508322796E-3</v>
      </c>
      <c r="C1806">
        <v>1.9535468500306852E-3</v>
      </c>
      <c r="D1806">
        <v>1.3926613444716907E-3</v>
      </c>
    </row>
    <row r="1807" spans="1:4" x14ac:dyDescent="0.25">
      <c r="A1807" s="2">
        <v>42430</v>
      </c>
      <c r="B1807">
        <v>1.9899250811543645E-3</v>
      </c>
      <c r="C1807">
        <v>-9.7483933221886865E-4</v>
      </c>
      <c r="D1807">
        <v>-3.2092756534154443E-3</v>
      </c>
    </row>
    <row r="1808" spans="1:4" x14ac:dyDescent="0.25">
      <c r="A1808" s="2">
        <v>42431</v>
      </c>
      <c r="B1808">
        <v>-1.9859731433858885E-3</v>
      </c>
      <c r="C1808">
        <v>-2.8298381498648162E-3</v>
      </c>
      <c r="D1808">
        <v>-6.4388707178431037E-4</v>
      </c>
    </row>
    <row r="1809" spans="1:4" x14ac:dyDescent="0.25">
      <c r="A1809" s="2">
        <v>42432</v>
      </c>
      <c r="B1809">
        <v>9.9501277852409586E-4</v>
      </c>
      <c r="C1809">
        <v>2.3485592372591846E-3</v>
      </c>
      <c r="D1809">
        <v>7.6245584975176417E-3</v>
      </c>
    </row>
    <row r="1810" spans="1:4" x14ac:dyDescent="0.25">
      <c r="A1810" s="2">
        <v>42433</v>
      </c>
      <c r="B1810">
        <v>0</v>
      </c>
      <c r="C1810">
        <v>-1.7573121121551294E-3</v>
      </c>
      <c r="D1810">
        <v>-1.0659792658285205E-4</v>
      </c>
    </row>
    <row r="1811" spans="1:4" x14ac:dyDescent="0.25">
      <c r="A1811" s="2">
        <v>42436</v>
      </c>
      <c r="B1811">
        <v>9.9392333620973439E-4</v>
      </c>
      <c r="C1811">
        <v>-2.9337782087468511E-4</v>
      </c>
      <c r="D1811">
        <v>1.7054266694223053E-3</v>
      </c>
    </row>
    <row r="1812" spans="1:4" x14ac:dyDescent="0.25">
      <c r="A1812" s="2">
        <v>42437</v>
      </c>
      <c r="B1812">
        <v>3.9722471158263328E-3</v>
      </c>
      <c r="C1812">
        <v>4.6761479235024606E-3</v>
      </c>
      <c r="D1812">
        <v>6.2779000607409152E-3</v>
      </c>
    </row>
    <row r="1813" spans="1:4" x14ac:dyDescent="0.25">
      <c r="A1813" s="2">
        <v>42438</v>
      </c>
      <c r="B1813">
        <v>-4.9455386477139651E-3</v>
      </c>
      <c r="C1813">
        <v>-3.8753763261333285E-3</v>
      </c>
      <c r="D1813">
        <v>-6.978920877339756E-3</v>
      </c>
    </row>
    <row r="1814" spans="1:4" x14ac:dyDescent="0.25">
      <c r="A1814" s="2">
        <v>42439</v>
      </c>
      <c r="B1814">
        <v>-1.9881478004751818E-3</v>
      </c>
      <c r="C1814">
        <v>-2.5415829051012029E-3</v>
      </c>
      <c r="D1814">
        <v>5.5371798403913708E-3</v>
      </c>
    </row>
    <row r="1815" spans="1:4" x14ac:dyDescent="0.25">
      <c r="A1815" s="2">
        <v>42440</v>
      </c>
      <c r="B1815">
        <v>3.9841162368652316E-3</v>
      </c>
      <c r="C1815">
        <v>4.5080356359965545E-3</v>
      </c>
      <c r="D1815">
        <v>3.7064324161482087E-3</v>
      </c>
    </row>
    <row r="1816" spans="1:4" x14ac:dyDescent="0.25">
      <c r="A1816" s="2">
        <v>42443</v>
      </c>
      <c r="B1816">
        <v>1.9841029337293037E-3</v>
      </c>
      <c r="C1816">
        <v>5.0732871871317364E-4</v>
      </c>
      <c r="D1816">
        <v>-3.6927455045058233E-3</v>
      </c>
    </row>
    <row r="1817" spans="1:4" x14ac:dyDescent="0.25">
      <c r="A1817" s="2">
        <v>42444</v>
      </c>
      <c r="B1817">
        <v>-1.9801740645586374E-3</v>
      </c>
      <c r="C1817">
        <v>2.7304456390098153E-4</v>
      </c>
      <c r="D1817">
        <v>-4.2359715087736394E-4</v>
      </c>
    </row>
    <row r="1818" spans="1:4" x14ac:dyDescent="0.25">
      <c r="A1818" s="2">
        <v>42445</v>
      </c>
      <c r="B1818">
        <v>9.9205146686465184E-4</v>
      </c>
      <c r="C1818">
        <v>0</v>
      </c>
      <c r="D1818">
        <v>1.3242924658507071E-2</v>
      </c>
    </row>
    <row r="1819" spans="1:4" x14ac:dyDescent="0.25">
      <c r="A1819" s="2">
        <v>42446</v>
      </c>
      <c r="B1819">
        <v>3.9642731045106405E-3</v>
      </c>
      <c r="C1819">
        <v>7.7988332200940036E-4</v>
      </c>
      <c r="D1819">
        <v>1.1919687318371786E-2</v>
      </c>
    </row>
    <row r="1820" spans="1:4" x14ac:dyDescent="0.25">
      <c r="A1820" s="2">
        <v>42447</v>
      </c>
      <c r="B1820">
        <v>1.9743098488216315E-3</v>
      </c>
      <c r="C1820">
        <v>2.3378069889570252E-3</v>
      </c>
      <c r="D1820">
        <v>-4.1331142462308623E-4</v>
      </c>
    </row>
    <row r="1821" spans="1:4" x14ac:dyDescent="0.25">
      <c r="A1821" s="2">
        <v>42450</v>
      </c>
      <c r="B1821">
        <v>9.8530930096552005E-4</v>
      </c>
      <c r="C1821">
        <v>2.3323346956134472E-3</v>
      </c>
      <c r="D1821">
        <v>-3.7213200765567889E-3</v>
      </c>
    </row>
    <row r="1822" spans="1:4" x14ac:dyDescent="0.25">
      <c r="A1822" s="2">
        <v>42451</v>
      </c>
      <c r="B1822">
        <v>0</v>
      </c>
      <c r="C1822">
        <v>1.1635029169330124E-3</v>
      </c>
      <c r="D1822">
        <v>-1.0375460270789505E-3</v>
      </c>
    </row>
    <row r="1823" spans="1:4" x14ac:dyDescent="0.25">
      <c r="A1823" s="2">
        <v>42452</v>
      </c>
      <c r="B1823">
        <v>-1.9684800682199244E-3</v>
      </c>
      <c r="C1823">
        <v>-3.4863541021239453E-3</v>
      </c>
      <c r="D1823">
        <v>-2.8042880301207829E-3</v>
      </c>
    </row>
    <row r="1824" spans="1:4" x14ac:dyDescent="0.25">
      <c r="A1824" s="2">
        <v>42453</v>
      </c>
      <c r="B1824">
        <v>-9.8628089646402017E-4</v>
      </c>
      <c r="C1824">
        <v>3.4985512907679261E-3</v>
      </c>
      <c r="D1824">
        <v>-3.6454369953715648E-3</v>
      </c>
    </row>
    <row r="1825" spans="1:4" x14ac:dyDescent="0.25">
      <c r="A1825" s="2">
        <v>42457</v>
      </c>
      <c r="B1825">
        <v>0</v>
      </c>
      <c r="C1825">
        <v>-9.1035338475564664E-4</v>
      </c>
      <c r="D1825">
        <v>2.5088609349248614E-3</v>
      </c>
    </row>
    <row r="1826" spans="1:4" x14ac:dyDescent="0.25">
      <c r="A1826" s="2">
        <v>42458</v>
      </c>
      <c r="B1826">
        <v>2.9615644556442167E-3</v>
      </c>
      <c r="C1826">
        <v>3.2375040084680062E-3</v>
      </c>
      <c r="D1826">
        <v>1.2617303032970373E-2</v>
      </c>
    </row>
    <row r="1827" spans="1:4" x14ac:dyDescent="0.25">
      <c r="A1827" s="2">
        <v>42459</v>
      </c>
      <c r="B1827">
        <v>0</v>
      </c>
      <c r="C1827">
        <v>4.0579586959732517E-4</v>
      </c>
      <c r="D1827">
        <v>-5.149147283560751E-4</v>
      </c>
    </row>
    <row r="1828" spans="1:4" x14ac:dyDescent="0.25">
      <c r="A1828" s="2">
        <v>42460</v>
      </c>
      <c r="B1828">
        <v>7.8794860046693671E-4</v>
      </c>
      <c r="C1828">
        <v>-8.4986797896469124E-4</v>
      </c>
      <c r="D1828">
        <v>1.3394285821943797E-3</v>
      </c>
    </row>
    <row r="1829" spans="1:4" x14ac:dyDescent="0.25">
      <c r="A1829" s="2">
        <v>42461</v>
      </c>
      <c r="B1829">
        <v>1.9686184951821506E-3</v>
      </c>
      <c r="C1829">
        <v>-1.4885928009392702E-3</v>
      </c>
      <c r="D1829">
        <v>5.3818887233871848E-3</v>
      </c>
    </row>
    <row r="1830" spans="1:4" x14ac:dyDescent="0.25">
      <c r="A1830" s="2">
        <v>42464</v>
      </c>
      <c r="B1830">
        <v>0</v>
      </c>
      <c r="C1830">
        <v>1.936089426272547E-3</v>
      </c>
      <c r="D1830">
        <v>3.071265636283016E-4</v>
      </c>
    </row>
    <row r="1831" spans="1:4" x14ac:dyDescent="0.25">
      <c r="A1831" s="2">
        <v>42465</v>
      </c>
      <c r="B1831">
        <v>-9.8232576800749705E-4</v>
      </c>
      <c r="C1831">
        <v>1.9323286425589892E-3</v>
      </c>
      <c r="D1831">
        <v>1.5347801531329086E-3</v>
      </c>
    </row>
    <row r="1832" spans="1:4" x14ac:dyDescent="0.25">
      <c r="A1832" s="2">
        <v>42466</v>
      </c>
      <c r="B1832">
        <v>0</v>
      </c>
      <c r="C1832">
        <v>-1.1571220759195588E-3</v>
      </c>
      <c r="D1832">
        <v>9.1953098879282713E-4</v>
      </c>
    </row>
    <row r="1833" spans="1:4" x14ac:dyDescent="0.25">
      <c r="A1833" s="2">
        <v>42467</v>
      </c>
      <c r="B1833">
        <v>-9.8339089291954451E-4</v>
      </c>
      <c r="C1833">
        <v>5.7922149445222004E-4</v>
      </c>
      <c r="D1833">
        <v>6.1240610144808194E-4</v>
      </c>
    </row>
    <row r="1834" spans="1:4" x14ac:dyDescent="0.25">
      <c r="A1834" s="2">
        <v>42468</v>
      </c>
      <c r="B1834">
        <v>9.8435890249959357E-4</v>
      </c>
      <c r="C1834">
        <v>9.6520148429313224E-5</v>
      </c>
      <c r="D1834">
        <v>2.7542999971335025E-3</v>
      </c>
    </row>
    <row r="1835" spans="1:4" x14ac:dyDescent="0.25">
      <c r="A1835" s="2">
        <v>42471</v>
      </c>
      <c r="B1835">
        <v>0</v>
      </c>
      <c r="C1835">
        <v>-1.4471931442457953E-3</v>
      </c>
      <c r="D1835">
        <v>5.0860297679555799E-4</v>
      </c>
    </row>
    <row r="1836" spans="1:4" x14ac:dyDescent="0.25">
      <c r="A1836" s="2">
        <v>42472</v>
      </c>
      <c r="B1836">
        <v>-1.9666825736825988E-3</v>
      </c>
      <c r="C1836">
        <v>-1.5459216682753851E-3</v>
      </c>
      <c r="D1836">
        <v>-2.5419473730584619E-3</v>
      </c>
    </row>
    <row r="1837" spans="1:4" x14ac:dyDescent="0.25">
      <c r="A1837" s="2">
        <v>42473</v>
      </c>
      <c r="B1837">
        <v>9.8522931408617787E-4</v>
      </c>
      <c r="C1837">
        <v>1.0451103367081771E-3</v>
      </c>
      <c r="D1837">
        <v>-4.9948754797303208E-3</v>
      </c>
    </row>
    <row r="1838" spans="1:4" x14ac:dyDescent="0.25">
      <c r="A1838" s="2">
        <v>42474</v>
      </c>
      <c r="B1838">
        <v>-9.8425959268289009E-4</v>
      </c>
      <c r="C1838">
        <v>-2.3973586025656246E-3</v>
      </c>
      <c r="D1838">
        <v>-4.3028182798042769E-3</v>
      </c>
    </row>
    <row r="1839" spans="1:4" x14ac:dyDescent="0.25">
      <c r="A1839" s="2">
        <v>42475</v>
      </c>
      <c r="B1839">
        <v>1.9705580358320152E-3</v>
      </c>
      <c r="C1839">
        <v>2.0349561724486431E-3</v>
      </c>
      <c r="D1839">
        <v>6.2763675877393066E-3</v>
      </c>
    </row>
    <row r="1840" spans="1:4" x14ac:dyDescent="0.25">
      <c r="A1840" s="2">
        <v>42478</v>
      </c>
      <c r="B1840">
        <v>-9.8339089291954451E-4</v>
      </c>
      <c r="C1840">
        <v>9.6636809682193459E-5</v>
      </c>
      <c r="D1840">
        <v>5.1120319661501767E-4</v>
      </c>
    </row>
    <row r="1841" spans="1:4" x14ac:dyDescent="0.25">
      <c r="A1841" s="2">
        <v>42479</v>
      </c>
      <c r="B1841">
        <v>1.9686184951821506E-3</v>
      </c>
      <c r="C1841">
        <v>-5.8013722943406343E-4</v>
      </c>
      <c r="D1841">
        <v>2.0439943730836685E-3</v>
      </c>
    </row>
    <row r="1842" spans="1:4" x14ac:dyDescent="0.25">
      <c r="A1842" s="2">
        <v>42480</v>
      </c>
      <c r="B1842">
        <v>2.9468781893251528E-3</v>
      </c>
      <c r="C1842">
        <v>7.7366460586203445E-5</v>
      </c>
      <c r="D1842">
        <v>-4.8954978100197444E-3</v>
      </c>
    </row>
    <row r="1843" spans="1:4" x14ac:dyDescent="0.25">
      <c r="A1843" s="2">
        <v>42481</v>
      </c>
      <c r="B1843">
        <v>-2.9382196140290695E-3</v>
      </c>
      <c r="C1843">
        <v>-3.5600722133074525E-3</v>
      </c>
      <c r="D1843">
        <v>-2.664776812288383E-3</v>
      </c>
    </row>
    <row r="1844" spans="1:4" x14ac:dyDescent="0.25">
      <c r="A1844" s="2">
        <v>42482</v>
      </c>
      <c r="B1844">
        <v>-9.8232576800749705E-4</v>
      </c>
      <c r="C1844">
        <v>1.7475872104584234E-3</v>
      </c>
      <c r="D1844">
        <v>-8.6321674293624584E-3</v>
      </c>
    </row>
    <row r="1845" spans="1:4" x14ac:dyDescent="0.25">
      <c r="A1845" s="2">
        <v>42485</v>
      </c>
      <c r="B1845">
        <v>-1.9666825736825988E-3</v>
      </c>
      <c r="C1845">
        <v>-2.326005463644365E-3</v>
      </c>
      <c r="D1845">
        <v>2.0728161171645887E-4</v>
      </c>
    </row>
    <row r="1846" spans="1:4" x14ac:dyDescent="0.25">
      <c r="A1846" s="2">
        <v>42486</v>
      </c>
      <c r="B1846">
        <v>0</v>
      </c>
      <c r="C1846">
        <v>-9.7150889724106904E-4</v>
      </c>
      <c r="D1846">
        <v>1.5545768595903731E-3</v>
      </c>
    </row>
    <row r="1847" spans="1:4" x14ac:dyDescent="0.25">
      <c r="A1847" s="2">
        <v>42487</v>
      </c>
      <c r="B1847">
        <v>9.8522931408617787E-4</v>
      </c>
      <c r="C1847">
        <v>1.3613996236725434E-3</v>
      </c>
      <c r="D1847">
        <v>2.0695136684030224E-3</v>
      </c>
    </row>
    <row r="1848" spans="1:4" x14ac:dyDescent="0.25">
      <c r="A1848" s="2">
        <v>42488</v>
      </c>
      <c r="B1848">
        <v>1.9686184951821506E-3</v>
      </c>
      <c r="C1848">
        <v>1.3594896836293113E-3</v>
      </c>
      <c r="D1848">
        <v>1.156548954360348E-2</v>
      </c>
    </row>
    <row r="1849" spans="1:4" x14ac:dyDescent="0.25">
      <c r="A1849" s="2">
        <v>42489</v>
      </c>
      <c r="B1849">
        <v>1.1801587044362183E-3</v>
      </c>
      <c r="C1849">
        <v>-1.9399407017783865E-4</v>
      </c>
      <c r="D1849">
        <v>8.677000429132109E-3</v>
      </c>
    </row>
    <row r="1850" spans="1:4" x14ac:dyDescent="0.25">
      <c r="A1850" s="2">
        <v>42492</v>
      </c>
      <c r="B1850">
        <v>9.8225681075603255E-4</v>
      </c>
      <c r="C1850">
        <v>6.5999093247293139E-4</v>
      </c>
      <c r="D1850">
        <v>3.6844059279330654E-3</v>
      </c>
    </row>
    <row r="1851" spans="1:4" x14ac:dyDescent="0.25">
      <c r="A1851" s="2">
        <v>42493</v>
      </c>
      <c r="B1851">
        <v>1.9627836596234349E-3</v>
      </c>
      <c r="C1851">
        <v>2.1338448981125246E-3</v>
      </c>
      <c r="D1851">
        <v>2.016603845422793E-4</v>
      </c>
    </row>
    <row r="1852" spans="1:4" x14ac:dyDescent="0.25">
      <c r="A1852" s="2">
        <v>42494</v>
      </c>
      <c r="B1852">
        <v>-9.7946934338954961E-4</v>
      </c>
      <c r="C1852">
        <v>5.4200574947627089E-4</v>
      </c>
      <c r="D1852">
        <v>-2.3190531473211706E-3</v>
      </c>
    </row>
    <row r="1853" spans="1:4" x14ac:dyDescent="0.25">
      <c r="A1853" s="2">
        <v>42495</v>
      </c>
      <c r="B1853">
        <v>0</v>
      </c>
      <c r="C1853">
        <v>1.1995068489403238E-3</v>
      </c>
      <c r="D1853">
        <v>-4.2445477747549143E-3</v>
      </c>
    </row>
    <row r="1854" spans="1:4" x14ac:dyDescent="0.25">
      <c r="A1854" s="2">
        <v>42496</v>
      </c>
      <c r="B1854">
        <v>9.8042964416933387E-4</v>
      </c>
      <c r="C1854">
        <v>1.0628088666555513E-3</v>
      </c>
      <c r="D1854">
        <v>-2.0294980968649234E-4</v>
      </c>
    </row>
    <row r="1855" spans="1:4" x14ac:dyDescent="0.25">
      <c r="A1855" s="2">
        <v>42499</v>
      </c>
      <c r="B1855">
        <v>0</v>
      </c>
      <c r="C1855">
        <v>-2.3163493909732491E-3</v>
      </c>
      <c r="D1855">
        <v>-4.8726425594887157E-3</v>
      </c>
    </row>
    <row r="1856" spans="1:4" x14ac:dyDescent="0.25">
      <c r="A1856" s="2">
        <v>42500</v>
      </c>
      <c r="B1856">
        <v>0</v>
      </c>
      <c r="C1856">
        <v>2.2249797024984641E-3</v>
      </c>
      <c r="D1856">
        <v>-2.8562514425485297E-3</v>
      </c>
    </row>
    <row r="1857" spans="1:4" x14ac:dyDescent="0.25">
      <c r="A1857" s="2">
        <v>42501</v>
      </c>
      <c r="B1857">
        <v>0</v>
      </c>
      <c r="C1857">
        <v>5.9849576539172666E-4</v>
      </c>
      <c r="D1857">
        <v>7.7749601445769034E-3</v>
      </c>
    </row>
    <row r="1858" spans="1:4" x14ac:dyDescent="0.25">
      <c r="A1858" s="2">
        <v>42502</v>
      </c>
      <c r="B1858">
        <v>0</v>
      </c>
      <c r="C1858">
        <v>-1.5628105835662209E-3</v>
      </c>
      <c r="D1858">
        <v>-5.481687112785294E-3</v>
      </c>
    </row>
    <row r="1859" spans="1:4" x14ac:dyDescent="0.25">
      <c r="A1859" s="2">
        <v>42503</v>
      </c>
      <c r="B1859">
        <v>0</v>
      </c>
      <c r="C1859">
        <v>1.7391524573415751E-3</v>
      </c>
      <c r="D1859">
        <v>-1.9393931572204703E-3</v>
      </c>
    </row>
    <row r="1860" spans="1:4" x14ac:dyDescent="0.25">
      <c r="A1860" s="2">
        <v>42506</v>
      </c>
      <c r="B1860">
        <v>0</v>
      </c>
      <c r="C1860">
        <v>-9.6450533991820908E-4</v>
      </c>
      <c r="D1860">
        <v>-3.0680091876800208E-4</v>
      </c>
    </row>
    <row r="1861" spans="1:4" x14ac:dyDescent="0.25">
      <c r="A1861" s="2">
        <v>42507</v>
      </c>
      <c r="B1861">
        <v>9.7946934338932756E-4</v>
      </c>
      <c r="C1861">
        <v>-1.5447257931308078E-3</v>
      </c>
      <c r="D1861">
        <v>-1.023000745682956E-3</v>
      </c>
    </row>
    <row r="1862" spans="1:4" x14ac:dyDescent="0.25">
      <c r="A1862" s="2">
        <v>42508</v>
      </c>
      <c r="B1862">
        <v>-1.9570218438783593E-3</v>
      </c>
      <c r="C1862">
        <v>-2.3206245264850711E-3</v>
      </c>
      <c r="D1862">
        <v>-1.1367137688014117E-2</v>
      </c>
    </row>
    <row r="1863" spans="1:4" x14ac:dyDescent="0.25">
      <c r="A1863" s="2">
        <v>42509</v>
      </c>
      <c r="B1863">
        <v>-9.804296441690008E-4</v>
      </c>
      <c r="C1863">
        <v>3.1013696788444456E-3</v>
      </c>
      <c r="D1863">
        <v>3.1074159231780918E-4</v>
      </c>
    </row>
    <row r="1864" spans="1:4" x14ac:dyDescent="0.25">
      <c r="A1864" s="2">
        <v>42510</v>
      </c>
      <c r="B1864">
        <v>0</v>
      </c>
      <c r="C1864">
        <v>-2.5120830092809632E-3</v>
      </c>
      <c r="D1864">
        <v>2.2781541320306964E-3</v>
      </c>
    </row>
    <row r="1865" spans="1:4" x14ac:dyDescent="0.25">
      <c r="A1865" s="2">
        <v>42513</v>
      </c>
      <c r="B1865">
        <v>0</v>
      </c>
      <c r="C1865">
        <v>1.4722900496946245E-3</v>
      </c>
      <c r="D1865">
        <v>6.1986754581178083E-4</v>
      </c>
    </row>
    <row r="1866" spans="1:4" x14ac:dyDescent="0.25">
      <c r="A1866" s="2">
        <v>42514</v>
      </c>
      <c r="B1866">
        <v>9.8139182981160644E-4</v>
      </c>
      <c r="C1866">
        <v>-1.1606460958668574E-4</v>
      </c>
      <c r="D1866">
        <v>-4.0268353550058089E-3</v>
      </c>
    </row>
    <row r="1867" spans="1:4" x14ac:dyDescent="0.25">
      <c r="A1867" s="2">
        <v>42515</v>
      </c>
      <c r="B1867">
        <v>9.8042964416933387E-4</v>
      </c>
      <c r="C1867">
        <v>2.9019520535993326E-3</v>
      </c>
      <c r="D1867">
        <v>1.8660585022898246E-3</v>
      </c>
    </row>
    <row r="1868" spans="1:4" x14ac:dyDescent="0.25">
      <c r="A1868" s="2">
        <v>42516</v>
      </c>
      <c r="B1868">
        <v>9.7946934338932756E-4</v>
      </c>
      <c r="C1868">
        <v>1.1574220381791456E-3</v>
      </c>
      <c r="D1868">
        <v>4.8634280417620968E-3</v>
      </c>
    </row>
    <row r="1869" spans="1:4" x14ac:dyDescent="0.25">
      <c r="A1869" s="2">
        <v>42517</v>
      </c>
      <c r="B1869">
        <v>0</v>
      </c>
      <c r="C1869">
        <v>1.9267610662692114E-3</v>
      </c>
      <c r="D1869">
        <v>-6.5904575108801655E-3</v>
      </c>
    </row>
    <row r="1870" spans="1:4" x14ac:dyDescent="0.25">
      <c r="A1870" s="2">
        <v>42521</v>
      </c>
      <c r="B1870">
        <v>1.4697878959490929E-3</v>
      </c>
      <c r="C1870">
        <v>0</v>
      </c>
      <c r="D1870">
        <v>5.1825062073662664E-4</v>
      </c>
    </row>
    <row r="1871" spans="1:4" x14ac:dyDescent="0.25">
      <c r="A1871" s="2">
        <v>42522</v>
      </c>
      <c r="B1871">
        <v>9.7845334854151922E-4</v>
      </c>
      <c r="C1871">
        <v>-1.1931278515884269E-3</v>
      </c>
      <c r="D1871">
        <v>5.6370298932892915E-3</v>
      </c>
    </row>
    <row r="1872" spans="1:4" x14ac:dyDescent="0.25">
      <c r="A1872" s="2">
        <v>42523</v>
      </c>
      <c r="B1872">
        <v>9.7749691341353362E-4</v>
      </c>
      <c r="C1872">
        <v>3.0828346993261313E-3</v>
      </c>
      <c r="D1872">
        <v>-1.1334344130957685E-3</v>
      </c>
    </row>
    <row r="1873" spans="1:4" x14ac:dyDescent="0.25">
      <c r="A1873" s="2">
        <v>42524</v>
      </c>
      <c r="B1873">
        <v>1.953182965925393E-3</v>
      </c>
      <c r="C1873">
        <v>2.8812434442302415E-3</v>
      </c>
      <c r="D1873">
        <v>2.1250223936143176E-2</v>
      </c>
    </row>
    <row r="1874" spans="1:4" x14ac:dyDescent="0.25">
      <c r="A1874" s="2">
        <v>42527</v>
      </c>
      <c r="B1874">
        <v>0</v>
      </c>
      <c r="C1874">
        <v>-2.2792355046797885E-3</v>
      </c>
      <c r="D1874">
        <v>-1.3130967340825306E-3</v>
      </c>
    </row>
    <row r="1875" spans="1:4" x14ac:dyDescent="0.25">
      <c r="A1875" s="2">
        <v>42528</v>
      </c>
      <c r="B1875">
        <v>1.9492773971605537E-3</v>
      </c>
      <c r="C1875">
        <v>2.2844422866479253E-3</v>
      </c>
      <c r="D1875">
        <v>3.3376595085816696E-3</v>
      </c>
    </row>
    <row r="1876" spans="1:4" x14ac:dyDescent="0.25">
      <c r="A1876" s="2">
        <v>42529</v>
      </c>
      <c r="B1876">
        <v>9.7274255350754402E-4</v>
      </c>
      <c r="C1876">
        <v>1.7238104546688504E-3</v>
      </c>
      <c r="D1876">
        <v>3.1250473397088641E-3</v>
      </c>
    </row>
    <row r="1877" spans="1:4" x14ac:dyDescent="0.25">
      <c r="A1877" s="2">
        <v>42530</v>
      </c>
      <c r="B1877">
        <v>9.7189504081218736E-4</v>
      </c>
      <c r="C1877">
        <v>1.1472551662767838E-3</v>
      </c>
      <c r="D1877">
        <v>-2.2108393872568577E-3</v>
      </c>
    </row>
    <row r="1878" spans="1:4" x14ac:dyDescent="0.25">
      <c r="A1878" s="2">
        <v>42531</v>
      </c>
      <c r="B1878">
        <v>9.7085367709959236E-4</v>
      </c>
      <c r="C1878">
        <v>-3.6287599746442911E-4</v>
      </c>
      <c r="D1878">
        <v>-4.2300176793335087E-3</v>
      </c>
    </row>
    <row r="1879" spans="1:4" x14ac:dyDescent="0.25">
      <c r="A1879" s="2">
        <v>42534</v>
      </c>
      <c r="B1879">
        <v>-9.69912034434528E-4</v>
      </c>
      <c r="C1879">
        <v>3.6300772425446048E-4</v>
      </c>
      <c r="D1879">
        <v>2.6296566286818646E-3</v>
      </c>
    </row>
    <row r="1880" spans="1:4" x14ac:dyDescent="0.25">
      <c r="A1880" s="2">
        <v>42535</v>
      </c>
      <c r="B1880">
        <v>0</v>
      </c>
      <c r="C1880">
        <v>-2.4828194945035742E-3</v>
      </c>
      <c r="D1880">
        <v>-5.1447037210224922E-3</v>
      </c>
    </row>
    <row r="1881" spans="1:4" x14ac:dyDescent="0.25">
      <c r="A1881" s="2">
        <v>42536</v>
      </c>
      <c r="B1881">
        <v>0</v>
      </c>
      <c r="C1881">
        <v>3.6377338220670019E-3</v>
      </c>
      <c r="D1881">
        <v>5.3741560168441005E-3</v>
      </c>
    </row>
    <row r="1882" spans="1:4" x14ac:dyDescent="0.25">
      <c r="A1882" s="2">
        <v>42537</v>
      </c>
      <c r="B1882">
        <v>1.9417073541994068E-3</v>
      </c>
      <c r="C1882">
        <v>9.5388957088515802E-4</v>
      </c>
      <c r="D1882">
        <v>2.1179901496140019E-3</v>
      </c>
    </row>
    <row r="1883" spans="1:4" x14ac:dyDescent="0.25">
      <c r="A1883" s="2">
        <v>42538</v>
      </c>
      <c r="B1883">
        <v>-1.9379444332414675E-3</v>
      </c>
      <c r="C1883">
        <v>-9.5298053269388117E-4</v>
      </c>
      <c r="D1883">
        <v>1.4090125422587807E-3</v>
      </c>
    </row>
    <row r="1884" spans="1:4" x14ac:dyDescent="0.25">
      <c r="A1884" s="2">
        <v>42541</v>
      </c>
      <c r="B1884">
        <v>-1.9418050550829014E-3</v>
      </c>
      <c r="C1884">
        <v>-1.9076439889116337E-3</v>
      </c>
      <c r="D1884">
        <v>2.7135282692696272E-3</v>
      </c>
    </row>
    <row r="1885" spans="1:4" x14ac:dyDescent="0.25">
      <c r="A1885" s="2">
        <v>42542</v>
      </c>
      <c r="B1885">
        <v>0</v>
      </c>
      <c r="C1885">
        <v>-9.5565469716984985E-4</v>
      </c>
      <c r="D1885">
        <v>-5.2119513813642104E-3</v>
      </c>
    </row>
    <row r="1886" spans="1:4" x14ac:dyDescent="0.25">
      <c r="A1886" s="2">
        <v>42543</v>
      </c>
      <c r="B1886">
        <v>-9.7274255350732197E-4</v>
      </c>
      <c r="C1886">
        <v>3.8265077422194871E-4</v>
      </c>
      <c r="D1886">
        <v>4.0302438154211639E-3</v>
      </c>
    </row>
    <row r="1887" spans="1:4" x14ac:dyDescent="0.25">
      <c r="A1887" s="2">
        <v>42544</v>
      </c>
      <c r="B1887">
        <v>9.7368970291533685E-4</v>
      </c>
      <c r="C1887">
        <v>-4.5898206367495087E-3</v>
      </c>
      <c r="D1887">
        <v>1.404912041815809E-3</v>
      </c>
    </row>
    <row r="1888" spans="1:4" x14ac:dyDescent="0.25">
      <c r="A1888" s="2">
        <v>42545</v>
      </c>
      <c r="B1888">
        <v>4.8638106585057184E-3</v>
      </c>
      <c r="C1888">
        <v>7.1085326269737514E-3</v>
      </c>
      <c r="D1888">
        <v>-9.4198103371309072E-3</v>
      </c>
    </row>
    <row r="1889" spans="1:4" x14ac:dyDescent="0.25">
      <c r="A1889" s="2">
        <v>42548</v>
      </c>
      <c r="B1889">
        <v>3.8722342905834761E-3</v>
      </c>
      <c r="C1889">
        <v>7.2491552801507986E-3</v>
      </c>
      <c r="D1889">
        <v>1.8209516384313229E-3</v>
      </c>
    </row>
    <row r="1890" spans="1:4" x14ac:dyDescent="0.25">
      <c r="A1890" s="2">
        <v>42549</v>
      </c>
      <c r="B1890">
        <v>3.8572979292725851E-3</v>
      </c>
      <c r="C1890">
        <v>2.2727053159730115E-3</v>
      </c>
      <c r="D1890">
        <v>4.1401959592943793E-3</v>
      </c>
    </row>
    <row r="1891" spans="1:4" x14ac:dyDescent="0.25">
      <c r="A1891" s="2">
        <v>42550</v>
      </c>
      <c r="B1891">
        <v>9.6059492117195333E-4</v>
      </c>
      <c r="C1891">
        <v>-1.1337376691685774E-3</v>
      </c>
      <c r="D1891">
        <v>1.2067042250185622E-3</v>
      </c>
    </row>
    <row r="1892" spans="1:4" x14ac:dyDescent="0.25">
      <c r="A1892" s="2">
        <v>42551</v>
      </c>
      <c r="B1892">
        <v>3.0744884769697833E-3</v>
      </c>
      <c r="C1892">
        <v>3.0268659990242419E-3</v>
      </c>
      <c r="D1892">
        <v>1.0046107660999226E-4</v>
      </c>
    </row>
    <row r="1893" spans="1:4" x14ac:dyDescent="0.25">
      <c r="A1893" s="2">
        <v>42552</v>
      </c>
      <c r="B1893">
        <v>3.8314515622011047E-3</v>
      </c>
      <c r="C1893">
        <v>2.8301817459557288E-3</v>
      </c>
      <c r="D1893">
        <v>8.2868271992762033E-3</v>
      </c>
    </row>
    <row r="1894" spans="1:4" x14ac:dyDescent="0.25">
      <c r="A1894" s="2">
        <v>42556</v>
      </c>
      <c r="B1894">
        <v>1.9084617422382433E-3</v>
      </c>
      <c r="C1894">
        <v>2.3894485539608379E-3</v>
      </c>
      <c r="D1894">
        <v>-1.0958393705189362E-3</v>
      </c>
    </row>
    <row r="1895" spans="1:4" x14ac:dyDescent="0.25">
      <c r="A1895" s="2">
        <v>42557</v>
      </c>
      <c r="B1895">
        <v>9.5241322691252961E-4</v>
      </c>
      <c r="C1895">
        <v>1.1824953842896058E-3</v>
      </c>
      <c r="D1895">
        <v>2.0944086240153315E-3</v>
      </c>
    </row>
    <row r="1896" spans="1:4" x14ac:dyDescent="0.25">
      <c r="A1896" s="2">
        <v>42558</v>
      </c>
      <c r="B1896">
        <v>-9.515069990612135E-4</v>
      </c>
      <c r="C1896">
        <v>-2.2122413762198923E-3</v>
      </c>
      <c r="D1896">
        <v>-1.9904849618660458E-3</v>
      </c>
    </row>
    <row r="1897" spans="1:4" x14ac:dyDescent="0.25">
      <c r="A1897" s="2">
        <v>42559</v>
      </c>
      <c r="B1897">
        <v>9.5241322691252961E-4</v>
      </c>
      <c r="C1897">
        <v>3.7202411361816345E-3</v>
      </c>
      <c r="D1897">
        <v>1.495821099354977E-3</v>
      </c>
    </row>
    <row r="1898" spans="1:4" x14ac:dyDescent="0.25">
      <c r="A1898" s="2">
        <v>42562</v>
      </c>
      <c r="B1898">
        <v>0</v>
      </c>
      <c r="C1898">
        <v>-1.6846976447452144E-3</v>
      </c>
      <c r="D1898">
        <v>-5.3768829955439523E-3</v>
      </c>
    </row>
    <row r="1899" spans="1:4" x14ac:dyDescent="0.25">
      <c r="A1899" s="2">
        <v>42563</v>
      </c>
      <c r="B1899">
        <v>-1.903013998122538E-3</v>
      </c>
      <c r="C1899">
        <v>-1.8751631974767147E-3</v>
      </c>
      <c r="D1899">
        <v>-6.7073630121770034E-3</v>
      </c>
    </row>
    <row r="1900" spans="1:4" x14ac:dyDescent="0.25">
      <c r="A1900" s="2">
        <v>42564</v>
      </c>
      <c r="B1900">
        <v>2.8598677270450512E-3</v>
      </c>
      <c r="C1900">
        <v>1.8786860403994243E-3</v>
      </c>
      <c r="D1900">
        <v>3.9306532581664388E-3</v>
      </c>
    </row>
    <row r="1901" spans="1:4" x14ac:dyDescent="0.25">
      <c r="A1901" s="2">
        <v>42565</v>
      </c>
      <c r="B1901">
        <v>-1.9011096223739976E-3</v>
      </c>
      <c r="C1901">
        <v>-1.5001267637944071E-3</v>
      </c>
      <c r="D1901">
        <v>-2.0082135398313827E-4</v>
      </c>
    </row>
    <row r="1902" spans="1:4" x14ac:dyDescent="0.25">
      <c r="A1902" s="2">
        <v>42566</v>
      </c>
      <c r="B1902">
        <v>-1.9048264538255033E-3</v>
      </c>
      <c r="C1902">
        <v>-3.5117420419001899E-3</v>
      </c>
      <c r="D1902">
        <v>-9.0369975877093722E-3</v>
      </c>
    </row>
    <row r="1903" spans="1:4" x14ac:dyDescent="0.25">
      <c r="A1903" s="2">
        <v>42569</v>
      </c>
      <c r="B1903">
        <v>0</v>
      </c>
      <c r="C1903">
        <v>2.0164427436288879E-3</v>
      </c>
      <c r="D1903">
        <v>2.026220496516018E-4</v>
      </c>
    </row>
    <row r="1904" spans="1:4" x14ac:dyDescent="0.25">
      <c r="A1904" s="2">
        <v>42570</v>
      </c>
      <c r="B1904">
        <v>9.5423087111923266E-4</v>
      </c>
      <c r="C1904">
        <v>1.8811105409888285E-4</v>
      </c>
      <c r="D1904">
        <v>-3.748380651884986E-3</v>
      </c>
    </row>
    <row r="1905" spans="1:4" x14ac:dyDescent="0.25">
      <c r="A1905" s="2">
        <v>42571</v>
      </c>
      <c r="B1905">
        <v>9.5332118261670651E-4</v>
      </c>
      <c r="C1905">
        <v>-9.4018813046525818E-4</v>
      </c>
      <c r="D1905">
        <v>-3.4573564881246188E-3</v>
      </c>
    </row>
    <row r="1906" spans="1:4" x14ac:dyDescent="0.25">
      <c r="A1906" s="2">
        <v>42572</v>
      </c>
      <c r="B1906">
        <v>0</v>
      </c>
      <c r="C1906">
        <v>-7.5312492573531564E-5</v>
      </c>
      <c r="D1906">
        <v>3.0612539141505746E-3</v>
      </c>
    </row>
    <row r="1907" spans="1:4" x14ac:dyDescent="0.25">
      <c r="A1907" s="2">
        <v>42573</v>
      </c>
      <c r="B1907">
        <v>9.5241322691252961E-4</v>
      </c>
      <c r="C1907">
        <v>1.7505998268194656E-3</v>
      </c>
      <c r="D1907">
        <v>-2.543233771163167E-3</v>
      </c>
    </row>
    <row r="1908" spans="1:4" x14ac:dyDescent="0.25">
      <c r="A1908" s="2">
        <v>42576</v>
      </c>
      <c r="B1908">
        <v>0</v>
      </c>
      <c r="C1908">
        <v>-7.8925909564198093E-4</v>
      </c>
      <c r="D1908">
        <v>6.1190570594349403E-4</v>
      </c>
    </row>
    <row r="1909" spans="1:4" x14ac:dyDescent="0.25">
      <c r="A1909" s="2">
        <v>42577</v>
      </c>
      <c r="B1909">
        <v>0</v>
      </c>
      <c r="C1909">
        <v>4.3256422478110679E-4</v>
      </c>
      <c r="D1909">
        <v>3.5674124372215843E-3</v>
      </c>
    </row>
    <row r="1910" spans="1:4" x14ac:dyDescent="0.25">
      <c r="A1910" s="2">
        <v>42578</v>
      </c>
      <c r="B1910">
        <v>2.8543297202718865E-3</v>
      </c>
      <c r="C1910">
        <v>4.0413461071988621E-3</v>
      </c>
      <c r="D1910">
        <v>5.484474615720325E-3</v>
      </c>
    </row>
    <row r="1911" spans="1:4" x14ac:dyDescent="0.25">
      <c r="A1911" s="2">
        <v>42579</v>
      </c>
      <c r="B1911">
        <v>0</v>
      </c>
      <c r="C1911">
        <v>-2.4336966812743555E-4</v>
      </c>
      <c r="D1911">
        <v>3.3333440070606457E-3</v>
      </c>
    </row>
    <row r="1912" spans="1:4" x14ac:dyDescent="0.25">
      <c r="A1912" s="2">
        <v>42580</v>
      </c>
      <c r="B1912">
        <v>1.8996956863004399E-4</v>
      </c>
      <c r="C1912">
        <v>1.0860616212562402E-3</v>
      </c>
      <c r="D1912">
        <v>1.5201798689677748E-2</v>
      </c>
    </row>
    <row r="1913" spans="1:4" x14ac:dyDescent="0.25">
      <c r="A1913" s="2">
        <v>42583</v>
      </c>
      <c r="B1913">
        <v>-1.8992395223362823E-3</v>
      </c>
      <c r="C1913">
        <v>-9.35623434078936E-4</v>
      </c>
      <c r="D1913">
        <v>-4.9094559364227797E-3</v>
      </c>
    </row>
    <row r="1914" spans="1:4" x14ac:dyDescent="0.25">
      <c r="A1914" s="2">
        <v>42584</v>
      </c>
      <c r="B1914">
        <v>-3.805898052945178E-3</v>
      </c>
      <c r="C1914">
        <v>-3.371429030379014E-3</v>
      </c>
      <c r="D1914">
        <v>2.0930853785854353E-3</v>
      </c>
    </row>
    <row r="1915" spans="1:4" x14ac:dyDescent="0.25">
      <c r="A1915" s="2">
        <v>42585</v>
      </c>
      <c r="B1915">
        <v>9.5501366832762002E-4</v>
      </c>
      <c r="C1915">
        <v>1.1276430160733764E-3</v>
      </c>
      <c r="D1915">
        <v>-3.381770501747372E-3</v>
      </c>
    </row>
    <row r="1916" spans="1:4" x14ac:dyDescent="0.25">
      <c r="A1916" s="2">
        <v>42586</v>
      </c>
      <c r="B1916">
        <v>3.8168889648497739E-3</v>
      </c>
      <c r="C1916">
        <v>1.7645413476845562E-3</v>
      </c>
      <c r="D1916">
        <v>1.2974446389042438E-3</v>
      </c>
    </row>
    <row r="1917" spans="1:4" x14ac:dyDescent="0.25">
      <c r="A1917" s="2">
        <v>42587</v>
      </c>
      <c r="B1917">
        <v>9.5047463127961862E-4</v>
      </c>
      <c r="C1917">
        <v>-1.3866432635201154E-3</v>
      </c>
      <c r="D1917">
        <v>-4.78424243159703E-3</v>
      </c>
    </row>
    <row r="1918" spans="1:4" x14ac:dyDescent="0.25">
      <c r="A1918" s="2">
        <v>42590</v>
      </c>
      <c r="B1918">
        <v>0</v>
      </c>
      <c r="C1918">
        <v>3.1337923635914589E-3</v>
      </c>
      <c r="D1918">
        <v>-2.3034058230998466E-3</v>
      </c>
    </row>
    <row r="1919" spans="1:4" x14ac:dyDescent="0.25">
      <c r="A1919" s="2">
        <v>42591</v>
      </c>
      <c r="B1919">
        <v>1.8994302186083889E-3</v>
      </c>
      <c r="C1919">
        <v>3.0491407522492686E-3</v>
      </c>
      <c r="D1919">
        <v>3.914864030179821E-3</v>
      </c>
    </row>
    <row r="1920" spans="1:4" x14ac:dyDescent="0.25">
      <c r="A1920" s="2">
        <v>42592</v>
      </c>
      <c r="B1920">
        <v>2.843505916507949E-3</v>
      </c>
      <c r="C1920">
        <v>1.6784837586689694E-3</v>
      </c>
      <c r="D1920">
        <v>9.2990730215412043E-3</v>
      </c>
    </row>
    <row r="1921" spans="1:4" x14ac:dyDescent="0.25">
      <c r="A1921" s="2">
        <v>42593</v>
      </c>
      <c r="B1921">
        <v>0</v>
      </c>
      <c r="C1921">
        <v>-1.8618212904255582E-3</v>
      </c>
      <c r="D1921">
        <v>-5.0525240943755101E-3</v>
      </c>
    </row>
    <row r="1922" spans="1:4" x14ac:dyDescent="0.25">
      <c r="A1922" s="2">
        <v>42594</v>
      </c>
      <c r="B1922">
        <v>0</v>
      </c>
      <c r="C1922">
        <v>9.3263763498274699E-4</v>
      </c>
      <c r="D1922">
        <v>3.5845864914960668E-3</v>
      </c>
    </row>
    <row r="1923" spans="1:4" x14ac:dyDescent="0.25">
      <c r="A1923" s="2">
        <v>42597</v>
      </c>
      <c r="B1923">
        <v>-1.8902639119304787E-3</v>
      </c>
      <c r="C1923">
        <v>-9.3176863248911612E-4</v>
      </c>
      <c r="D1923">
        <v>0</v>
      </c>
    </row>
    <row r="1924" spans="1:4" x14ac:dyDescent="0.25">
      <c r="A1924" s="2">
        <v>42598</v>
      </c>
      <c r="B1924">
        <v>-2.8410033578432081E-3</v>
      </c>
      <c r="C1924">
        <v>-1.6787967914309032E-3</v>
      </c>
      <c r="D1924">
        <v>5.0600535495419763E-3</v>
      </c>
    </row>
    <row r="1925" spans="1:4" x14ac:dyDescent="0.25">
      <c r="A1925" s="2">
        <v>42599</v>
      </c>
      <c r="B1925">
        <v>9.4966743523605679E-4</v>
      </c>
      <c r="C1925">
        <v>1.4947333424704112E-3</v>
      </c>
      <c r="D1925">
        <v>6.9101100922197567E-4</v>
      </c>
    </row>
    <row r="1926" spans="1:4" x14ac:dyDescent="0.25">
      <c r="A1926" s="2">
        <v>42600</v>
      </c>
      <c r="B1926">
        <v>9.4886168033370133E-4</v>
      </c>
      <c r="C1926">
        <v>1.3059703041429227E-3</v>
      </c>
      <c r="D1926">
        <v>7.7932371379039189E-3</v>
      </c>
    </row>
    <row r="1927" spans="1:4" x14ac:dyDescent="0.25">
      <c r="A1927" s="2">
        <v>42601</v>
      </c>
      <c r="B1927">
        <v>-9.4796219533221926E-4</v>
      </c>
      <c r="C1927">
        <v>-2.0495166184792968E-3</v>
      </c>
      <c r="D1927">
        <v>-5.8731994624192652E-3</v>
      </c>
    </row>
    <row r="1928" spans="1:4" x14ac:dyDescent="0.25">
      <c r="A1928" s="2">
        <v>42604</v>
      </c>
      <c r="B1928">
        <v>0</v>
      </c>
      <c r="C1928">
        <v>1.3815877189904402E-3</v>
      </c>
      <c r="D1928">
        <v>2.3631947575359913E-3</v>
      </c>
    </row>
    <row r="1929" spans="1:4" x14ac:dyDescent="0.25">
      <c r="A1929" s="2">
        <v>42605</v>
      </c>
      <c r="B1929">
        <v>1.897628102994986E-3</v>
      </c>
      <c r="C1929">
        <v>-2.6102848163367387E-4</v>
      </c>
      <c r="D1929">
        <v>6.8761704654907163E-4</v>
      </c>
    </row>
    <row r="1930" spans="1:4" x14ac:dyDescent="0.25">
      <c r="A1930" s="2">
        <v>42606</v>
      </c>
      <c r="B1930">
        <v>-9.4696942686400831E-4</v>
      </c>
      <c r="C1930">
        <v>9.3248259424938418E-4</v>
      </c>
      <c r="D1930">
        <v>-3.3376284065949058E-3</v>
      </c>
    </row>
    <row r="1931" spans="1:4" x14ac:dyDescent="0.25">
      <c r="A1931" s="2">
        <v>42607</v>
      </c>
      <c r="B1931">
        <v>9.4786702796012534E-4</v>
      </c>
      <c r="C1931">
        <v>-2.9810739678881593E-4</v>
      </c>
      <c r="D1931">
        <v>-1.9698249434756399E-3</v>
      </c>
    </row>
    <row r="1932" spans="1:4" x14ac:dyDescent="0.25">
      <c r="A1932" s="2">
        <v>42608</v>
      </c>
      <c r="B1932">
        <v>9.4687434961215899E-4</v>
      </c>
      <c r="C1932">
        <v>-2.8702241258027339E-3</v>
      </c>
      <c r="D1932">
        <v>-9.7701157529267446E-3</v>
      </c>
    </row>
    <row r="1933" spans="1:4" x14ac:dyDescent="0.25">
      <c r="A1933" s="2">
        <v>42611</v>
      </c>
      <c r="B1933">
        <v>-1.8920522407412932E-3</v>
      </c>
      <c r="C1933">
        <v>3.4205272960992072E-3</v>
      </c>
      <c r="D1933">
        <v>-5.9794190294348848E-4</v>
      </c>
    </row>
    <row r="1934" spans="1:4" x14ac:dyDescent="0.25">
      <c r="A1934" s="2">
        <v>42612</v>
      </c>
      <c r="B1934">
        <v>9.4786702796012534E-4</v>
      </c>
      <c r="C1934">
        <v>1.3040453268220453E-4</v>
      </c>
      <c r="D1934">
        <v>-2.9915785305367759E-3</v>
      </c>
    </row>
    <row r="1935" spans="1:4" x14ac:dyDescent="0.25">
      <c r="A1935" s="2">
        <v>42613</v>
      </c>
      <c r="B1935">
        <v>0</v>
      </c>
      <c r="C1935">
        <v>-3.3525907664945231E-3</v>
      </c>
      <c r="D1935">
        <v>-3.9008482144807788E-3</v>
      </c>
    </row>
    <row r="1936" spans="1:4" x14ac:dyDescent="0.25">
      <c r="A1936" s="2">
        <v>42614</v>
      </c>
      <c r="B1936">
        <v>-1.8958403987615613E-3</v>
      </c>
      <c r="C1936">
        <v>9.3445620033749677E-4</v>
      </c>
      <c r="D1936">
        <v>3.3135986630421499E-3</v>
      </c>
    </row>
    <row r="1937" spans="1:4" x14ac:dyDescent="0.25">
      <c r="A1937" s="2">
        <v>42615</v>
      </c>
      <c r="B1937">
        <v>-9.4953020259536114E-4</v>
      </c>
      <c r="C1937">
        <v>-3.7341275222004811E-3</v>
      </c>
      <c r="D1937">
        <v>-5.3042295913084958E-3</v>
      </c>
    </row>
    <row r="1938" spans="1:4" x14ac:dyDescent="0.25">
      <c r="A1938" s="2">
        <v>42619</v>
      </c>
      <c r="B1938">
        <v>2.8516793948811792E-3</v>
      </c>
      <c r="C1938">
        <v>6.1843649099206921E-3</v>
      </c>
      <c r="D1938">
        <v>1.4689595867067196E-2</v>
      </c>
    </row>
    <row r="1939" spans="1:4" x14ac:dyDescent="0.25">
      <c r="A1939" s="2">
        <v>42620</v>
      </c>
      <c r="B1939">
        <v>1.8956502442581957E-3</v>
      </c>
      <c r="C1939">
        <v>5.5880908001282315E-4</v>
      </c>
      <c r="D1939">
        <v>1.3881987511330518E-3</v>
      </c>
    </row>
    <row r="1940" spans="1:4" x14ac:dyDescent="0.25">
      <c r="A1940" s="2">
        <v>42621</v>
      </c>
      <c r="B1940">
        <v>-2.8381902276407578E-3</v>
      </c>
      <c r="C1940">
        <v>-4.2814462598200764E-3</v>
      </c>
      <c r="D1940">
        <v>-6.5352662108922877E-3</v>
      </c>
    </row>
    <row r="1941" spans="1:4" x14ac:dyDescent="0.25">
      <c r="A1941" s="2">
        <v>42622</v>
      </c>
      <c r="B1941">
        <v>-5.6926321255091894E-3</v>
      </c>
      <c r="C1941">
        <v>-4.2999314900724617E-3</v>
      </c>
      <c r="D1941">
        <v>-8.4720217982797719E-3</v>
      </c>
    </row>
    <row r="1942" spans="1:4" x14ac:dyDescent="0.25">
      <c r="A1942" s="2">
        <v>42625</v>
      </c>
      <c r="B1942">
        <v>-9.54156096836134E-4</v>
      </c>
      <c r="C1942">
        <v>-2.4408157717485945E-3</v>
      </c>
      <c r="D1942">
        <v>2.4125250786306562E-3</v>
      </c>
    </row>
    <row r="1943" spans="1:4" x14ac:dyDescent="0.25">
      <c r="A1943" s="2">
        <v>42626</v>
      </c>
      <c r="B1943">
        <v>0</v>
      </c>
      <c r="C1943">
        <v>-2.0704044096547802E-3</v>
      </c>
      <c r="D1943">
        <v>-6.8190971692538849E-3</v>
      </c>
    </row>
    <row r="1944" spans="1:4" x14ac:dyDescent="0.25">
      <c r="A1944" s="2">
        <v>42627</v>
      </c>
      <c r="B1944">
        <v>-9.5506738020001425E-4</v>
      </c>
      <c r="C1944">
        <v>8.4871051280566157E-4</v>
      </c>
      <c r="D1944">
        <v>3.6349053487194638E-3</v>
      </c>
    </row>
    <row r="1945" spans="1:4" x14ac:dyDescent="0.25">
      <c r="A1945" s="2">
        <v>42628</v>
      </c>
      <c r="B1945">
        <v>9.5598040590183508E-4</v>
      </c>
      <c r="C1945">
        <v>-9.4168261167815182E-5</v>
      </c>
      <c r="D1945">
        <v>-3.0180834767012943E-4</v>
      </c>
    </row>
    <row r="1946" spans="1:4" x14ac:dyDescent="0.25">
      <c r="A1946" s="2">
        <v>42629</v>
      </c>
      <c r="B1946">
        <v>9.5506738019990323E-4</v>
      </c>
      <c r="C1946">
        <v>-7.3504287156034298E-4</v>
      </c>
      <c r="D1946">
        <v>-5.8367837165876901E-3</v>
      </c>
    </row>
    <row r="1947" spans="1:4" x14ac:dyDescent="0.25">
      <c r="A1947" s="2">
        <v>42632</v>
      </c>
      <c r="B1947">
        <v>-9.54156096836134E-4</v>
      </c>
      <c r="C1947">
        <v>9.2415266406886687E-4</v>
      </c>
      <c r="D1947">
        <v>3.0366989371990449E-3</v>
      </c>
    </row>
    <row r="1948" spans="1:4" x14ac:dyDescent="0.25">
      <c r="A1948" s="2">
        <v>42633</v>
      </c>
      <c r="B1948">
        <v>3.8204611282595113E-3</v>
      </c>
      <c r="C1948">
        <v>2.8264776654065571E-3</v>
      </c>
      <c r="D1948">
        <v>1.3119886988623986E-3</v>
      </c>
    </row>
    <row r="1949" spans="1:4" x14ac:dyDescent="0.25">
      <c r="A1949" s="2">
        <v>42634</v>
      </c>
      <c r="B1949">
        <v>-9.5152790854269309E-4</v>
      </c>
      <c r="C1949">
        <v>-1.879400200353043E-4</v>
      </c>
      <c r="D1949">
        <v>5.5431910408225704E-3</v>
      </c>
    </row>
    <row r="1950" spans="1:4" x14ac:dyDescent="0.25">
      <c r="A1950" s="2">
        <v>42635</v>
      </c>
      <c r="B1950">
        <v>3.8095456449540599E-3</v>
      </c>
      <c r="C1950">
        <v>3.1949346934867506E-3</v>
      </c>
      <c r="D1950">
        <v>4.9113460342320447E-3</v>
      </c>
    </row>
    <row r="1951" spans="1:4" x14ac:dyDescent="0.25">
      <c r="A1951" s="2">
        <v>42636</v>
      </c>
      <c r="B1951">
        <v>9.4881960464965331E-4</v>
      </c>
      <c r="C1951">
        <v>1.6860302510479652E-3</v>
      </c>
      <c r="D1951">
        <v>-4.9872932063022013E-4</v>
      </c>
    </row>
    <row r="1952" spans="1:4" x14ac:dyDescent="0.25">
      <c r="A1952" s="2">
        <v>42639</v>
      </c>
      <c r="B1952">
        <v>9.4782512212909786E-4</v>
      </c>
      <c r="C1952">
        <v>1.870177981924126E-3</v>
      </c>
      <c r="D1952">
        <v>5.9874067479745996E-3</v>
      </c>
    </row>
    <row r="1953" spans="1:4" x14ac:dyDescent="0.25">
      <c r="A1953" s="2">
        <v>42640</v>
      </c>
      <c r="B1953">
        <v>9.4692760036063639E-4</v>
      </c>
      <c r="C1953">
        <v>1.1200839068026269E-4</v>
      </c>
      <c r="D1953">
        <v>-3.9679272340842342E-4</v>
      </c>
    </row>
    <row r="1954" spans="1:4" x14ac:dyDescent="0.25">
      <c r="A1954" s="2">
        <v>42641</v>
      </c>
      <c r="B1954">
        <v>9.4612667411997364E-4</v>
      </c>
      <c r="C1954">
        <v>4.4792675452764996E-4</v>
      </c>
      <c r="D1954">
        <v>1.0915956590442644E-3</v>
      </c>
    </row>
    <row r="1955" spans="1:4" x14ac:dyDescent="0.25">
      <c r="A1955" s="2">
        <v>42642</v>
      </c>
      <c r="B1955">
        <v>0</v>
      </c>
      <c r="C1955">
        <v>-1.865642212854457E-3</v>
      </c>
      <c r="D1955">
        <v>-3.0729324986317197E-3</v>
      </c>
    </row>
    <row r="1956" spans="1:4" x14ac:dyDescent="0.25">
      <c r="A1956" s="2">
        <v>42643</v>
      </c>
      <c r="B1956">
        <v>6.6204188583407486E-4</v>
      </c>
      <c r="C1956">
        <v>7.4767442007717122E-4</v>
      </c>
      <c r="D1956">
        <v>-1.5908884459375772E-3</v>
      </c>
    </row>
    <row r="1957" spans="1:4" x14ac:dyDescent="0.25">
      <c r="A1957" s="2">
        <v>42646</v>
      </c>
      <c r="B1957">
        <v>0</v>
      </c>
      <c r="C1957">
        <v>-9.7150368562581857E-4</v>
      </c>
      <c r="D1957">
        <v>-1.7132771447776474E-3</v>
      </c>
    </row>
    <row r="1958" spans="1:4" x14ac:dyDescent="0.25">
      <c r="A1958" s="2">
        <v>42647</v>
      </c>
      <c r="B1958">
        <v>-9.4517546477601577E-4</v>
      </c>
      <c r="C1958">
        <v>-2.1320654198694333E-3</v>
      </c>
      <c r="D1958">
        <v>-5.2883571148221176E-3</v>
      </c>
    </row>
    <row r="1959" spans="1:4" x14ac:dyDescent="0.25">
      <c r="A1959" s="2">
        <v>42648</v>
      </c>
      <c r="B1959">
        <v>-2.838208999838554E-3</v>
      </c>
      <c r="C1959">
        <v>-4.2919246207007156E-3</v>
      </c>
      <c r="D1959">
        <v>-6.2193036336524177E-3</v>
      </c>
    </row>
    <row r="1960" spans="1:4" x14ac:dyDescent="0.25">
      <c r="A1960" s="2">
        <v>42649</v>
      </c>
      <c r="B1960">
        <v>0</v>
      </c>
      <c r="C1960">
        <v>-2.4472451678936302E-4</v>
      </c>
      <c r="D1960">
        <v>-5.248783791083067E-3</v>
      </c>
    </row>
    <row r="1961" spans="1:4" x14ac:dyDescent="0.25">
      <c r="A1961" s="2">
        <v>42650</v>
      </c>
      <c r="B1961">
        <v>-9.48762452744778E-4</v>
      </c>
      <c r="C1961">
        <v>4.8954980851911856E-4</v>
      </c>
      <c r="D1961">
        <v>1.0146964846577955E-3</v>
      </c>
    </row>
    <row r="1962" spans="1:4" x14ac:dyDescent="0.25">
      <c r="A1962" s="2">
        <v>42653</v>
      </c>
      <c r="B1962">
        <v>-1.8993269155530568E-3</v>
      </c>
      <c r="C1962">
        <v>-2.4463991319008116E-3</v>
      </c>
      <c r="D1962">
        <v>-5.4739005878717828E-3</v>
      </c>
    </row>
    <row r="1963" spans="1:4" x14ac:dyDescent="0.25">
      <c r="A1963" s="2">
        <v>42654</v>
      </c>
      <c r="B1963">
        <v>9.5147061151834578E-4</v>
      </c>
      <c r="C1963">
        <v>1.1318983189165799E-3</v>
      </c>
      <c r="D1963">
        <v>-3.1596898339281143E-3</v>
      </c>
    </row>
    <row r="1964" spans="1:4" x14ac:dyDescent="0.25">
      <c r="A1964" s="2">
        <v>42655</v>
      </c>
      <c r="B1964">
        <v>-9.5056617573774371E-4</v>
      </c>
      <c r="C1964">
        <v>-3.1844546794720374E-3</v>
      </c>
      <c r="D1964">
        <v>-5.1124820317745012E-3</v>
      </c>
    </row>
    <row r="1965" spans="1:4" x14ac:dyDescent="0.25">
      <c r="A1965" s="2">
        <v>42656</v>
      </c>
      <c r="B1965">
        <v>9.5147061151834578E-4</v>
      </c>
      <c r="C1965">
        <v>2.381790361473568E-3</v>
      </c>
      <c r="D1965">
        <v>4.8303628289370071E-3</v>
      </c>
    </row>
    <row r="1966" spans="1:4" x14ac:dyDescent="0.25">
      <c r="A1966" s="2">
        <v>42657</v>
      </c>
      <c r="B1966">
        <v>0</v>
      </c>
      <c r="C1966">
        <v>-2.7910024432423741E-3</v>
      </c>
      <c r="D1966">
        <v>-8.8983916948618402E-3</v>
      </c>
    </row>
    <row r="1967" spans="1:4" x14ac:dyDescent="0.25">
      <c r="A1967" s="2">
        <v>42660</v>
      </c>
      <c r="B1967">
        <v>-9.5056617573774371E-4</v>
      </c>
      <c r="C1967">
        <v>7.7528147975480799E-4</v>
      </c>
      <c r="D1967">
        <v>4.5407111321194016E-3</v>
      </c>
    </row>
    <row r="1968" spans="1:4" x14ac:dyDescent="0.25">
      <c r="A1968" s="2">
        <v>42661</v>
      </c>
      <c r="B1968">
        <v>9.5147061151834578E-4</v>
      </c>
      <c r="C1968">
        <v>1.8896864355419929E-3</v>
      </c>
      <c r="D1968">
        <v>0</v>
      </c>
    </row>
    <row r="1969" spans="1:4" x14ac:dyDescent="0.25">
      <c r="A1969" s="2">
        <v>42662</v>
      </c>
      <c r="B1969">
        <v>0</v>
      </c>
      <c r="C1969">
        <v>0</v>
      </c>
      <c r="D1969">
        <v>4.1093636014832846E-4</v>
      </c>
    </row>
    <row r="1970" spans="1:4" x14ac:dyDescent="0.25">
      <c r="A1970" s="2">
        <v>42663</v>
      </c>
      <c r="B1970">
        <v>1.9011323514754874E-3</v>
      </c>
      <c r="C1970">
        <v>3.772187306885888E-3</v>
      </c>
      <c r="D1970">
        <v>-2.5672559304334985E-3</v>
      </c>
    </row>
    <row r="1971" spans="1:4" x14ac:dyDescent="0.25">
      <c r="A1971" s="2">
        <v>42664</v>
      </c>
      <c r="B1971">
        <v>0</v>
      </c>
      <c r="C1971">
        <v>-1.31528973693118E-3</v>
      </c>
      <c r="D1971">
        <v>-1.3383892356697569E-3</v>
      </c>
    </row>
    <row r="1972" spans="1:4" x14ac:dyDescent="0.25">
      <c r="A1972" s="2">
        <v>42667</v>
      </c>
      <c r="B1972">
        <v>0</v>
      </c>
      <c r="C1972">
        <v>-3.1985309188119482E-3</v>
      </c>
      <c r="D1972">
        <v>-3.2989620707677414E-3</v>
      </c>
    </row>
    <row r="1973" spans="1:4" x14ac:dyDescent="0.25">
      <c r="A1973" s="2">
        <v>42668</v>
      </c>
      <c r="B1973">
        <v>9.4876245274488902E-4</v>
      </c>
      <c r="C1973">
        <v>-3.775130748466804E-4</v>
      </c>
      <c r="D1973">
        <v>2.0682920567427487E-4</v>
      </c>
    </row>
    <row r="1974" spans="1:4" x14ac:dyDescent="0.25">
      <c r="A1974" s="2">
        <v>42669</v>
      </c>
      <c r="B1974">
        <v>-2.8435894673172202E-3</v>
      </c>
      <c r="C1974">
        <v>-2.8322932515266741E-3</v>
      </c>
      <c r="D1974">
        <v>-2.481874195069067E-3</v>
      </c>
    </row>
    <row r="1975" spans="1:4" x14ac:dyDescent="0.25">
      <c r="A1975" s="2">
        <v>42670</v>
      </c>
      <c r="B1975">
        <v>-1.9011323514752654E-3</v>
      </c>
      <c r="C1975">
        <v>-3.4084399651775898E-3</v>
      </c>
      <c r="D1975">
        <v>-7.153248412681501E-3</v>
      </c>
    </row>
    <row r="1976" spans="1:4" x14ac:dyDescent="0.25">
      <c r="A1976" s="2">
        <v>42671</v>
      </c>
      <c r="B1976">
        <v>-1.9048490068496182E-3</v>
      </c>
      <c r="C1976">
        <v>-7.6004720414490912E-4</v>
      </c>
      <c r="D1976">
        <v>3.1325371346873077E-3</v>
      </c>
    </row>
    <row r="1977" spans="1:4" x14ac:dyDescent="0.25">
      <c r="A1977" s="2">
        <v>42674</v>
      </c>
      <c r="B1977">
        <v>1.5276100864927145E-3</v>
      </c>
      <c r="C1977">
        <v>2.6620924824340975E-3</v>
      </c>
      <c r="D1977">
        <v>8.3273745620626727E-4</v>
      </c>
    </row>
    <row r="1978" spans="1:4" x14ac:dyDescent="0.25">
      <c r="A1978" s="2">
        <v>42675</v>
      </c>
      <c r="B1978">
        <v>-1.9065284392959514E-3</v>
      </c>
      <c r="C1978">
        <v>1.2709705881004396E-3</v>
      </c>
      <c r="D1978">
        <v>4.4521395547192366E-3</v>
      </c>
    </row>
    <row r="1979" spans="1:4" x14ac:dyDescent="0.25">
      <c r="A1979" s="2">
        <v>42676</v>
      </c>
      <c r="B1979">
        <v>2.8653031925192085E-3</v>
      </c>
      <c r="C1979">
        <v>1.9893918505460295E-3</v>
      </c>
      <c r="D1979">
        <v>6.6279988434256865E-3</v>
      </c>
    </row>
    <row r="1980" spans="1:4" x14ac:dyDescent="0.25">
      <c r="A1980" s="2">
        <v>42677</v>
      </c>
      <c r="B1980">
        <v>-9.5240403303331611E-4</v>
      </c>
      <c r="C1980">
        <v>-1.229054949202224E-3</v>
      </c>
      <c r="D1980">
        <v>1.2346019997544477E-3</v>
      </c>
    </row>
    <row r="1981" spans="1:4" x14ac:dyDescent="0.25">
      <c r="A1981" s="2">
        <v>42678</v>
      </c>
      <c r="B1981">
        <v>9.5331197119929989E-4</v>
      </c>
      <c r="C1981">
        <v>1.1359480951300682E-3</v>
      </c>
      <c r="D1981">
        <v>3.6991355554032435E-3</v>
      </c>
    </row>
    <row r="1982" spans="1:4" x14ac:dyDescent="0.25">
      <c r="A1982" s="2">
        <v>42681</v>
      </c>
      <c r="B1982">
        <v>-9.5240403303331611E-4</v>
      </c>
      <c r="C1982">
        <v>-7.5643945412984248E-4</v>
      </c>
      <c r="D1982">
        <v>-9.2137765512884107E-3</v>
      </c>
    </row>
    <row r="1983" spans="1:4" x14ac:dyDescent="0.25">
      <c r="A1983" s="2">
        <v>42682</v>
      </c>
      <c r="B1983">
        <v>0</v>
      </c>
      <c r="C1983">
        <v>-1.8924728385714129E-3</v>
      </c>
      <c r="D1983">
        <v>-4.8563846228518726E-3</v>
      </c>
    </row>
    <row r="1984" spans="1:4" x14ac:dyDescent="0.25">
      <c r="A1984" s="2">
        <v>42683</v>
      </c>
      <c r="B1984">
        <v>0</v>
      </c>
      <c r="C1984">
        <v>-5.3091128403359722E-3</v>
      </c>
      <c r="D1984">
        <v>-1.0694613918647344E-2</v>
      </c>
    </row>
    <row r="1985" spans="1:4" x14ac:dyDescent="0.25">
      <c r="A1985" s="2">
        <v>42684</v>
      </c>
      <c r="B1985">
        <v>-6.6729927921898025E-3</v>
      </c>
      <c r="C1985">
        <v>-3.0499438859259431E-3</v>
      </c>
      <c r="D1985">
        <v>-9.5507656171254229E-3</v>
      </c>
    </row>
    <row r="1986" spans="1:4" x14ac:dyDescent="0.25">
      <c r="A1986" s="2">
        <v>42685</v>
      </c>
      <c r="B1986">
        <v>-2.8790523057800055E-3</v>
      </c>
      <c r="C1986">
        <v>-3.2504525865304501E-3</v>
      </c>
      <c r="D1986">
        <v>-5.7221659656013779E-3</v>
      </c>
    </row>
    <row r="1987" spans="1:4" x14ac:dyDescent="0.25">
      <c r="A1987" s="2">
        <v>42688</v>
      </c>
      <c r="B1987">
        <v>-2.8874616034427758E-3</v>
      </c>
      <c r="C1987">
        <v>-2.1101076089351523E-3</v>
      </c>
      <c r="D1987">
        <v>-1.4174586651784948E-2</v>
      </c>
    </row>
    <row r="1988" spans="1:4" x14ac:dyDescent="0.25">
      <c r="A1988" s="2">
        <v>42689</v>
      </c>
      <c r="B1988">
        <v>2.895823181690238E-3</v>
      </c>
      <c r="C1988">
        <v>2.114569578292036E-3</v>
      </c>
      <c r="D1988">
        <v>4.8648359630596438E-3</v>
      </c>
    </row>
    <row r="1989" spans="1:4" x14ac:dyDescent="0.25">
      <c r="A1989" s="2">
        <v>42690</v>
      </c>
      <c r="B1989">
        <v>-9.6248720114766595E-4</v>
      </c>
      <c r="C1989">
        <v>0</v>
      </c>
      <c r="D1989">
        <v>-6.1323254185136067E-3</v>
      </c>
    </row>
    <row r="1990" spans="1:4" x14ac:dyDescent="0.25">
      <c r="A1990" s="2">
        <v>42691</v>
      </c>
      <c r="B1990">
        <v>0</v>
      </c>
      <c r="C1990">
        <v>-1.1509836492736847E-3</v>
      </c>
      <c r="D1990">
        <v>-6.7113660619809723E-3</v>
      </c>
    </row>
    <row r="1991" spans="1:4" x14ac:dyDescent="0.25">
      <c r="A1991" s="2">
        <v>42692</v>
      </c>
      <c r="B1991">
        <v>-9.6341447524928014E-4</v>
      </c>
      <c r="C1991">
        <v>-4.2251170336921051E-3</v>
      </c>
      <c r="D1991">
        <v>-6.1029247409136733E-3</v>
      </c>
    </row>
    <row r="1992" spans="1:4" x14ac:dyDescent="0.25">
      <c r="A1992" s="2">
        <v>42695</v>
      </c>
      <c r="B1992">
        <v>0</v>
      </c>
      <c r="C1992">
        <v>3.1244593933041909E-3</v>
      </c>
      <c r="D1992">
        <v>3.6184327493717916E-3</v>
      </c>
    </row>
    <row r="1993" spans="1:4" x14ac:dyDescent="0.25">
      <c r="A1993" s="2">
        <v>42696</v>
      </c>
      <c r="B1993">
        <v>9.6434353777263837E-4</v>
      </c>
      <c r="C1993">
        <v>3.2299957131980417E-3</v>
      </c>
      <c r="D1993">
        <v>1.3110817508001915E-3</v>
      </c>
    </row>
    <row r="1994" spans="1:4" x14ac:dyDescent="0.25">
      <c r="A1994" s="2">
        <v>42697</v>
      </c>
      <c r="B1994">
        <v>-1.9268289504987823E-3</v>
      </c>
      <c r="C1994">
        <v>-2.9704526914428042E-3</v>
      </c>
      <c r="D1994">
        <v>-5.2373505143197274E-3</v>
      </c>
    </row>
    <row r="1995" spans="1:4" x14ac:dyDescent="0.25">
      <c r="A1995" s="2">
        <v>42699</v>
      </c>
      <c r="B1995">
        <v>9.6527439389682002E-4</v>
      </c>
      <c r="C1995">
        <v>1.0571831592796066E-3</v>
      </c>
      <c r="D1995">
        <v>1.7550006668232143E-3</v>
      </c>
    </row>
    <row r="1996" spans="1:4" x14ac:dyDescent="0.25">
      <c r="A1996" s="2">
        <v>42702</v>
      </c>
      <c r="B1996">
        <v>1.9286870755454988E-3</v>
      </c>
      <c r="C1996">
        <v>9.6004476159450292E-4</v>
      </c>
      <c r="D1996">
        <v>4.8176396553647471E-3</v>
      </c>
    </row>
    <row r="1997" spans="1:4" x14ac:dyDescent="0.25">
      <c r="A1997" s="2">
        <v>42703</v>
      </c>
      <c r="B1997">
        <v>0</v>
      </c>
      <c r="C1997">
        <v>1.7264657801103755E-3</v>
      </c>
      <c r="D1997">
        <v>3.378059704008729E-3</v>
      </c>
    </row>
    <row r="1998" spans="1:4" x14ac:dyDescent="0.25">
      <c r="A1998" s="2">
        <v>42704</v>
      </c>
      <c r="B1998">
        <v>5.7785872535331961E-4</v>
      </c>
      <c r="C1998">
        <v>-2.1064902132654773E-3</v>
      </c>
      <c r="D1998">
        <v>-1.0642950472503743E-2</v>
      </c>
    </row>
    <row r="1999" spans="1:4" x14ac:dyDescent="0.25">
      <c r="A1999" s="2">
        <v>42705</v>
      </c>
      <c r="B1999">
        <v>-2.8874322542843389E-3</v>
      </c>
      <c r="C1999">
        <v>-4.7411759884504745E-3</v>
      </c>
      <c r="D1999">
        <v>1.1309263024747995E-3</v>
      </c>
    </row>
    <row r="2000" spans="1:4" x14ac:dyDescent="0.25">
      <c r="A2000" s="2">
        <v>42706</v>
      </c>
      <c r="B2000">
        <v>9.652001236677421E-4</v>
      </c>
      <c r="C2000">
        <v>5.228517646593156E-3</v>
      </c>
      <c r="D2000">
        <v>7.4577750393958198E-3</v>
      </c>
    </row>
    <row r="2001" spans="1:4" x14ac:dyDescent="0.25">
      <c r="A2001" s="2">
        <v>42709</v>
      </c>
      <c r="B2001">
        <v>0</v>
      </c>
      <c r="C2001">
        <v>-2.9859206698585883E-3</v>
      </c>
      <c r="D2001">
        <v>6.5314139356797973E-4</v>
      </c>
    </row>
    <row r="2002" spans="1:4" x14ac:dyDescent="0.25">
      <c r="A2002" s="2">
        <v>42710</v>
      </c>
      <c r="B2002">
        <v>0</v>
      </c>
      <c r="C2002">
        <v>9.6559562939413368E-5</v>
      </c>
      <c r="D2002">
        <v>-3.2636519718783896E-3</v>
      </c>
    </row>
    <row r="2003" spans="1:4" x14ac:dyDescent="0.25">
      <c r="A2003" s="2">
        <v>42711</v>
      </c>
      <c r="B2003">
        <v>9.6436596317284184E-4</v>
      </c>
      <c r="C2003">
        <v>5.7965140113913627E-4</v>
      </c>
      <c r="D2003">
        <v>7.9676457331987471E-3</v>
      </c>
    </row>
    <row r="2004" spans="1:4" x14ac:dyDescent="0.25">
      <c r="A2004" s="2">
        <v>42712</v>
      </c>
      <c r="B2004">
        <v>-9.6343685745969854E-4</v>
      </c>
      <c r="C2004">
        <v>-3.2825163663361412E-3</v>
      </c>
      <c r="D2004">
        <v>-1.5917718361495137E-2</v>
      </c>
    </row>
    <row r="2005" spans="1:4" x14ac:dyDescent="0.25">
      <c r="A2005" s="2">
        <v>42713</v>
      </c>
      <c r="B2005">
        <v>-9.6426941071314776E-4</v>
      </c>
      <c r="C2005">
        <v>-9.686083177613547E-4</v>
      </c>
      <c r="D2005">
        <v>-8.9128286757791386E-3</v>
      </c>
    </row>
    <row r="2006" spans="1:4" x14ac:dyDescent="0.25">
      <c r="A2006" s="2">
        <v>42716</v>
      </c>
      <c r="B2006">
        <v>-2.8957936623067448E-3</v>
      </c>
      <c r="C2006">
        <v>1.9394851366527632E-4</v>
      </c>
      <c r="D2006">
        <v>3.9968968290100548E-3</v>
      </c>
    </row>
    <row r="2007" spans="1:4" x14ac:dyDescent="0.25">
      <c r="A2007" s="2">
        <v>42717</v>
      </c>
      <c r="B2007">
        <v>9.6810018770754347E-4</v>
      </c>
      <c r="C2007">
        <v>2.9080587608378838E-3</v>
      </c>
      <c r="D2007">
        <v>2.6539679205714872E-3</v>
      </c>
    </row>
    <row r="2008" spans="1:4" x14ac:dyDescent="0.25">
      <c r="A2008" s="2">
        <v>42718</v>
      </c>
      <c r="B2008">
        <v>4.8356257157138316E-3</v>
      </c>
      <c r="C2008">
        <v>-1.3531681007550311E-3</v>
      </c>
      <c r="D2008">
        <v>-1.1801033776206227E-2</v>
      </c>
    </row>
    <row r="2009" spans="1:4" x14ac:dyDescent="0.25">
      <c r="A2009" s="2">
        <v>42719</v>
      </c>
      <c r="B2009">
        <v>-3.8498454279832783E-3</v>
      </c>
      <c r="C2009">
        <v>-1.5485538295486601E-3</v>
      </c>
      <c r="D2009">
        <v>-9.5982220317952782E-3</v>
      </c>
    </row>
    <row r="2010" spans="1:4" x14ac:dyDescent="0.25">
      <c r="A2010" s="2">
        <v>42720</v>
      </c>
      <c r="B2010">
        <v>1.9322652700131115E-3</v>
      </c>
      <c r="C2010">
        <v>4.4590923689786788E-3</v>
      </c>
      <c r="D2010">
        <v>3.4934044138017484E-3</v>
      </c>
    </row>
    <row r="2011" spans="1:4" x14ac:dyDescent="0.25">
      <c r="A2011" s="2">
        <v>42723</v>
      </c>
      <c r="B2011">
        <v>1.9287319263450176E-3</v>
      </c>
      <c r="C2011">
        <v>2.6828696910428107E-3</v>
      </c>
      <c r="D2011">
        <v>2.2458983998439042E-3</v>
      </c>
    </row>
    <row r="2012" spans="1:4" x14ac:dyDescent="0.25">
      <c r="A2012" s="2">
        <v>42724</v>
      </c>
      <c r="B2012">
        <v>9.6241317369893942E-4</v>
      </c>
      <c r="C2012">
        <v>-7.5076261798801003E-4</v>
      </c>
      <c r="D2012">
        <v>-2.6890567996377124E-3</v>
      </c>
    </row>
    <row r="2013" spans="1:4" x14ac:dyDescent="0.25">
      <c r="A2013" s="2">
        <v>42725</v>
      </c>
      <c r="B2013">
        <v>9.6148782514959841E-4</v>
      </c>
      <c r="C2013">
        <v>1.7337741468090861E-3</v>
      </c>
      <c r="D2013">
        <v>6.4037694344742935E-3</v>
      </c>
    </row>
    <row r="2014" spans="1:4" x14ac:dyDescent="0.25">
      <c r="A2014" s="2">
        <v>42726</v>
      </c>
      <c r="B2014">
        <v>0</v>
      </c>
      <c r="C2014">
        <v>-1.9344780143171203E-4</v>
      </c>
      <c r="D2014">
        <v>-3.2771717526859367E-3</v>
      </c>
    </row>
    <row r="2015" spans="1:4" x14ac:dyDescent="0.25">
      <c r="A2015" s="2">
        <v>42727</v>
      </c>
      <c r="B2015">
        <v>9.6066043577502924E-4</v>
      </c>
      <c r="C2015">
        <v>-9.6748422241754728E-4</v>
      </c>
      <c r="D2015">
        <v>3.9410605003991073E-3</v>
      </c>
    </row>
    <row r="2016" spans="1:4" x14ac:dyDescent="0.25">
      <c r="A2016" s="2">
        <v>42731</v>
      </c>
      <c r="B2016">
        <v>9.5973845301466909E-4</v>
      </c>
      <c r="C2016">
        <v>2.1305730401572909E-3</v>
      </c>
      <c r="D2016">
        <v>-6.7299794805741886E-4</v>
      </c>
    </row>
    <row r="2017" spans="1:4" x14ac:dyDescent="0.25">
      <c r="A2017" s="2">
        <v>42732</v>
      </c>
      <c r="B2017">
        <v>0</v>
      </c>
      <c r="C2017">
        <v>2.3192655314363542E-3</v>
      </c>
      <c r="D2017">
        <v>-1.1226057331548134E-4</v>
      </c>
    </row>
    <row r="2018" spans="1:4" x14ac:dyDescent="0.25">
      <c r="A2018" s="2">
        <v>42733</v>
      </c>
      <c r="B2018">
        <v>2.8762627208049896E-3</v>
      </c>
      <c r="C2018">
        <v>9.6410689554016216E-4</v>
      </c>
      <c r="D2018">
        <v>6.9592865686285421E-3</v>
      </c>
    </row>
    <row r="2019" spans="1:4" x14ac:dyDescent="0.25">
      <c r="A2019" s="2">
        <v>42734</v>
      </c>
      <c r="B2019">
        <v>6.6966900967879717E-4</v>
      </c>
      <c r="C2019">
        <v>-5.7790311912553349E-4</v>
      </c>
      <c r="D2019">
        <v>1.2261797026371646E-3</v>
      </c>
    </row>
    <row r="2020" spans="1:4" x14ac:dyDescent="0.25">
      <c r="A2020" s="2">
        <v>42738</v>
      </c>
      <c r="B2020">
        <v>0</v>
      </c>
      <c r="C2020">
        <v>-2.7949131624074308E-3</v>
      </c>
      <c r="D2020">
        <v>-1.3805362186382619E-2</v>
      </c>
    </row>
    <row r="2021" spans="1:4" x14ac:dyDescent="0.25">
      <c r="A2021" s="2">
        <v>42739</v>
      </c>
      <c r="B2021">
        <v>-5.7362060725765218E-3</v>
      </c>
      <c r="C2021">
        <v>-3.7692022714018725E-3</v>
      </c>
      <c r="D2021">
        <v>6.2090188013137482E-3</v>
      </c>
    </row>
    <row r="2022" spans="1:4" x14ac:dyDescent="0.25">
      <c r="A2022" s="2">
        <v>42740</v>
      </c>
      <c r="B2022">
        <v>0</v>
      </c>
      <c r="C2022">
        <v>2.3476548925183138E-3</v>
      </c>
      <c r="D2022">
        <v>1.2004931967178001E-2</v>
      </c>
    </row>
    <row r="2023" spans="1:4" x14ac:dyDescent="0.25">
      <c r="A2023" s="2">
        <v>42741</v>
      </c>
      <c r="B2023">
        <v>0</v>
      </c>
      <c r="C2023">
        <v>-3.8907430298157353E-3</v>
      </c>
      <c r="D2023">
        <v>-1.0532112965970675E-2</v>
      </c>
    </row>
    <row r="2024" spans="1:4" x14ac:dyDescent="0.25">
      <c r="A2024" s="2">
        <v>42744</v>
      </c>
      <c r="B2024">
        <v>9.6161413402495732E-4</v>
      </c>
      <c r="C2024">
        <v>4.0613938591755883E-3</v>
      </c>
      <c r="D2024">
        <v>5.1540521264781258E-3</v>
      </c>
    </row>
    <row r="2025" spans="1:4" x14ac:dyDescent="0.25">
      <c r="A2025" s="2">
        <v>42745</v>
      </c>
      <c r="B2025">
        <v>9.6059420354333014E-4</v>
      </c>
      <c r="C2025">
        <v>-1.5095874572571555E-3</v>
      </c>
      <c r="D2025">
        <v>-1.1146936164108112E-3</v>
      </c>
    </row>
    <row r="2026" spans="1:4" x14ac:dyDescent="0.25">
      <c r="A2026" s="2">
        <v>42746</v>
      </c>
      <c r="B2026">
        <v>0</v>
      </c>
      <c r="C2026">
        <v>1.7251172090249067E-3</v>
      </c>
      <c r="D2026">
        <v>4.2405738326660725E-3</v>
      </c>
    </row>
    <row r="2027" spans="1:4" x14ac:dyDescent="0.25">
      <c r="A2027" s="2">
        <v>42747</v>
      </c>
      <c r="B2027">
        <v>9.5976837269851067E-4</v>
      </c>
      <c r="C2027">
        <v>1.9346587445867591E-4</v>
      </c>
      <c r="D2027">
        <v>5.2228200985517947E-3</v>
      </c>
    </row>
    <row r="2028" spans="1:4" x14ac:dyDescent="0.25">
      <c r="A2028" s="2">
        <v>42748</v>
      </c>
      <c r="B2028">
        <v>-9.5884810061741543E-4</v>
      </c>
      <c r="C2028">
        <v>-3.4823120759367443E-3</v>
      </c>
      <c r="D2028">
        <v>-1.1057281683846121E-4</v>
      </c>
    </row>
    <row r="2029" spans="1:4" x14ac:dyDescent="0.25">
      <c r="A2029" s="2">
        <v>42752</v>
      </c>
      <c r="B2029">
        <v>9.5976837269851067E-4</v>
      </c>
      <c r="C2029">
        <v>1.359041415253559E-3</v>
      </c>
      <c r="D2029">
        <v>1.0945331719248719E-2</v>
      </c>
    </row>
    <row r="2030" spans="1:4" x14ac:dyDescent="0.25">
      <c r="A2030" s="2">
        <v>42753</v>
      </c>
      <c r="B2030">
        <v>-9.5884810061741543E-4</v>
      </c>
      <c r="C2030">
        <v>-2.9081378347023401E-3</v>
      </c>
      <c r="D2030">
        <v>-1.2685950029461934E-2</v>
      </c>
    </row>
    <row r="2031" spans="1:4" x14ac:dyDescent="0.25">
      <c r="A2031" s="2">
        <v>42754</v>
      </c>
      <c r="B2031">
        <v>-1.919440720547283E-3</v>
      </c>
      <c r="C2031">
        <v>-7.7778083148349886E-4</v>
      </c>
      <c r="D2031">
        <v>-6.6457131466335362E-4</v>
      </c>
    </row>
    <row r="2032" spans="1:4" x14ac:dyDescent="0.25">
      <c r="A2032" s="2">
        <v>42755</v>
      </c>
      <c r="B2032">
        <v>-1.9230358490135435E-3</v>
      </c>
      <c r="C2032">
        <v>-2.7242545313678201E-3</v>
      </c>
      <c r="D2032">
        <v>9.9751435175510217E-4</v>
      </c>
    </row>
    <row r="2033" spans="1:4" x14ac:dyDescent="0.25">
      <c r="A2033" s="2">
        <v>42758</v>
      </c>
      <c r="B2033">
        <v>0</v>
      </c>
      <c r="C2033">
        <v>3.2000273261372225E-3</v>
      </c>
      <c r="D2033">
        <v>1.2069587185697284E-2</v>
      </c>
    </row>
    <row r="2034" spans="1:4" x14ac:dyDescent="0.25">
      <c r="A2034" s="2">
        <v>42759</v>
      </c>
      <c r="B2034">
        <v>1.9267410411074604E-3</v>
      </c>
      <c r="C2034">
        <v>-2.606341579004523E-3</v>
      </c>
      <c r="D2034">
        <v>-7.3303926082095572E-3</v>
      </c>
    </row>
    <row r="2035" spans="1:4" x14ac:dyDescent="0.25">
      <c r="A2035" s="2">
        <v>42760</v>
      </c>
      <c r="B2035">
        <v>-2.8845537735201487E-3</v>
      </c>
      <c r="C2035">
        <v>-1.1699864009100391E-3</v>
      </c>
      <c r="D2035">
        <v>2.2043019761854854E-3</v>
      </c>
    </row>
    <row r="2036" spans="1:4" x14ac:dyDescent="0.25">
      <c r="A2036" s="2">
        <v>42761</v>
      </c>
      <c r="B2036">
        <v>-1.9285989965265316E-3</v>
      </c>
      <c r="C2036">
        <v>-1.1519439520473185E-3</v>
      </c>
      <c r="D2036">
        <v>-9.6777371521027389E-3</v>
      </c>
    </row>
    <row r="2037" spans="1:4" x14ac:dyDescent="0.25">
      <c r="A2037" s="2">
        <v>42762</v>
      </c>
      <c r="B2037">
        <v>1.9323256778898124E-3</v>
      </c>
      <c r="C2037">
        <v>7.623372808582829E-4</v>
      </c>
      <c r="D2037">
        <v>3.2203560473755832E-3</v>
      </c>
    </row>
    <row r="2038" spans="1:4" x14ac:dyDescent="0.25">
      <c r="A2038" s="2">
        <v>42765</v>
      </c>
      <c r="B2038">
        <v>0</v>
      </c>
      <c r="C2038">
        <v>-3.0273908427985718E-3</v>
      </c>
      <c r="D2038">
        <v>-1.6603304183533396E-3</v>
      </c>
    </row>
    <row r="2039" spans="1:4" x14ac:dyDescent="0.25">
      <c r="A2039" s="2">
        <v>42766</v>
      </c>
      <c r="B2039">
        <v>5.7892705519080323E-4</v>
      </c>
      <c r="C2039">
        <v>4.0356809910122582E-3</v>
      </c>
      <c r="D2039">
        <v>9.5354339354796203E-3</v>
      </c>
    </row>
    <row r="2040" spans="1:4" x14ac:dyDescent="0.25">
      <c r="A2040" s="2">
        <v>42767</v>
      </c>
      <c r="B2040">
        <v>-9.6432015429115392E-4</v>
      </c>
      <c r="C2040">
        <v>-1.8347386501151863E-3</v>
      </c>
      <c r="D2040">
        <v>-9.6673548871251125E-4</v>
      </c>
    </row>
    <row r="2041" spans="1:4" x14ac:dyDescent="0.25">
      <c r="A2041" s="2">
        <v>42768</v>
      </c>
      <c r="B2041">
        <v>9.6525096525090781E-4</v>
      </c>
      <c r="C2041">
        <v>2.737583158732626E-3</v>
      </c>
      <c r="D2041">
        <v>-4.3985044117333949E-4</v>
      </c>
    </row>
    <row r="2042" spans="1:4" x14ac:dyDescent="0.25">
      <c r="A2042" s="2">
        <v>42769</v>
      </c>
      <c r="B2042">
        <v>0</v>
      </c>
      <c r="C2042">
        <v>-2.9250780601614013E-3</v>
      </c>
      <c r="D2042">
        <v>-1.1000989856964072E-3</v>
      </c>
    </row>
    <row r="2043" spans="1:4" x14ac:dyDescent="0.25">
      <c r="A2043" s="2">
        <v>42772</v>
      </c>
      <c r="B2043">
        <v>0</v>
      </c>
      <c r="C2043">
        <v>3.715998362683326E-3</v>
      </c>
      <c r="D2043">
        <v>6.6077090327842924E-4</v>
      </c>
    </row>
    <row r="2044" spans="1:4" x14ac:dyDescent="0.25">
      <c r="A2044" s="2">
        <v>42773</v>
      </c>
      <c r="B2044">
        <v>9.6432015429126494E-4</v>
      </c>
      <c r="C2044">
        <v>-1.5588074824629539E-3</v>
      </c>
      <c r="D2044">
        <v>-3.7420646737610364E-3</v>
      </c>
    </row>
    <row r="2045" spans="1:4" x14ac:dyDescent="0.25">
      <c r="A2045" s="2">
        <v>42774</v>
      </c>
      <c r="B2045">
        <v>1.9267822736031004E-3</v>
      </c>
      <c r="C2045">
        <v>5.4644416290225983E-3</v>
      </c>
      <c r="D2045">
        <v>5.6341362892444735E-3</v>
      </c>
    </row>
    <row r="2046" spans="1:4" x14ac:dyDescent="0.25">
      <c r="A2046" s="2">
        <v>42775</v>
      </c>
      <c r="B2046">
        <v>1.9230769230769162E-3</v>
      </c>
      <c r="C2046">
        <v>3.8821816770195916E-4</v>
      </c>
      <c r="D2046">
        <v>-3.185773955682536E-3</v>
      </c>
    </row>
    <row r="2047" spans="1:4" x14ac:dyDescent="0.25">
      <c r="A2047" s="2">
        <v>42776</v>
      </c>
      <c r="B2047">
        <v>-9.5969289827257942E-4</v>
      </c>
      <c r="C2047">
        <v>-1.7462164969690441E-3</v>
      </c>
      <c r="D2047">
        <v>-4.9591912047429743E-3</v>
      </c>
    </row>
    <row r="2048" spans="1:4" x14ac:dyDescent="0.25">
      <c r="A2048" s="2">
        <v>42779</v>
      </c>
      <c r="B2048">
        <v>-9.6061479346776224E-4</v>
      </c>
      <c r="C2048">
        <v>5.8307093132992094E-4</v>
      </c>
      <c r="D2048">
        <v>-2.3258278621571815E-3</v>
      </c>
    </row>
    <row r="2049" spans="1:4" x14ac:dyDescent="0.25">
      <c r="A2049" s="2">
        <v>42780</v>
      </c>
      <c r="B2049">
        <v>0</v>
      </c>
      <c r="C2049">
        <v>-3.3022338772338289E-3</v>
      </c>
      <c r="D2049">
        <v>-2.9973800400228123E-3</v>
      </c>
    </row>
    <row r="2050" spans="1:4" x14ac:dyDescent="0.25">
      <c r="A2050" s="2">
        <v>42781</v>
      </c>
      <c r="B2050">
        <v>-9.6153846153845812E-4</v>
      </c>
      <c r="C2050">
        <v>1.5591112539639074E-3</v>
      </c>
      <c r="D2050">
        <v>1.4475448490713916E-3</v>
      </c>
    </row>
    <row r="2051" spans="1:4" x14ac:dyDescent="0.25">
      <c r="A2051" s="2">
        <v>42782</v>
      </c>
      <c r="B2051">
        <v>1.9249278152069227E-3</v>
      </c>
      <c r="C2051">
        <v>2.1405137602747981E-3</v>
      </c>
      <c r="D2051">
        <v>8.1164774712811916E-3</v>
      </c>
    </row>
    <row r="2052" spans="1:4" x14ac:dyDescent="0.25">
      <c r="A2052" s="2">
        <v>42783</v>
      </c>
      <c r="B2052">
        <v>1.9212295869355245E-3</v>
      </c>
      <c r="C2052">
        <v>3.8834951456312439E-4</v>
      </c>
      <c r="D2052">
        <v>-4.7424728078189204E-3</v>
      </c>
    </row>
    <row r="2053" spans="1:4" x14ac:dyDescent="0.25">
      <c r="A2053" s="2">
        <v>42787</v>
      </c>
      <c r="B2053">
        <v>0</v>
      </c>
      <c r="C2053">
        <v>0</v>
      </c>
      <c r="D2053">
        <v>-2.2162788611763684E-3</v>
      </c>
    </row>
    <row r="2054" spans="1:4" x14ac:dyDescent="0.25">
      <c r="A2054" s="2">
        <v>42788</v>
      </c>
      <c r="B2054">
        <v>9.5877277085332224E-4</v>
      </c>
      <c r="C2054">
        <v>2.3291731366459345E-3</v>
      </c>
      <c r="D2054">
        <v>2.9986339071674806E-3</v>
      </c>
    </row>
    <row r="2055" spans="1:4" x14ac:dyDescent="0.25">
      <c r="A2055" s="2">
        <v>42789</v>
      </c>
      <c r="B2055">
        <v>1.9157088122607746E-3</v>
      </c>
      <c r="C2055">
        <v>1.3555383686201239E-3</v>
      </c>
      <c r="D2055">
        <v>5.204307500926042E-3</v>
      </c>
    </row>
    <row r="2056" spans="1:4" x14ac:dyDescent="0.25">
      <c r="A2056" s="2">
        <v>42790</v>
      </c>
      <c r="B2056">
        <v>3.8240917782026429E-3</v>
      </c>
      <c r="C2056">
        <v>3.2876040086560199E-3</v>
      </c>
      <c r="D2056">
        <v>1.652357365635071E-3</v>
      </c>
    </row>
    <row r="2057" spans="1:4" x14ac:dyDescent="0.25">
      <c r="A2057" s="2">
        <v>42793</v>
      </c>
      <c r="B2057">
        <v>0</v>
      </c>
      <c r="C2057">
        <v>-1.156534287653499E-3</v>
      </c>
      <c r="D2057">
        <v>1.0999670075872992E-4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PullRet</vt:lpstr>
      <vt:lpstr>Analysis_M</vt:lpstr>
      <vt:lpstr>Analysis_D</vt:lpstr>
      <vt:lpstr>Analysis_M!Print_Area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Samuel.Wang@dimensional.com</cp:lastModifiedBy>
  <dcterms:created xsi:type="dcterms:W3CDTF">2015-01-25T11:31:25Z</dcterms:created>
  <dcterms:modified xsi:type="dcterms:W3CDTF">2017-02-28T23:54:47Z</dcterms:modified>
</cp:coreProperties>
</file>